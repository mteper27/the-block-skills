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740" windowWidth="30240" windowHeight="18900" tabRatio="845" firstSheet="0" activeTab="0" autoFilterDateGrouping="1"/>
  </bookViews>
  <sheets>
    <sheet name="MT QUESTIONS" sheetId="1" state="visible" r:id="rId1"/>
    <sheet name="Budget Summary" sheetId="2" state="visible" r:id="rId2"/>
    <sheet name="Soft Cost &amp; FF&amp;E Budget Detail" sheetId="3" state="visible" r:id="rId3"/>
    <sheet name="Building &amp; Fit-outBudget Detail" sheetId="4" state="visible" r:id="rId4"/>
    <sheet name="Building &amp; Fit-out Breakdown" sheetId="5" state="visible" r:id="rId5"/>
    <sheet name="General Conditions" sheetId="6" state="hidden" r:id="rId6"/>
    <sheet name="Project At-a-Glance" sheetId="7" state="hidden" r:id="rId7"/>
    <sheet name="Project Summary " sheetId="8" state="hidden" r:id="rId8"/>
    <sheet name="Project Detail" sheetId="9" state="hidden" r:id="rId9"/>
    <sheet name="Committed Costs " sheetId="10" state="hidden" r:id="rId10"/>
    <sheet name="Invoices" sheetId="11" state="hidden" r:id="rId11"/>
    <sheet name="Change Orders" sheetId="12" state="hidden" r:id="rId12"/>
    <sheet name="Contingency" sheetId="13" state="hidden" r:id="rId13"/>
    <sheet name="Risk Report" sheetId="14" state="hidden" r:id="rId14"/>
  </sheets>
  <definedNames>
    <definedName name="_xlnm.Print_Titles" localSheetId="6">'Project At-a-Glance'!$17:$18</definedName>
    <definedName name="_xlnm.Print_Area" localSheetId="6">'Project At-a-Glance'!$A$1:$I$33</definedName>
    <definedName name="_xlnm.Print_Titles" localSheetId="7">'Project Summary '!$2:$3</definedName>
    <definedName name="_xlnm.Print_Area" localSheetId="7">'Project Summary '!$B$1:$H$31</definedName>
    <definedName name="_xlnm._FilterDatabase" localSheetId="8" hidden="1">'Project Detail'!$B$3:$O$173</definedName>
    <definedName name="_xlnm.Print_Titles" localSheetId="8">'Project Detail'!$2:$2</definedName>
    <definedName name="_xlnm.Print_Area" localSheetId="8">'Project Detail'!$A$1:$O$175</definedName>
    <definedName name="_xlnm._FilterDatabase" localSheetId="9" hidden="1">'Committed Costs '!$B$3:$H$6</definedName>
    <definedName name="_xlnm.Print_Area" localSheetId="9">'Committed Costs '!$A$1:$H$10</definedName>
    <definedName name="_xlnm._FilterDatabase" localSheetId="10" hidden="1">'Invoices'!$B$3:$J$11</definedName>
    <definedName name="_xlnm.Print_Titles" localSheetId="10">'Invoices'!$3:$3</definedName>
    <definedName name="_xlnm._FilterDatabase" localSheetId="11" hidden="1">'Change Orders'!$B$2:$H$25</definedName>
    <definedName name="_xlnm._FilterDatabase" localSheetId="12" hidden="1">'Contingency'!$B$2:$G$6</definedName>
    <definedName name="_xlnm.Print_Area" localSheetId="12">'Contingency'!$A$1:$H$9</definedName>
    <definedName name="_xlnm.Print_Area" localSheetId="13">'Risk Report'!$A$1:$K$27</definedName>
  </definedNames>
  <calcPr calcId="191029" fullCalcOnLoad="1"/>
</workbook>
</file>

<file path=xl/styles.xml><?xml version="1.0" encoding="utf-8"?>
<styleSheet xmlns="http://schemas.openxmlformats.org/spreadsheetml/2006/main">
  <numFmts count="13">
    <numFmt numFmtId="164" formatCode="_(&quot;$&quot;* #,##0_);_(&quot;$&quot;* \(#,##0\);_(&quot;$&quot;* &quot;-&quot;??_);_(@_)"/>
    <numFmt numFmtId="165" formatCode="_(&quot;$&quot;* #,##0.00_);_(&quot;$&quot;* \(#,##0.00\);_(&quot;$&quot;* &quot;-&quot;??_);_(@_)"/>
    <numFmt numFmtId="166" formatCode="[$-409]mmm\-yy;@"/>
    <numFmt numFmtId="167" formatCode="0.0%"/>
    <numFmt numFmtId="168" formatCode="&quot;$&quot;#,##0_);\(&quot;$&quot;#,##0\)"/>
    <numFmt numFmtId="169" formatCode="m/d/yy;@"/>
    <numFmt numFmtId="170" formatCode="_(* #,##0_);_(* \(#,##0\);_(* &quot;-&quot;??_);_(@_)"/>
    <numFmt numFmtId="171" formatCode="&quot;$&quot;#,##0"/>
    <numFmt numFmtId="172" formatCode="#,##0.0000"/>
    <numFmt numFmtId="173" formatCode="&quot;$&quot;#,##0.00"/>
    <numFmt numFmtId="174" formatCode="&quot;$&quot;#,##0.00_);\(&quot;$&quot;#,##0.00\)"/>
    <numFmt numFmtId="175" formatCode="&quot;$&quot;#,##0_);[Red]\(&quot;$&quot;#,##0\)"/>
    <numFmt numFmtId="176" formatCode="$#,##0;($#,##0);&quot;-&quot;"/>
  </numFmts>
  <fonts count="78">
    <font>
      <name val="Calibri"/>
      <family val="2"/>
      <color theme="1"/>
      <sz val="11"/>
      <scheme val="minor"/>
    </font>
    <font>
      <name val="Calibri"/>
      <family val="2"/>
      <color theme="1"/>
      <sz val="12"/>
      <scheme val="minor"/>
    </font>
    <font>
      <name val="Calibri"/>
      <family val="2"/>
      <color theme="1"/>
      <sz val="12"/>
      <scheme val="minor"/>
    </font>
    <font>
      <name val="Calibri"/>
      <family val="2"/>
      <b val="1"/>
      <color theme="1"/>
      <sz val="11"/>
      <scheme val="minor"/>
    </font>
    <font>
      <name val="Calibri"/>
      <family val="2"/>
      <i val="1"/>
      <color theme="1"/>
      <sz val="11"/>
      <scheme val="minor"/>
    </font>
    <font>
      <name val="Calibri"/>
      <family val="2"/>
      <b val="1"/>
      <i val="1"/>
      <color theme="1"/>
      <sz val="11"/>
      <scheme val="minor"/>
    </font>
    <font>
      <name val="Calibri"/>
      <family val="2"/>
      <color theme="1"/>
      <sz val="11"/>
      <scheme val="minor"/>
    </font>
    <font>
      <name val="Calibri"/>
      <family val="2"/>
      <b val="1"/>
      <color theme="1"/>
      <sz val="12"/>
      <scheme val="minor"/>
    </font>
    <font>
      <name val="Calibri"/>
      <family val="2"/>
      <color rgb="FFFF0000"/>
      <sz val="11"/>
      <scheme val="minor"/>
    </font>
    <font>
      <name val="Calibri"/>
      <family val="2"/>
      <b val="1"/>
      <color theme="1"/>
      <sz val="14"/>
      <scheme val="minor"/>
    </font>
    <font>
      <name val="Calibri"/>
      <family val="2"/>
      <b val="1"/>
      <i val="1"/>
      <color theme="1"/>
      <sz val="12"/>
      <scheme val="minor"/>
    </font>
    <font>
      <name val="Calibri"/>
      <family val="2"/>
      <sz val="11"/>
      <scheme val="minor"/>
    </font>
    <font>
      <name val="Calibri"/>
      <family val="2"/>
      <color theme="1"/>
      <sz val="14"/>
      <scheme val="minor"/>
    </font>
    <font>
      <name val="Calibri"/>
      <family val="2"/>
      <b val="1"/>
      <sz val="12"/>
      <scheme val="minor"/>
    </font>
    <font>
      <name val="Calibri"/>
      <family val="2"/>
      <sz val="12"/>
      <scheme val="minor"/>
    </font>
    <font>
      <name val="Calibri"/>
      <family val="2"/>
      <b val="1"/>
      <color theme="0"/>
      <sz val="11"/>
      <scheme val="minor"/>
    </font>
    <font>
      <name val="Calibri"/>
      <family val="2"/>
      <b val="1"/>
      <color theme="0"/>
      <sz val="12"/>
      <scheme val="minor"/>
    </font>
    <font>
      <name val="Calibri"/>
      <family val="2"/>
      <b val="1"/>
      <sz val="11"/>
      <scheme val="minor"/>
    </font>
    <font>
      <name val="Arial"/>
      <family val="2"/>
      <color theme="1"/>
      <sz val="10"/>
    </font>
    <font>
      <name val="Calibri"/>
      <family val="2"/>
      <color theme="1"/>
      <sz val="10"/>
      <scheme val="minor"/>
    </font>
    <font>
      <name val="Arial"/>
      <family val="2"/>
      <b val="1"/>
      <color theme="0"/>
      <sz val="10"/>
    </font>
    <font>
      <name val="Calibri"/>
      <family val="2"/>
      <b val="1"/>
      <color theme="0"/>
      <sz val="16"/>
      <scheme val="minor"/>
    </font>
    <font>
      <name val="Calibri"/>
      <family val="2"/>
      <b val="1"/>
      <i val="1"/>
      <color rgb="FFFF0000"/>
      <sz val="12"/>
      <scheme val="minor"/>
    </font>
    <font>
      <name val="Calibri"/>
      <family val="2"/>
      <b val="1"/>
      <i val="1"/>
      <color rgb="FFFF0000"/>
      <sz val="11"/>
      <scheme val="minor"/>
    </font>
    <font>
      <name val="Calibri"/>
      <family val="2"/>
      <b val="1"/>
      <color theme="1"/>
      <sz val="10"/>
      <scheme val="minor"/>
    </font>
    <font>
      <name val="Calibri"/>
      <family val="2"/>
      <sz val="8"/>
      <scheme val="minor"/>
    </font>
    <font>
      <name val="Calibri"/>
      <family val="2"/>
      <color theme="1"/>
      <sz val="12"/>
      <scheme val="minor"/>
    </font>
    <font>
      <name val="Calibri"/>
      <family val="2"/>
      <b val="1"/>
      <color theme="0"/>
      <sz val="14"/>
      <scheme val="minor"/>
    </font>
    <font>
      <name val="Calibri"/>
      <family val="2"/>
      <color theme="0"/>
      <sz val="12"/>
      <scheme val="minor"/>
    </font>
    <font>
      <name val="Calibri"/>
      <family val="2"/>
      <color theme="0"/>
      <sz val="11"/>
      <scheme val="minor"/>
    </font>
    <font>
      <name val="Live Nation Regular"/>
      <b val="1"/>
      <color theme="1"/>
      <sz val="16"/>
    </font>
    <font>
      <name val="Live Nation Regular"/>
      <color theme="1"/>
      <sz val="12"/>
    </font>
    <font>
      <name val="Live Nation Regular"/>
      <color theme="1"/>
      <sz val="10"/>
    </font>
    <font>
      <name val="Live Nation Regular"/>
      <b val="1"/>
      <color theme="1"/>
      <sz val="12"/>
    </font>
    <font>
      <name val="Live Nation Regular"/>
      <b val="1"/>
      <color theme="1"/>
      <sz val="11"/>
    </font>
    <font>
      <name val="Live Nation Regular"/>
      <b val="1"/>
      <color theme="1"/>
      <sz val="10"/>
    </font>
    <font>
      <name val="Live Nation Regular"/>
      <sz val="10"/>
    </font>
    <font>
      <name val="Live Nation Regular"/>
      <b val="1"/>
      <sz val="10"/>
    </font>
    <font>
      <name val="Live Nation Regular"/>
      <color theme="1"/>
      <sz val="11"/>
    </font>
    <font>
      <name val="Live Nation Regular"/>
      <b val="1"/>
      <sz val="11"/>
    </font>
    <font>
      <name val="Live Nation Regular"/>
      <sz val="11"/>
    </font>
    <font>
      <name val="Arial"/>
      <family val="2"/>
      <sz val="10"/>
    </font>
    <font>
      <name val="Times New Roman"/>
      <family val="1"/>
      <sz val="12"/>
    </font>
    <font>
      <name val="Arial"/>
      <family val="2"/>
      <b val="1"/>
      <color indexed="8"/>
      <sz val="11"/>
    </font>
    <font>
      <name val="Arial"/>
      <family val="2"/>
      <b val="1"/>
      <sz val="11"/>
    </font>
    <font>
      <name val="Arial"/>
      <family val="2"/>
      <b val="1"/>
      <color theme="0"/>
      <sz val="11"/>
    </font>
    <font>
      <name val="Helv"/>
      <sz val="10"/>
    </font>
    <font>
      <name val="Times"/>
      <family val="1"/>
      <b val="1"/>
      <sz val="11"/>
    </font>
    <font>
      <name val="Times"/>
      <family val="1"/>
      <sz val="11"/>
    </font>
    <font>
      <name val="Times"/>
      <family val="1"/>
      <i val="1"/>
      <sz val="11"/>
    </font>
    <font>
      <name val="Times"/>
      <family val="1"/>
      <b val="1"/>
      <color rgb="FFFF0000"/>
      <sz val="11"/>
    </font>
    <font>
      <name val="Times"/>
      <family val="1"/>
      <b val="1"/>
      <color theme="0"/>
      <sz val="11"/>
    </font>
    <font>
      <name val="Times"/>
      <b val="1"/>
      <color theme="0"/>
      <sz val="11"/>
    </font>
    <font>
      <name val="Live Nation Regular"/>
      <b val="1"/>
      <color theme="0"/>
      <sz val="10"/>
    </font>
    <font>
      <name val="Arial"/>
      <family val="2"/>
      <b val="1"/>
      <sz val="8"/>
    </font>
    <font>
      <name val="Arial"/>
      <family val="2"/>
      <sz val="8"/>
    </font>
    <font>
      <name val="Arial"/>
      <family val="2"/>
      <b val="1"/>
      <color theme="0"/>
      <sz val="8"/>
    </font>
    <font>
      <name val="Live Nation Regular"/>
      <b val="1"/>
      <color theme="0"/>
      <sz val="11"/>
    </font>
    <font>
      <name val="Calibri"/>
      <family val="2"/>
      <i val="1"/>
      <color rgb="FFFF5050"/>
      <sz val="11"/>
      <scheme val="minor"/>
    </font>
    <font>
      <name val="Live Nation Regular"/>
      <b val="1"/>
      <color theme="0"/>
      <sz val="12"/>
    </font>
    <font>
      <name val="Arial"/>
      <family val="2"/>
      <color theme="0"/>
      <sz val="11"/>
    </font>
    <font>
      <name val="Arial"/>
      <family val="2"/>
      <b val="1"/>
      <sz val="10"/>
    </font>
    <font>
      <name val="Arial"/>
      <family val="2"/>
      <sz val="11"/>
    </font>
    <font>
      <name val="Arial"/>
      <family val="2"/>
      <sz val="12"/>
    </font>
    <font>
      <name val="Arial"/>
      <family val="2"/>
      <b val="1"/>
      <sz val="12"/>
    </font>
    <font>
      <name val="Arial"/>
      <family val="2"/>
      <color theme="0"/>
      <sz val="10"/>
    </font>
    <font>
      <name val="Arial"/>
      <family val="2"/>
      <color rgb="FFFF0000"/>
      <sz val="10"/>
    </font>
    <font>
      <name val="Live Nation Regular"/>
      <color rgb="FFFF0000"/>
      <sz val="12"/>
    </font>
    <font>
      <name val="Times"/>
      <b val="1"/>
      <sz val="11"/>
    </font>
    <font>
      <name val="Times"/>
      <sz val="11"/>
    </font>
    <font>
      <name val="Arial"/>
      <family val="2"/>
      <color indexed="8"/>
      <sz val="11"/>
    </font>
    <font>
      <name val="Live Nation Regular"/>
      <b val="1"/>
      <i val="1"/>
      <sz val="10"/>
    </font>
    <font>
      <name val="Arial"/>
      <b val="1"/>
      <color rgb="00FFFFFF"/>
      <sz val="9"/>
    </font>
    <font>
      <name val="Arial"/>
      <color rgb="001F3864"/>
      <sz val="9"/>
    </font>
    <font>
      <name val="Arial"/>
      <b val="1"/>
      <color rgb="001F3864"/>
      <sz val="16"/>
    </font>
    <font>
      <name val="Arial"/>
      <color rgb="00595959"/>
      <sz val="9"/>
    </font>
    <font>
      <name val="Arial"/>
      <b val="1"/>
      <color rgb="001F3864"/>
      <sz val="9"/>
    </font>
    <font>
      <name val="Arial"/>
      <color rgb="00595959"/>
      <sz val="8"/>
    </font>
  </fonts>
  <fills count="18">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0000"/>
        <bgColor indexed="64"/>
      </patternFill>
    </fill>
    <fill>
      <patternFill patternType="solid">
        <fgColor theme="2"/>
        <bgColor indexed="64"/>
      </patternFill>
    </fill>
    <fill>
      <patternFill patternType="solid">
        <fgColor indexed="9"/>
        <bgColor indexed="64"/>
      </patternFill>
    </fill>
    <fill>
      <patternFill patternType="solid">
        <fgColor theme="0"/>
        <bgColor indexed="8"/>
      </patternFill>
    </fill>
    <fill>
      <patternFill patternType="solid">
        <fgColor theme="0"/>
        <bgColor indexed="9"/>
      </patternFill>
    </fill>
    <fill>
      <patternFill patternType="solid">
        <fgColor rgb="FFFF0000"/>
        <bgColor indexed="8"/>
      </patternFill>
    </fill>
    <fill>
      <patternFill patternType="solid">
        <fgColor theme="0" tint="-0.1499984740745262"/>
        <bgColor indexed="64"/>
      </patternFill>
    </fill>
    <fill>
      <patternFill patternType="solid">
        <fgColor rgb="FFFFFF00"/>
        <bgColor indexed="64"/>
      </patternFill>
    </fill>
    <fill>
      <patternFill patternType="solid">
        <fgColor theme="0" tint="-0.499984740745262"/>
        <bgColor indexed="64"/>
      </patternFill>
    </fill>
    <fill>
      <patternFill patternType="solid">
        <fgColor theme="9" tint="0.7999816888943144"/>
        <bgColor indexed="9"/>
      </patternFill>
    </fill>
    <fill>
      <patternFill patternType="solid">
        <fgColor theme="9" tint="0.7999816888943144"/>
        <bgColor indexed="64"/>
      </patternFill>
    </fill>
    <fill>
      <patternFill patternType="solid">
        <fgColor rgb="001F3864"/>
      </patternFill>
    </fill>
    <fill>
      <patternFill patternType="solid">
        <fgColor rgb="00FFF2CC"/>
      </patternFill>
    </fill>
    <fill>
      <patternFill patternType="solid">
        <fgColor rgb="00FCE4E4"/>
      </patternFill>
    </fill>
  </fills>
  <borders count="7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hair">
        <color indexed="64"/>
      </left>
      <right style="hair">
        <color indexed="64"/>
      </right>
      <top/>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bottom style="medium">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diagonal/>
    </border>
    <border>
      <left/>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indexed="8"/>
      </left>
      <right style="medium">
        <color indexed="8"/>
      </right>
      <top/>
      <bottom style="thin">
        <color indexed="8"/>
      </bottom>
      <diagonal/>
    </border>
    <border>
      <left/>
      <right/>
      <top/>
      <bottom style="thin">
        <color indexed="8"/>
      </bottom>
      <diagonal/>
    </border>
    <border>
      <left/>
      <right style="medium">
        <color indexed="64"/>
      </right>
      <top style="thin">
        <color indexed="64"/>
      </top>
      <bottom style="thin">
        <color indexed="64"/>
      </bottom>
      <diagonal/>
    </border>
    <border>
      <left style="medium">
        <color indexed="8"/>
      </left>
      <right/>
      <top style="thin">
        <color indexed="8"/>
      </top>
      <bottom style="thin">
        <color indexed="8"/>
      </bottom>
      <diagonal/>
    </border>
    <border>
      <left style="medium">
        <color indexed="64"/>
      </left>
      <right style="medium">
        <color indexed="64"/>
      </right>
      <top style="thin">
        <color indexed="64"/>
      </top>
      <bottom style="thin">
        <color indexed="64"/>
      </bottom>
      <diagonal/>
    </border>
    <border>
      <left style="medium">
        <color indexed="8"/>
      </left>
      <right style="medium">
        <color indexed="8"/>
      </right>
      <top/>
      <bottom/>
      <diagonal/>
    </border>
    <border>
      <left style="medium">
        <color indexed="64"/>
      </left>
      <right style="medium">
        <color indexed="64"/>
      </right>
      <top style="medium">
        <color indexed="64"/>
      </top>
      <bottom/>
      <diagonal/>
    </border>
    <border>
      <left style="medium">
        <color indexed="64"/>
      </left>
      <right style="medium">
        <color indexed="8"/>
      </right>
      <top style="medium">
        <color indexed="64"/>
      </top>
      <bottom style="thin">
        <color indexed="8"/>
      </bottom>
      <diagonal/>
    </border>
    <border>
      <left style="medium">
        <color indexed="64"/>
      </left>
      <right style="medium">
        <color indexed="8"/>
      </right>
      <top/>
      <bottom style="thin">
        <color indexed="8"/>
      </bottom>
      <diagonal/>
    </border>
    <border>
      <left style="medium">
        <color indexed="64"/>
      </left>
      <right style="medium">
        <color indexed="8"/>
      </right>
      <top style="thin">
        <color indexed="8"/>
      </top>
      <bottom style="thin">
        <color indexed="8"/>
      </bottom>
      <diagonal/>
    </border>
    <border>
      <left style="medium">
        <color indexed="64"/>
      </left>
      <right style="medium">
        <color indexed="8"/>
      </right>
      <top/>
      <bottom style="medium">
        <color indexed="64"/>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8"/>
      </left>
      <right style="medium">
        <color indexed="8"/>
      </right>
      <top/>
      <bottom style="thin">
        <color indexed="64"/>
      </bottom>
      <diagonal/>
    </border>
    <border>
      <left style="medium">
        <color indexed="8"/>
      </left>
      <right/>
      <top/>
      <bottom style="thin">
        <color indexed="64"/>
      </bottom>
      <diagonal/>
    </border>
    <border>
      <left style="medium">
        <color indexed="8"/>
      </left>
      <right style="medium">
        <color indexed="8"/>
      </right>
      <top style="medium">
        <color indexed="64"/>
      </top>
      <bottom style="thin">
        <color indexed="64"/>
      </bottom>
      <diagonal/>
    </border>
    <border>
      <left style="medium">
        <color indexed="64"/>
      </left>
      <right/>
      <top style="medium">
        <color indexed="64"/>
      </top>
      <bottom style="thin">
        <color indexed="64"/>
      </bottom>
      <diagonal/>
    </border>
    <border>
      <left style="medium">
        <color indexed="8"/>
      </left>
      <right style="medium">
        <color indexed="8"/>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8"/>
      </left>
      <right/>
      <top/>
      <bottom/>
      <diagonal/>
    </border>
    <border>
      <left/>
      <right style="medium">
        <color indexed="64"/>
      </right>
      <top style="medium">
        <color indexed="64"/>
      </top>
      <bottom/>
      <diagonal/>
    </border>
    <border>
      <left/>
      <right/>
      <top style="thin">
        <color indexed="64"/>
      </top>
      <bottom/>
      <diagonal/>
    </border>
  </borders>
  <cellStyleXfs count="13">
    <xf numFmtId="0" fontId="6" fillId="0" borderId="0"/>
    <xf numFmtId="43" fontId="6" fillId="0" borderId="0"/>
    <xf numFmtId="44" fontId="6" fillId="0" borderId="0"/>
    <xf numFmtId="9" fontId="6" fillId="0" borderId="0"/>
    <xf numFmtId="0" fontId="19" fillId="0" borderId="0"/>
    <xf numFmtId="0" fontId="18" fillId="0" borderId="0"/>
    <xf numFmtId="43" fontId="18" fillId="0" borderId="0"/>
    <xf numFmtId="9" fontId="18" fillId="0" borderId="0"/>
    <xf numFmtId="44" fontId="18" fillId="0" borderId="0"/>
    <xf numFmtId="0" fontId="41" fillId="0" borderId="0"/>
    <xf numFmtId="0" fontId="42" fillId="0" borderId="0"/>
    <xf numFmtId="37" fontId="46" fillId="0" borderId="0"/>
    <xf numFmtId="0" fontId="41" fillId="0" borderId="0"/>
  </cellStyleXfs>
  <cellXfs count="1031">
    <xf numFmtId="0" fontId="0" fillId="0" borderId="0" pivotButton="0" quotePrefix="0" xfId="0"/>
    <xf numFmtId="0" fontId="0" fillId="2" borderId="0" pivotButton="0" quotePrefix="0" xfId="0"/>
    <xf numFmtId="0" fontId="0" fillId="2" borderId="0" applyAlignment="1" pivotButton="0" quotePrefix="0" xfId="0">
      <alignment horizontal="center"/>
    </xf>
    <xf numFmtId="0" fontId="5" fillId="2" borderId="0" applyAlignment="1" pivotButton="0" quotePrefix="0" xfId="0">
      <alignment horizontal="center"/>
    </xf>
    <xf numFmtId="164" fontId="5" fillId="2" borderId="0" pivotButton="0" quotePrefix="0" xfId="2"/>
    <xf numFmtId="164" fontId="5" fillId="2" borderId="0" pivotButton="0" quotePrefix="0" xfId="2"/>
    <xf numFmtId="0" fontId="5" fillId="2" borderId="0" pivotButton="0" quotePrefix="0" xfId="0"/>
    <xf numFmtId="164" fontId="0" fillId="0" borderId="8" pivotButton="0" quotePrefix="0" xfId="2"/>
    <xf numFmtId="0" fontId="3" fillId="2" borderId="0" applyAlignment="1" pivotButton="0" quotePrefix="0" xfId="0">
      <alignment horizontal="left"/>
    </xf>
    <xf numFmtId="0" fontId="3" fillId="2" borderId="0" pivotButton="0" quotePrefix="0" xfId="0"/>
    <xf numFmtId="164" fontId="6" fillId="2" borderId="0" pivotButton="0" quotePrefix="0" xfId="2"/>
    <xf numFmtId="164" fontId="0" fillId="2" borderId="0" applyAlignment="1" pivotButton="0" quotePrefix="0" xfId="0">
      <alignment horizontal="center"/>
    </xf>
    <xf numFmtId="164" fontId="6" fillId="2" borderId="0" pivotButton="0" quotePrefix="0" xfId="2"/>
    <xf numFmtId="0" fontId="0" fillId="2" borderId="1" pivotButton="0" quotePrefix="0" xfId="0"/>
    <xf numFmtId="14" fontId="0" fillId="2" borderId="1" applyAlignment="1" pivotButton="0" quotePrefix="0" xfId="0">
      <alignment horizontal="center"/>
    </xf>
    <xf numFmtId="0" fontId="0" fillId="2" borderId="1" applyAlignment="1" pivotButton="0" quotePrefix="0" xfId="0">
      <alignment horizontal="center"/>
    </xf>
    <xf numFmtId="0" fontId="5" fillId="2" borderId="15" pivotButton="0" quotePrefix="0" xfId="0"/>
    <xf numFmtId="0" fontId="0" fillId="2" borderId="15" pivotButton="0" quotePrefix="0" xfId="0"/>
    <xf numFmtId="0" fontId="0" fillId="2" borderId="18" pivotButton="0" quotePrefix="0" xfId="0"/>
    <xf numFmtId="0" fontId="0" fillId="2" borderId="18" applyAlignment="1" pivotButton="0" quotePrefix="0" xfId="0">
      <alignment shrinkToFit="1"/>
    </xf>
    <xf numFmtId="0" fontId="0" fillId="2" borderId="15" applyAlignment="1" pivotButton="0" quotePrefix="0" xfId="0">
      <alignment horizontal="left"/>
    </xf>
    <xf numFmtId="0" fontId="0" fillId="2" borderId="18" applyAlignment="1" pivotButton="0" quotePrefix="0" xfId="0">
      <alignment horizontal="left"/>
    </xf>
    <xf numFmtId="0" fontId="3" fillId="2" borderId="15" pivotButton="0" quotePrefix="0" xfId="0"/>
    <xf numFmtId="0" fontId="5" fillId="2" borderId="9" applyAlignment="1" pivotButton="0" quotePrefix="0" xfId="0">
      <alignment horizontal="right"/>
    </xf>
    <xf numFmtId="0" fontId="3" fillId="2" borderId="22" pivotButton="0" quotePrefix="0" xfId="0"/>
    <xf numFmtId="0" fontId="3" fillId="2" borderId="25" pivotButton="0" quotePrefix="0" xfId="0"/>
    <xf numFmtId="0" fontId="9" fillId="2" borderId="0" applyAlignment="1" pivotButton="0" quotePrefix="0" xfId="0">
      <alignment horizontal="right"/>
    </xf>
    <xf numFmtId="0" fontId="13" fillId="2" borderId="0" applyAlignment="1" pivotButton="0" quotePrefix="0" xfId="0">
      <alignment horizontal="right"/>
    </xf>
    <xf numFmtId="0" fontId="14" fillId="2" borderId="0" applyAlignment="1" pivotButton="0" quotePrefix="0" xfId="0">
      <alignment horizontal="right"/>
    </xf>
    <xf numFmtId="164" fontId="0" fillId="2" borderId="16" pivotButton="0" quotePrefix="0" xfId="2"/>
    <xf numFmtId="164" fontId="0" fillId="2" borderId="17" pivotButton="0" quotePrefix="0" xfId="2"/>
    <xf numFmtId="164" fontId="0" fillId="2" borderId="1" pivotButton="0" quotePrefix="0" xfId="2"/>
    <xf numFmtId="164" fontId="0" fillId="2" borderId="0" pivotButton="0" quotePrefix="0" xfId="0"/>
    <xf numFmtId="164" fontId="0" fillId="2" borderId="23" pivotButton="0" quotePrefix="0" xfId="2"/>
    <xf numFmtId="164" fontId="0" fillId="2" borderId="24" pivotButton="0" quotePrefix="0" xfId="2"/>
    <xf numFmtId="164" fontId="5" fillId="2" borderId="11" pivotButton="0" quotePrefix="0" xfId="2"/>
    <xf numFmtId="164" fontId="6" fillId="2" borderId="16" applyAlignment="1" pivotButton="0" quotePrefix="0" xfId="2">
      <alignment horizontal="center"/>
    </xf>
    <xf numFmtId="164" fontId="6" fillId="2" borderId="1" applyAlignment="1" pivotButton="0" quotePrefix="0" xfId="2">
      <alignment horizontal="center"/>
    </xf>
    <xf numFmtId="164" fontId="6" fillId="2" borderId="1" pivotButton="0" quotePrefix="0" xfId="2"/>
    <xf numFmtId="164" fontId="5" fillId="2" borderId="10" pivotButton="0" quotePrefix="0" xfId="2"/>
    <xf numFmtId="164" fontId="6" fillId="2" borderId="16" pivotButton="0" quotePrefix="0" xfId="2"/>
    <xf numFmtId="0" fontId="9" fillId="2" borderId="0" applyAlignment="1" pivotButton="0" quotePrefix="0" xfId="0">
      <alignment horizontal="center"/>
    </xf>
    <xf numFmtId="0" fontId="7" fillId="2" borderId="2" applyAlignment="1" pivotButton="0" quotePrefix="0" xfId="0">
      <alignment horizontal="center" vertical="center"/>
    </xf>
    <xf numFmtId="0" fontId="7" fillId="2" borderId="0" applyAlignment="1" pivotButton="0" quotePrefix="0" xfId="0">
      <alignment horizontal="center" vertical="center"/>
    </xf>
    <xf numFmtId="42" fontId="0" fillId="2" borderId="0" pivotButton="0" quotePrefix="0" xfId="0"/>
    <xf numFmtId="0" fontId="7" fillId="2" borderId="0" pivotButton="0" quotePrefix="0" xfId="0"/>
    <xf numFmtId="42" fontId="7" fillId="2" borderId="0" pivotButton="0" quotePrefix="0" xfId="0"/>
    <xf numFmtId="42" fontId="0" fillId="2" borderId="2" pivotButton="0" quotePrefix="0" xfId="0"/>
    <xf numFmtId="164" fontId="3" fillId="2" borderId="2" pivotButton="0" quotePrefix="0" xfId="0"/>
    <xf numFmtId="9" fontId="0" fillId="2" borderId="0" pivotButton="0" quotePrefix="0" xfId="3"/>
    <xf numFmtId="164" fontId="0" fillId="2" borderId="27" pivotButton="0" quotePrefix="0" xfId="2"/>
    <xf numFmtId="0" fontId="7" fillId="2" borderId="0" applyAlignment="1" pivotButton="0" quotePrefix="0" xfId="0">
      <alignment horizontal="right"/>
    </xf>
    <xf numFmtId="164" fontId="5" fillId="2" borderId="0" applyAlignment="1" pivotButton="0" quotePrefix="0" xfId="2">
      <alignment horizontal="center"/>
    </xf>
    <xf numFmtId="0" fontId="7" fillId="2" borderId="2" applyAlignment="1" pivotButton="0" quotePrefix="0" xfId="0">
      <alignment horizontal="right"/>
    </xf>
    <xf numFmtId="0" fontId="3" fillId="2" borderId="0" applyAlignment="1" pivotButton="0" quotePrefix="0" xfId="0">
      <alignment horizontal="center"/>
    </xf>
    <xf numFmtId="164" fontId="7" fillId="2" borderId="2" pivotButton="0" quotePrefix="0" xfId="0"/>
    <xf numFmtId="165" fontId="0" fillId="2" borderId="0" pivotButton="0" quotePrefix="0" xfId="2"/>
    <xf numFmtId="166" fontId="0" fillId="2" borderId="1" applyAlignment="1" pivotButton="0" quotePrefix="0" xfId="2">
      <alignment horizontal="center"/>
    </xf>
    <xf numFmtId="14" fontId="0" fillId="2" borderId="1" pivotButton="0" quotePrefix="0" xfId="0"/>
    <xf numFmtId="0" fontId="15" fillId="4" borderId="3" applyAlignment="1" pivotButton="0" quotePrefix="0" xfId="0">
      <alignment horizontal="center" vertical="center"/>
    </xf>
    <xf numFmtId="0" fontId="15" fillId="4" borderId="3" applyAlignment="1" pivotButton="0" quotePrefix="0" xfId="0">
      <alignment horizontal="center"/>
    </xf>
    <xf numFmtId="0" fontId="15" fillId="4" borderId="1" applyAlignment="1" pivotButton="0" quotePrefix="0" xfId="0">
      <alignment horizontal="center"/>
    </xf>
    <xf numFmtId="165" fontId="15" fillId="4" borderId="1" applyAlignment="1" pivotButton="0" quotePrefix="0" xfId="2">
      <alignment horizontal="center"/>
    </xf>
    <xf numFmtId="0" fontId="15" fillId="4" borderId="5" applyAlignment="1" pivotButton="0" quotePrefix="0" xfId="0">
      <alignment horizontal="center"/>
    </xf>
    <xf numFmtId="0" fontId="12" fillId="2" borderId="0" applyAlignment="1" pivotButton="0" quotePrefix="0" xfId="0">
      <alignment horizontal="left" indent="1"/>
    </xf>
    <xf numFmtId="49" fontId="12" fillId="2" borderId="0" applyAlignment="1" pivotButton="0" quotePrefix="0" xfId="0">
      <alignment horizontal="left" indent="1"/>
    </xf>
    <xf numFmtId="0" fontId="0" fillId="2" borderId="0" applyAlignment="1" pivotButton="0" quotePrefix="0" xfId="0">
      <alignment horizontal="left" indent="1"/>
    </xf>
    <xf numFmtId="0" fontId="11" fillId="2" borderId="7" applyAlignment="1" pivotButton="0" quotePrefix="0" xfId="0">
      <alignment horizontal="left" indent="1"/>
    </xf>
    <xf numFmtId="43" fontId="0" fillId="2" borderId="0" pivotButton="0" quotePrefix="0" xfId="1"/>
    <xf numFmtId="43" fontId="15" fillId="4" borderId="1" applyAlignment="1" pivotButton="0" quotePrefix="0" xfId="1">
      <alignment horizontal="center"/>
    </xf>
    <xf numFmtId="0" fontId="0" fillId="2" borderId="0" applyAlignment="1" pivotButton="0" quotePrefix="0" xfId="0">
      <alignment horizontal="left"/>
    </xf>
    <xf numFmtId="0" fontId="15" fillId="4" borderId="1" applyAlignment="1" pivotButton="0" quotePrefix="0" xfId="0">
      <alignment horizontal="center" vertical="top"/>
    </xf>
    <xf numFmtId="0" fontId="0" fillId="2" borderId="0" applyAlignment="1" pivotButton="0" quotePrefix="0" xfId="0">
      <alignment vertical="top"/>
    </xf>
    <xf numFmtId="43" fontId="0" fillId="2" borderId="0" pivotButton="0" quotePrefix="0" xfId="1"/>
    <xf numFmtId="43" fontId="15" fillId="4" borderId="1" applyAlignment="1" pivotButton="0" quotePrefix="0" xfId="1">
      <alignment horizontal="center" vertical="top"/>
    </xf>
    <xf numFmtId="43" fontId="7" fillId="2" borderId="2" pivotButton="0" quotePrefix="0" xfId="1"/>
    <xf numFmtId="43" fontId="0" fillId="2" borderId="1" pivotButton="0" quotePrefix="0" xfId="1"/>
    <xf numFmtId="43" fontId="3" fillId="2" borderId="0" pivotButton="0" quotePrefix="0" xfId="1"/>
    <xf numFmtId="0" fontId="9" fillId="2" borderId="12" applyAlignment="1" pivotButton="0" quotePrefix="0" xfId="0">
      <alignment horizontal="center" vertical="center"/>
    </xf>
    <xf numFmtId="0" fontId="16" fillId="2" borderId="0" applyAlignment="1" pivotButton="0" quotePrefix="0" xfId="0">
      <alignment horizontal="center" vertical="center" wrapText="1"/>
    </xf>
    <xf numFmtId="0" fontId="16" fillId="2" borderId="0" applyAlignment="1" pivotButton="0" quotePrefix="0" xfId="0">
      <alignment horizontal="center" vertical="center"/>
    </xf>
    <xf numFmtId="0" fontId="16" fillId="2" borderId="0" applyAlignment="1" pivotButton="0" quotePrefix="0" xfId="0">
      <alignment horizontal="center" wrapText="1"/>
    </xf>
    <xf numFmtId="0" fontId="11" fillId="0" borderId="0" applyAlignment="1" pivotButton="0" quotePrefix="0" xfId="0">
      <alignment horizontal="right"/>
    </xf>
    <xf numFmtId="0" fontId="0" fillId="2" borderId="1" applyAlignment="1" pivotButton="0" quotePrefix="0" xfId="0">
      <alignment horizontal="left" indent="1"/>
    </xf>
    <xf numFmtId="0" fontId="5" fillId="2" borderId="0" applyAlignment="1" pivotButton="0" quotePrefix="0" xfId="0">
      <alignment horizontal="left" indent="1"/>
    </xf>
    <xf numFmtId="164" fontId="0" fillId="2" borderId="1" applyAlignment="1" pivotButton="0" quotePrefix="0" xfId="2">
      <alignment horizontal="center"/>
    </xf>
    <xf numFmtId="164" fontId="11" fillId="2" borderId="1" pivotButton="0" quotePrefix="0" xfId="2"/>
    <xf numFmtId="166" fontId="0" fillId="2" borderId="0" applyAlignment="1" pivotButton="0" quotePrefix="0" xfId="2">
      <alignment horizontal="center"/>
    </xf>
    <xf numFmtId="0" fontId="3" fillId="2" borderId="0" applyAlignment="1" pivotButton="0" quotePrefix="0" xfId="0">
      <alignment horizontal="right"/>
    </xf>
    <xf numFmtId="14" fontId="0" fillId="2" borderId="0" applyAlignment="1" pivotButton="0" quotePrefix="0" xfId="0">
      <alignment horizontal="center"/>
    </xf>
    <xf numFmtId="164" fontId="3" fillId="2" borderId="0" pivotButton="0" quotePrefix="0" xfId="2"/>
    <xf numFmtId="0" fontId="3" fillId="2" borderId="0" applyAlignment="1" pivotButton="0" quotePrefix="0" xfId="0">
      <alignment horizontal="right" indent="1"/>
    </xf>
    <xf numFmtId="164" fontId="17" fillId="2" borderId="0" pivotButton="0" quotePrefix="0" xfId="2"/>
    <xf numFmtId="43" fontId="0" fillId="0" borderId="1" pivotButton="0" quotePrefix="0" xfId="1"/>
    <xf numFmtId="165" fontId="0" fillId="2" borderId="0" pivotButton="0" quotePrefix="0" xfId="0"/>
    <xf numFmtId="0" fontId="0" fillId="2" borderId="1" applyAlignment="1" pivotButton="0" quotePrefix="1" xfId="0">
      <alignment horizontal="center"/>
    </xf>
    <xf numFmtId="14" fontId="0" fillId="2" borderId="0" pivotButton="0" quotePrefix="0" xfId="0"/>
    <xf numFmtId="14" fontId="0" fillId="2" borderId="0" applyAlignment="1" pivotButton="0" quotePrefix="0" xfId="0">
      <alignment horizontal="left"/>
    </xf>
    <xf numFmtId="42" fontId="3" fillId="2" borderId="0" pivotButton="0" quotePrefix="0" xfId="0"/>
    <xf numFmtId="42" fontId="3" fillId="2" borderId="3" pivotButton="0" quotePrefix="0" xfId="0"/>
    <xf numFmtId="0" fontId="0" fillId="0" borderId="1" pivotButton="0" quotePrefix="0" xfId="0"/>
    <xf numFmtId="42" fontId="8" fillId="2" borderId="0" pivotButton="0" quotePrefix="0" xfId="0"/>
    <xf numFmtId="164" fontId="7" fillId="2" borderId="0" pivotButton="0" quotePrefix="0" xfId="2"/>
    <xf numFmtId="164" fontId="3" fillId="5" borderId="3" pivotButton="0" quotePrefix="0" xfId="0"/>
    <xf numFmtId="0" fontId="3" fillId="2" borderId="5" pivotButton="0" quotePrefix="0" xfId="0"/>
    <xf numFmtId="164" fontId="0" fillId="2" borderId="14" pivotButton="0" quotePrefix="0" xfId="0"/>
    <xf numFmtId="164" fontId="0" fillId="2" borderId="11" pivotButton="0" quotePrefix="0" xfId="0"/>
    <xf numFmtId="0" fontId="15" fillId="4" borderId="9" applyAlignment="1" pivotButton="0" quotePrefix="0" xfId="0">
      <alignment vertical="center"/>
    </xf>
    <xf numFmtId="164" fontId="0" fillId="0" borderId="1" pivotButton="0" quotePrefix="0" xfId="2"/>
    <xf numFmtId="43" fontId="0" fillId="2" borderId="0" pivotButton="0" quotePrefix="0" xfId="0"/>
    <xf numFmtId="0" fontId="0" fillId="0" borderId="0" applyAlignment="1" pivotButton="0" quotePrefix="1" xfId="0">
      <alignment horizontal="center"/>
    </xf>
    <xf numFmtId="14" fontId="0" fillId="2" borderId="0" applyAlignment="1" pivotButton="0" quotePrefix="0" xfId="0">
      <alignment horizontal="right"/>
    </xf>
    <xf numFmtId="43" fontId="0" fillId="0" borderId="0" pivotButton="0" quotePrefix="0" xfId="1"/>
    <xf numFmtId="0" fontId="4" fillId="2" borderId="0" applyAlignment="1" pivotButton="0" quotePrefix="0" xfId="0">
      <alignment horizontal="center"/>
    </xf>
    <xf numFmtId="0" fontId="4" fillId="2" borderId="0" applyAlignment="1" pivotButton="0" quotePrefix="0" xfId="0">
      <alignment horizontal="left"/>
    </xf>
    <xf numFmtId="164" fontId="3" fillId="2" borderId="16" pivotButton="0" quotePrefix="0" xfId="2"/>
    <xf numFmtId="164" fontId="0" fillId="2" borderId="33" applyAlignment="1" pivotButton="0" quotePrefix="0" xfId="0">
      <alignment horizontal="center"/>
    </xf>
    <xf numFmtId="164" fontId="0" fillId="2" borderId="19" pivotButton="0" quotePrefix="0" xfId="2"/>
    <xf numFmtId="0" fontId="15" fillId="4" borderId="1" pivotButton="0" quotePrefix="0" xfId="0"/>
    <xf numFmtId="0" fontId="3" fillId="2" borderId="18" pivotButton="0" quotePrefix="0" xfId="0"/>
    <xf numFmtId="14" fontId="12" fillId="2" borderId="0" applyAlignment="1" pivotButton="0" quotePrefix="0" xfId="0">
      <alignment horizontal="left" indent="1"/>
    </xf>
    <xf numFmtId="164" fontId="12" fillId="2" borderId="0" applyAlignment="1" pivotButton="0" quotePrefix="0" xfId="2">
      <alignment horizontal="left"/>
    </xf>
    <xf numFmtId="43" fontId="22" fillId="2" borderId="0" pivotButton="0" quotePrefix="0" xfId="1"/>
    <xf numFmtId="43" fontId="23" fillId="2" borderId="0" pivotButton="0" quotePrefix="0" xfId="1"/>
    <xf numFmtId="164" fontId="10" fillId="2" borderId="34" pivotButton="0" quotePrefix="0" xfId="0"/>
    <xf numFmtId="164" fontId="5" fillId="2" borderId="35" pivotButton="0" quotePrefix="0" xfId="2"/>
    <xf numFmtId="0" fontId="10" fillId="2" borderId="36" applyAlignment="1" pivotButton="0" quotePrefix="0" xfId="0">
      <alignment horizontal="left"/>
    </xf>
    <xf numFmtId="164" fontId="3" fillId="2" borderId="17" pivotButton="0" quotePrefix="0" xfId="2"/>
    <xf numFmtId="0" fontId="4" fillId="2" borderId="37" pivotButton="0" quotePrefix="0" xfId="0"/>
    <xf numFmtId="164" fontId="0" fillId="2" borderId="38" pivotButton="0" quotePrefix="0" xfId="2"/>
    <xf numFmtId="164" fontId="0" fillId="2" borderId="38" pivotButton="0" quotePrefix="0" xfId="0"/>
    <xf numFmtId="164" fontId="0" fillId="2" borderId="39" pivotButton="0" quotePrefix="0" xfId="0"/>
    <xf numFmtId="164" fontId="9" fillId="2" borderId="0" pivotButton="0" quotePrefix="0" xfId="0"/>
    <xf numFmtId="164" fontId="9" fillId="2" borderId="28" pivotButton="0" quotePrefix="0" xfId="0"/>
    <xf numFmtId="17" fontId="11" fillId="2" borderId="0" applyAlignment="1" pivotButton="0" quotePrefix="1" xfId="1">
      <alignment horizontal="left"/>
    </xf>
    <xf numFmtId="0" fontId="15" fillId="2" borderId="0" applyAlignment="1" pivotButton="0" quotePrefix="0" xfId="0">
      <alignment horizontal="center"/>
    </xf>
    <xf numFmtId="164" fontId="15" fillId="2" borderId="0" applyAlignment="1" pivotButton="0" quotePrefix="0" xfId="2">
      <alignment horizontal="left" indent="1"/>
    </xf>
    <xf numFmtId="0" fontId="9" fillId="2" borderId="0" applyAlignment="1" pivotButton="0" quotePrefix="0" xfId="0">
      <alignment horizontal="right" indent="1"/>
    </xf>
    <xf numFmtId="0" fontId="15" fillId="4" borderId="1" applyAlignment="1" pivotButton="0" quotePrefix="0" xfId="0">
      <alignment horizontal="center" vertical="top" wrapText="1"/>
    </xf>
    <xf numFmtId="0" fontId="11" fillId="2" borderId="1" applyAlignment="1" pivotButton="0" quotePrefix="0" xfId="0">
      <alignment horizontal="left" indent="1"/>
    </xf>
    <xf numFmtId="164" fontId="0" fillId="2" borderId="0" pivotButton="0" quotePrefix="0" xfId="2"/>
    <xf numFmtId="0" fontId="3" fillId="2" borderId="36" pivotButton="0" quotePrefix="0" xfId="0"/>
    <xf numFmtId="164" fontId="0" fillId="2" borderId="34" pivotButton="0" quotePrefix="0" xfId="2"/>
    <xf numFmtId="164" fontId="0" fillId="2" borderId="35" pivotButton="0" quotePrefix="0" xfId="2"/>
    <xf numFmtId="0" fontId="4" fillId="2" borderId="1" applyAlignment="1" pivotButton="0" quotePrefix="0" xfId="0">
      <alignment horizontal="center"/>
    </xf>
    <xf numFmtId="165" fontId="0" fillId="2" borderId="1" pivotButton="0" quotePrefix="0" xfId="2"/>
    <xf numFmtId="164" fontId="0" fillId="2" borderId="0" applyAlignment="1" pivotButton="0" quotePrefix="0" xfId="2">
      <alignment horizontal="center"/>
    </xf>
    <xf numFmtId="14" fontId="11" fillId="2" borderId="1" applyAlignment="1" pivotButton="0" quotePrefix="0" xfId="0">
      <alignment horizontal="left"/>
    </xf>
    <xf numFmtId="0" fontId="11" fillId="2" borderId="1" applyAlignment="1" pivotButton="0" quotePrefix="0" xfId="0">
      <alignment horizontal="center"/>
    </xf>
    <xf numFmtId="43" fontId="11" fillId="2" borderId="1" pivotButton="0" quotePrefix="0" xfId="1"/>
    <xf numFmtId="42" fontId="7" fillId="2" borderId="0" applyAlignment="1" pivotButton="0" quotePrefix="0" xfId="0">
      <alignment horizontal="right"/>
    </xf>
    <xf numFmtId="42" fontId="3" fillId="2" borderId="2" pivotButton="0" quotePrefix="0" xfId="0"/>
    <xf numFmtId="0" fontId="15" fillId="4" borderId="1" applyAlignment="1" pivotButton="0" quotePrefix="0" xfId="0">
      <alignment horizontal="left" indent="1"/>
    </xf>
    <xf numFmtId="0" fontId="3" fillId="2" borderId="1" applyAlignment="1" pivotButton="0" quotePrefix="0" xfId="0">
      <alignment horizontal="left" indent="1"/>
    </xf>
    <xf numFmtId="0" fontId="0" fillId="0" borderId="1" applyAlignment="1" pivotButton="0" quotePrefix="0" xfId="0">
      <alignment horizontal="left" indent="1"/>
    </xf>
    <xf numFmtId="0" fontId="3" fillId="2" borderId="0" applyAlignment="1" pivotButton="0" quotePrefix="0" xfId="0">
      <alignment horizontal="left" indent="1"/>
    </xf>
    <xf numFmtId="0" fontId="16" fillId="4" borderId="9" applyAlignment="1" pivotButton="0" quotePrefix="0" xfId="0">
      <alignment horizontal="center" vertical="top"/>
    </xf>
    <xf numFmtId="0" fontId="16" fillId="4" borderId="26" applyAlignment="1" pivotButton="0" quotePrefix="0" xfId="0">
      <alignment horizontal="center" vertical="top"/>
    </xf>
    <xf numFmtId="0" fontId="16" fillId="4" borderId="10" applyAlignment="1" pivotButton="0" quotePrefix="0" xfId="0">
      <alignment horizontal="center" vertical="top"/>
    </xf>
    <xf numFmtId="0" fontId="16" fillId="4" borderId="10" applyAlignment="1" pivotButton="0" quotePrefix="0" xfId="0">
      <alignment horizontal="center" vertical="top" wrapText="1"/>
    </xf>
    <xf numFmtId="0" fontId="16" fillId="4" borderId="11" applyAlignment="1" pivotButton="0" quotePrefix="0" xfId="0">
      <alignment horizontal="center" vertical="top"/>
    </xf>
    <xf numFmtId="164" fontId="0" fillId="2" borderId="4" applyAlignment="1" pivotButton="0" quotePrefix="0" xfId="2">
      <alignment horizontal="center"/>
    </xf>
    <xf numFmtId="0" fontId="15" fillId="4" borderId="29" pivotButton="0" quotePrefix="0" xfId="0"/>
    <xf numFmtId="0" fontId="15" fillId="4" borderId="30" pivotButton="0" quotePrefix="0" xfId="0"/>
    <xf numFmtId="0" fontId="15" fillId="4" borderId="31" pivotButton="0" quotePrefix="0" xfId="0"/>
    <xf numFmtId="43" fontId="0" fillId="2" borderId="0" applyAlignment="1" pivotButton="0" quotePrefix="0" xfId="0">
      <alignment horizontal="left" indent="1"/>
    </xf>
    <xf numFmtId="0" fontId="5" fillId="2" borderId="30" applyAlignment="1" pivotButton="0" quotePrefix="0" xfId="0">
      <alignment horizontal="left" indent="1"/>
    </xf>
    <xf numFmtId="0" fontId="5" fillId="2" borderId="30" pivotButton="0" quotePrefix="0" xfId="0"/>
    <xf numFmtId="0" fontId="5" fillId="2" borderId="29" pivotButton="0" quotePrefix="0" xfId="0"/>
    <xf numFmtId="0" fontId="7" fillId="2" borderId="3" applyAlignment="1" pivotButton="0" quotePrefix="0" xfId="0">
      <alignment horizontal="center" vertical="center" wrapText="1"/>
    </xf>
    <xf numFmtId="0" fontId="9" fillId="2" borderId="1" applyAlignment="1" pivotButton="0" quotePrefix="0" xfId="0">
      <alignment horizontal="center" vertical="center"/>
    </xf>
    <xf numFmtId="164" fontId="0" fillId="0" borderId="1" pivotButton="0" quotePrefix="0" xfId="2"/>
    <xf numFmtId="0" fontId="5" fillId="2" borderId="1" applyAlignment="1" pivotButton="0" quotePrefix="0" xfId="0">
      <alignment horizontal="right"/>
    </xf>
    <xf numFmtId="164" fontId="5" fillId="0" borderId="1" pivotButton="0" quotePrefix="0" xfId="2"/>
    <xf numFmtId="164" fontId="5" fillId="2" borderId="1" pivotButton="0" quotePrefix="0" xfId="2"/>
    <xf numFmtId="0" fontId="0" fillId="2" borderId="1" applyAlignment="1" pivotButton="0" quotePrefix="0" xfId="0">
      <alignment horizontal="left" shrinkToFit="1" indent="1"/>
    </xf>
    <xf numFmtId="164" fontId="0" fillId="2" borderId="1" pivotButton="0" quotePrefix="0" xfId="2"/>
    <xf numFmtId="165" fontId="0" fillId="0" borderId="1" pivotButton="0" quotePrefix="0" xfId="2"/>
    <xf numFmtId="0" fontId="0" fillId="0" borderId="1" applyAlignment="1" pivotButton="0" quotePrefix="0" xfId="0">
      <alignment horizontal="center"/>
    </xf>
    <xf numFmtId="0" fontId="5" fillId="2" borderId="1" applyAlignment="1" pivotButton="0" quotePrefix="0" xfId="0">
      <alignment horizontal="right" indent="1"/>
    </xf>
    <xf numFmtId="0" fontId="5" fillId="2" borderId="1" pivotButton="0" quotePrefix="0" xfId="0"/>
    <xf numFmtId="0" fontId="4" fillId="2" borderId="1" applyAlignment="1" pivotButton="0" quotePrefix="0" xfId="0">
      <alignment horizontal="left" indent="1"/>
    </xf>
    <xf numFmtId="164" fontId="0" fillId="0" borderId="1" applyAlignment="1" pivotButton="0" quotePrefix="0" xfId="2">
      <alignment horizontal="center"/>
    </xf>
    <xf numFmtId="0" fontId="4" fillId="0" borderId="1" applyAlignment="1" pivotButton="0" quotePrefix="0" xfId="0">
      <alignment horizontal="center"/>
    </xf>
    <xf numFmtId="0" fontId="4" fillId="0" borderId="1" applyAlignment="1" pivotButton="0" quotePrefix="0" xfId="0">
      <alignment horizontal="left" indent="1"/>
    </xf>
    <xf numFmtId="164" fontId="11" fillId="0" borderId="1" pivotButton="0" quotePrefix="0" xfId="2"/>
    <xf numFmtId="164" fontId="5" fillId="2" borderId="1" applyAlignment="1" pivotButton="0" quotePrefix="0" xfId="2">
      <alignment horizontal="center"/>
    </xf>
    <xf numFmtId="164" fontId="0" fillId="2" borderId="1" pivotButton="0" quotePrefix="0" xfId="0"/>
    <xf numFmtId="0" fontId="9" fillId="2" borderId="29" applyAlignment="1" pivotButton="0" quotePrefix="0" xfId="0">
      <alignment horizontal="left" vertical="center" indent="1"/>
    </xf>
    <xf numFmtId="0" fontId="9" fillId="2" borderId="30" applyAlignment="1" pivotButton="0" quotePrefix="0" xfId="0">
      <alignment vertical="center"/>
    </xf>
    <xf numFmtId="0" fontId="9" fillId="2" borderId="31" applyAlignment="1" pivotButton="0" quotePrefix="0" xfId="0">
      <alignment vertical="center"/>
    </xf>
    <xf numFmtId="164" fontId="0" fillId="0" borderId="13" pivotButton="0" quotePrefix="0" xfId="2"/>
    <xf numFmtId="0" fontId="0" fillId="3" borderId="25" pivotButton="0" quotePrefix="0" xfId="0"/>
    <xf numFmtId="0" fontId="0" fillId="3" borderId="0" pivotButton="0" quotePrefix="0" xfId="0"/>
    <xf numFmtId="0" fontId="0" fillId="3" borderId="0" applyAlignment="1" pivotButton="0" quotePrefix="0" xfId="0">
      <alignment horizontal="left" indent="1"/>
    </xf>
    <xf numFmtId="0" fontId="0" fillId="3" borderId="40" pivotButton="0" quotePrefix="0" xfId="0"/>
    <xf numFmtId="0" fontId="5" fillId="2" borderId="31" applyAlignment="1" pivotButton="0" quotePrefix="0" xfId="0">
      <alignment horizontal="right" indent="1"/>
    </xf>
    <xf numFmtId="0" fontId="15" fillId="4" borderId="41" applyAlignment="1" pivotButton="0" quotePrefix="0" xfId="0">
      <alignment horizontal="left" indent="1"/>
    </xf>
    <xf numFmtId="0" fontId="15" fillId="4" borderId="30" applyAlignment="1" pivotButton="0" quotePrefix="0" xfId="0">
      <alignment horizontal="center"/>
    </xf>
    <xf numFmtId="164" fontId="5" fillId="2" borderId="3" applyAlignment="1" pivotButton="0" quotePrefix="0" xfId="2">
      <alignment horizontal="center"/>
    </xf>
    <xf numFmtId="0" fontId="15" fillId="4" borderId="23" applyAlignment="1" pivotButton="0" quotePrefix="0" xfId="0">
      <alignment horizontal="center"/>
    </xf>
    <xf numFmtId="0" fontId="15" fillId="4" borderId="33" applyAlignment="1" pivotButton="0" quotePrefix="0" xfId="0">
      <alignment horizontal="center"/>
    </xf>
    <xf numFmtId="0" fontId="15" fillId="4" borderId="42" applyAlignment="1" pivotButton="0" quotePrefix="0" xfId="0">
      <alignment horizontal="left" indent="1"/>
    </xf>
    <xf numFmtId="0" fontId="15" fillId="4" borderId="32" pivotButton="0" quotePrefix="0" xfId="0"/>
    <xf numFmtId="0" fontId="15" fillId="4" borderId="43" pivotButton="0" quotePrefix="0" xfId="0"/>
    <xf numFmtId="0" fontId="4" fillId="2" borderId="1" applyAlignment="1" pivotButton="0" quotePrefix="0" xfId="0">
      <alignment horizontal="left"/>
    </xf>
    <xf numFmtId="0" fontId="15" fillId="4" borderId="44" applyAlignment="1" pivotButton="0" quotePrefix="0" xfId="0">
      <alignment horizontal="center"/>
    </xf>
    <xf numFmtId="0" fontId="15" fillId="4" borderId="0" applyAlignment="1" pivotButton="0" quotePrefix="0" xfId="0">
      <alignment horizontal="center"/>
    </xf>
    <xf numFmtId="0" fontId="15" fillId="4" borderId="45" applyAlignment="1" pivotButton="0" quotePrefix="0" xfId="0">
      <alignment horizontal="left" indent="1"/>
    </xf>
    <xf numFmtId="0" fontId="15" fillId="4" borderId="0" pivotButton="0" quotePrefix="0" xfId="0"/>
    <xf numFmtId="0" fontId="15" fillId="4" borderId="46" pivotButton="0" quotePrefix="0" xfId="0"/>
    <xf numFmtId="0" fontId="9" fillId="2" borderId="29" applyAlignment="1" pivotButton="0" quotePrefix="0" xfId="0">
      <alignment horizontal="left" vertical="center" indent="2"/>
    </xf>
    <xf numFmtId="165" fontId="3" fillId="2" borderId="30" applyAlignment="1" pivotButton="0" quotePrefix="0" xfId="0">
      <alignment vertical="center"/>
    </xf>
    <xf numFmtId="0" fontId="15" fillId="4" borderId="47" pivotButton="0" quotePrefix="0" xfId="0"/>
    <xf numFmtId="0" fontId="9" fillId="2" borderId="30" applyAlignment="1" pivotButton="0" quotePrefix="0" xfId="0">
      <alignment horizontal="center" vertical="center"/>
    </xf>
    <xf numFmtId="0" fontId="16" fillId="4" borderId="11" applyAlignment="1" pivotButton="0" quotePrefix="0" xfId="0">
      <alignment horizontal="center" vertical="top" wrapText="1"/>
    </xf>
    <xf numFmtId="0" fontId="9" fillId="2" borderId="2" applyAlignment="1" pivotButton="0" quotePrefix="0" xfId="0">
      <alignment vertical="center"/>
    </xf>
    <xf numFmtId="164" fontId="9" fillId="2" borderId="28" applyAlignment="1" pivotButton="0" quotePrefix="0" xfId="0">
      <alignment shrinkToFit="1"/>
    </xf>
    <xf numFmtId="164" fontId="6" fillId="0" borderId="1" pivotButton="0" quotePrefix="0" xfId="2"/>
    <xf numFmtId="43" fontId="3" fillId="2" borderId="0" pivotButton="0" quotePrefix="0" xfId="0"/>
    <xf numFmtId="0" fontId="0" fillId="2" borderId="0" applyAlignment="1" pivotButton="0" quotePrefix="0" xfId="0">
      <alignment horizontal="right"/>
    </xf>
    <xf numFmtId="0" fontId="15" fillId="4" borderId="29" applyAlignment="1" pivotButton="0" quotePrefix="0" xfId="0">
      <alignment horizontal="left" indent="1"/>
    </xf>
    <xf numFmtId="0" fontId="26" fillId="2" borderId="0" pivotButton="0" quotePrefix="0" xfId="0"/>
    <xf numFmtId="0" fontId="16" fillId="4" borderId="3" applyAlignment="1" pivotButton="0" quotePrefix="0" xfId="0">
      <alignment horizontal="center" vertical="top" wrapText="1"/>
    </xf>
    <xf numFmtId="0" fontId="16" fillId="2" borderId="0" applyAlignment="1" pivotButton="0" quotePrefix="0" xfId="0">
      <alignment horizontal="right"/>
    </xf>
    <xf numFmtId="0" fontId="28" fillId="2" borderId="0" pivotButton="0" quotePrefix="0" xfId="0"/>
    <xf numFmtId="164" fontId="3" fillId="2" borderId="0" pivotButton="0" quotePrefix="0" xfId="0"/>
    <xf numFmtId="164" fontId="6" fillId="2" borderId="0" applyAlignment="1" pivotButton="0" quotePrefix="0" xfId="2">
      <alignment horizontal="center"/>
    </xf>
    <xf numFmtId="164" fontId="6" fillId="2" borderId="4" applyAlignment="1" pivotButton="0" quotePrefix="0" xfId="2">
      <alignment horizontal="center"/>
    </xf>
    <xf numFmtId="43" fontId="3" fillId="2" borderId="0" pivotButton="0" quotePrefix="0" xfId="1"/>
    <xf numFmtId="0" fontId="15" fillId="4" borderId="3" applyAlignment="1" pivotButton="0" quotePrefix="0" xfId="0">
      <alignment vertical="center"/>
    </xf>
    <xf numFmtId="164" fontId="4" fillId="2" borderId="1" applyAlignment="1" pivotButton="0" quotePrefix="0" xfId="0">
      <alignment horizontal="center"/>
    </xf>
    <xf numFmtId="164" fontId="0" fillId="2" borderId="1" applyAlignment="1" pivotButton="0" quotePrefix="0" xfId="0">
      <alignment horizontal="left" indent="1"/>
    </xf>
    <xf numFmtId="164" fontId="0" fillId="2" borderId="1" applyAlignment="1" pivotButton="0" quotePrefix="0" xfId="0">
      <alignment horizontal="left" shrinkToFit="1" indent="1"/>
    </xf>
    <xf numFmtId="0" fontId="31" fillId="2" borderId="0" pivotButton="0" quotePrefix="0" xfId="0"/>
    <xf numFmtId="0" fontId="31" fillId="2" borderId="0" applyAlignment="1" pivotButton="0" quotePrefix="0" xfId="0">
      <alignment horizontal="center" vertical="center" wrapText="1"/>
    </xf>
    <xf numFmtId="15" fontId="33" fillId="2" borderId="0" applyAlignment="1" pivotButton="0" quotePrefix="0" xfId="0">
      <alignment horizontal="center"/>
    </xf>
    <xf numFmtId="0" fontId="32" fillId="2" borderId="0" pivotButton="0" quotePrefix="0" xfId="0"/>
    <xf numFmtId="0" fontId="32" fillId="2" borderId="0" applyAlignment="1" pivotButton="0" quotePrefix="0" xfId="0">
      <alignment horizontal="center"/>
    </xf>
    <xf numFmtId="0" fontId="34" fillId="2" borderId="0" applyAlignment="1" pivotButton="0" quotePrefix="0" xfId="0">
      <alignment horizontal="center" vertical="center"/>
    </xf>
    <xf numFmtId="0" fontId="35" fillId="2" borderId="0" applyAlignment="1" pivotButton="0" quotePrefix="0" xfId="0">
      <alignment vertical="center"/>
    </xf>
    <xf numFmtId="0" fontId="3" fillId="2" borderId="0" applyAlignment="1" pivotButton="0" quotePrefix="0" xfId="0">
      <alignment vertical="center"/>
    </xf>
    <xf numFmtId="0" fontId="34" fillId="2" borderId="0" applyAlignment="1" pivotButton="0" quotePrefix="0" xfId="0">
      <alignment horizontal="center"/>
    </xf>
    <xf numFmtId="0" fontId="34" fillId="2" borderId="0" pivotButton="0" quotePrefix="0" xfId="0"/>
    <xf numFmtId="3" fontId="32" fillId="2" borderId="0" pivotButton="0" quotePrefix="0" xfId="0"/>
    <xf numFmtId="0" fontId="6" fillId="2" borderId="0" pivotButton="0" quotePrefix="0" xfId="0"/>
    <xf numFmtId="0" fontId="36" fillId="2" borderId="0" pivotButton="0" quotePrefix="0" xfId="0"/>
    <xf numFmtId="0" fontId="37" fillId="2" borderId="0" pivotButton="0" quotePrefix="0" xfId="0"/>
    <xf numFmtId="42" fontId="32" fillId="2" borderId="0" pivotButton="0" quotePrefix="0" xfId="0"/>
    <xf numFmtId="0" fontId="38" fillId="2" borderId="0" pivotButton="0" quotePrefix="0" xfId="0"/>
    <xf numFmtId="3" fontId="6" fillId="2" borderId="0" pivotButton="0" quotePrefix="0" xfId="0"/>
    <xf numFmtId="0" fontId="39" fillId="2" borderId="0" pivotButton="0" quotePrefix="0" xfId="0"/>
    <xf numFmtId="42" fontId="36" fillId="2" borderId="0" pivotButton="0" quotePrefix="0" xfId="0"/>
    <xf numFmtId="42" fontId="35" fillId="2" borderId="0" pivotButton="0" quotePrefix="0" xfId="0"/>
    <xf numFmtId="0" fontId="34" fillId="2" borderId="0" applyAlignment="1" pivotButton="0" quotePrefix="0" xfId="0">
      <alignment horizontal="left"/>
    </xf>
    <xf numFmtId="0" fontId="35" fillId="2" borderId="0" pivotButton="0" quotePrefix="0" xfId="0"/>
    <xf numFmtId="165" fontId="6" fillId="2" borderId="0" pivotButton="0" quotePrefix="0" xfId="0"/>
    <xf numFmtId="167" fontId="35" fillId="2" borderId="0" pivotButton="0" quotePrefix="0" xfId="0"/>
    <xf numFmtId="0" fontId="40" fillId="2" borderId="0" pivotButton="0" quotePrefix="0" xfId="0"/>
    <xf numFmtId="0" fontId="11" fillId="2" borderId="0" pivotButton="0" quotePrefix="0" xfId="0"/>
    <xf numFmtId="0" fontId="19" fillId="2" borderId="0" pivotButton="0" quotePrefix="0" xfId="0"/>
    <xf numFmtId="0" fontId="19" fillId="2" borderId="0" applyAlignment="1" pivotButton="0" quotePrefix="0" xfId="0">
      <alignment horizontal="center"/>
    </xf>
    <xf numFmtId="0" fontId="6" fillId="2" borderId="0" applyAlignment="1" pivotButton="0" quotePrefix="0" xfId="0">
      <alignment horizontal="center"/>
    </xf>
    <xf numFmtId="0" fontId="7" fillId="2" borderId="0" applyAlignment="1" pivotButton="0" quotePrefix="0" xfId="0">
      <alignment horizontal="center"/>
    </xf>
    <xf numFmtId="0" fontId="43" fillId="8" borderId="48" applyAlignment="1" pivotButton="0" quotePrefix="1" xfId="10">
      <alignment horizontal="center" vertical="center"/>
    </xf>
    <xf numFmtId="168" fontId="43" fillId="8" borderId="56" applyAlignment="1" pivotButton="0" quotePrefix="0" xfId="10">
      <alignment horizontal="center" vertical="center"/>
    </xf>
    <xf numFmtId="0" fontId="43" fillId="2" borderId="49" applyAlignment="1" pivotButton="0" quotePrefix="0" xfId="10">
      <alignment vertical="center"/>
    </xf>
    <xf numFmtId="168" fontId="43" fillId="8" borderId="57" applyAlignment="1" pivotButton="0" quotePrefix="0" xfId="10">
      <alignment horizontal="center" vertical="center"/>
    </xf>
    <xf numFmtId="168" fontId="43" fillId="8" borderId="53" applyAlignment="1" pivotButton="0" quotePrefix="0" xfId="10">
      <alignment horizontal="center" vertical="center"/>
    </xf>
    <xf numFmtId="37" fontId="43" fillId="7" borderId="4" applyAlignment="1" applyProtection="1" pivotButton="0" quotePrefix="1" xfId="9">
      <alignment horizontal="center" vertical="center"/>
      <protection locked="0" hidden="0"/>
    </xf>
    <xf numFmtId="0" fontId="43" fillId="8" borderId="0" applyAlignment="1" pivotButton="0" quotePrefix="0" xfId="10">
      <alignment vertical="center"/>
    </xf>
    <xf numFmtId="37" fontId="44" fillId="2" borderId="4" applyAlignment="1" applyProtection="1" pivotButton="0" quotePrefix="0" xfId="9">
      <alignment horizontal="center" vertical="center"/>
      <protection locked="0" hidden="0"/>
    </xf>
    <xf numFmtId="37" fontId="44" fillId="2" borderId="25" applyAlignment="1" applyProtection="1" pivotButton="0" quotePrefix="0" xfId="9">
      <alignment horizontal="left" vertical="center"/>
      <protection locked="0" hidden="0"/>
    </xf>
    <xf numFmtId="0" fontId="31" fillId="2" borderId="0" applyAlignment="1" pivotButton="0" quotePrefix="0" xfId="0">
      <alignment horizontal="right" vertical="center"/>
    </xf>
    <xf numFmtId="0" fontId="44" fillId="2" borderId="50" applyAlignment="1" applyProtection="1" pivotButton="0" quotePrefix="0" xfId="9">
      <alignment horizontal="center" vertical="center"/>
      <protection locked="0" hidden="0"/>
    </xf>
    <xf numFmtId="37" fontId="43" fillId="7" borderId="60" applyAlignment="1" applyProtection="1" pivotButton="0" quotePrefix="1" xfId="9">
      <alignment horizontal="center" vertical="center"/>
      <protection locked="0" hidden="0"/>
    </xf>
    <xf numFmtId="0" fontId="43" fillId="8" borderId="2" applyAlignment="1" pivotButton="0" quotePrefix="0" xfId="10">
      <alignment vertical="center"/>
    </xf>
    <xf numFmtId="168" fontId="43" fillId="8" borderId="61" applyAlignment="1" pivotButton="0" quotePrefix="0" xfId="10">
      <alignment horizontal="center" vertical="center"/>
    </xf>
    <xf numFmtId="37" fontId="43" fillId="7" borderId="60" applyAlignment="1" applyProtection="1" pivotButton="0" quotePrefix="0" xfId="9">
      <alignment horizontal="center" vertical="center"/>
      <protection locked="0" hidden="0"/>
    </xf>
    <xf numFmtId="0" fontId="43" fillId="8" borderId="62" applyAlignment="1" pivotButton="0" quotePrefix="0" xfId="10">
      <alignment vertical="center"/>
    </xf>
    <xf numFmtId="168" fontId="43" fillId="8" borderId="63" applyAlignment="1" pivotButton="0" quotePrefix="0" xfId="10">
      <alignment horizontal="center" vertical="center"/>
    </xf>
    <xf numFmtId="37" fontId="43" fillId="7" borderId="20" applyAlignment="1" applyProtection="1" pivotButton="0" quotePrefix="1" xfId="9">
      <alignment horizontal="center" vertical="center"/>
      <protection locked="0" hidden="0"/>
    </xf>
    <xf numFmtId="37" fontId="44" fillId="2" borderId="64" applyAlignment="1" applyProtection="1" pivotButton="0" quotePrefix="0" xfId="9">
      <alignment horizontal="left" vertical="center"/>
      <protection locked="0" hidden="0"/>
    </xf>
    <xf numFmtId="37" fontId="43" fillId="7" borderId="52" applyAlignment="1" applyProtection="1" pivotButton="0" quotePrefix="1" xfId="9">
      <alignment horizontal="center" vertical="center"/>
      <protection locked="0" hidden="0"/>
    </xf>
    <xf numFmtId="37" fontId="44" fillId="2" borderId="41" applyAlignment="1" applyProtection="1" pivotButton="0" quotePrefix="0" xfId="9">
      <alignment horizontal="left" vertical="center"/>
      <protection locked="0" hidden="0"/>
    </xf>
    <xf numFmtId="168" fontId="43" fillId="8" borderId="65" applyAlignment="1" pivotButton="0" quotePrefix="0" xfId="10">
      <alignment horizontal="center" vertical="center"/>
    </xf>
    <xf numFmtId="37" fontId="45" fillId="9" borderId="3" applyAlignment="1" applyProtection="1" pivotButton="0" quotePrefix="0" xfId="9">
      <alignment horizontal="left" vertical="center"/>
      <protection locked="0" hidden="0"/>
    </xf>
    <xf numFmtId="168" fontId="45" fillId="9" borderId="3" applyAlignment="1" applyProtection="1" pivotButton="0" quotePrefix="0" xfId="9">
      <alignment horizontal="center" vertical="center"/>
      <protection locked="0" hidden="0"/>
    </xf>
    <xf numFmtId="0" fontId="45" fillId="4" borderId="3" applyAlignment="1" applyProtection="1" pivotButton="0" quotePrefix="0" xfId="9">
      <alignment horizontal="center" vertical="center"/>
      <protection locked="0" hidden="0"/>
    </xf>
    <xf numFmtId="37" fontId="45" fillId="9" borderId="5" applyAlignment="1" applyProtection="1" pivotButton="0" quotePrefix="0" xfId="9">
      <alignment horizontal="right" vertical="center"/>
      <protection locked="0" hidden="0"/>
    </xf>
    <xf numFmtId="37" fontId="45" fillId="9" borderId="3" applyAlignment="1" pivotButton="0" quotePrefix="0" xfId="9">
      <alignment horizontal="center" vertical="center"/>
    </xf>
    <xf numFmtId="37" fontId="45" fillId="9" borderId="5" applyAlignment="1" pivotButton="0" quotePrefix="0" xfId="9">
      <alignment horizontal="center" vertical="center"/>
    </xf>
    <xf numFmtId="168" fontId="45" fillId="9" borderId="5" applyAlignment="1" pivotButton="0" quotePrefix="0" xfId="9">
      <alignment horizontal="center" vertical="center"/>
    </xf>
    <xf numFmtId="37" fontId="45" fillId="9" borderId="11" applyAlignment="1" pivotButton="0" quotePrefix="0" xfId="9">
      <alignment horizontal="center" vertical="center"/>
    </xf>
    <xf numFmtId="168" fontId="45" fillId="9" borderId="3" applyAlignment="1" pivotButton="0" quotePrefix="0" xfId="9">
      <alignment horizontal="center" vertical="center"/>
    </xf>
    <xf numFmtId="0" fontId="0" fillId="2" borderId="28" pivotButton="0" quotePrefix="0" xfId="0"/>
    <xf numFmtId="37" fontId="51" fillId="9" borderId="3" applyAlignment="1" pivotButton="0" quotePrefix="0" xfId="11">
      <alignment horizontal="center" vertical="top"/>
    </xf>
    <xf numFmtId="169" fontId="51" fillId="9" borderId="3" applyAlignment="1" pivotButton="0" quotePrefix="0" xfId="8">
      <alignment horizontal="center" vertical="top"/>
    </xf>
    <xf numFmtId="168" fontId="48" fillId="2" borderId="40" applyAlignment="1" pivotButton="0" quotePrefix="0" xfId="11">
      <alignment horizontal="left" vertical="center"/>
    </xf>
    <xf numFmtId="168" fontId="47" fillId="7" borderId="40" applyAlignment="1" pivotButton="0" quotePrefix="0" xfId="11">
      <alignment horizontal="left" vertical="center"/>
    </xf>
    <xf numFmtId="37" fontId="48" fillId="2" borderId="54" applyAlignment="1" applyProtection="1" pivotButton="0" quotePrefix="0" xfId="11">
      <alignment vertical="center"/>
      <protection locked="0" hidden="0"/>
    </xf>
    <xf numFmtId="37" fontId="47" fillId="2" borderId="4" applyAlignment="1" applyProtection="1" pivotButton="0" quotePrefix="1" xfId="11">
      <alignment vertical="center"/>
      <protection locked="0" hidden="0"/>
    </xf>
    <xf numFmtId="37" fontId="48" fillId="2" borderId="4" applyAlignment="1" applyProtection="1" pivotButton="0" quotePrefix="0" xfId="11">
      <alignment vertical="center"/>
      <protection locked="0" hidden="0"/>
    </xf>
    <xf numFmtId="37" fontId="48" fillId="2" borderId="4" applyAlignment="1" applyProtection="1" pivotButton="0" quotePrefix="0" xfId="11">
      <alignment vertical="top"/>
      <protection locked="0" hidden="0"/>
    </xf>
    <xf numFmtId="37" fontId="47" fillId="2" borderId="4" applyAlignment="1" applyProtection="1" pivotButton="0" quotePrefix="1" xfId="11">
      <alignment vertical="top"/>
      <protection locked="0" hidden="0"/>
    </xf>
    <xf numFmtId="37" fontId="47" fillId="2" borderId="4" applyAlignment="1" applyProtection="1" pivotButton="0" quotePrefix="1" xfId="11">
      <alignment horizontal="left" vertical="center"/>
      <protection locked="0" hidden="0"/>
    </xf>
    <xf numFmtId="37" fontId="48" fillId="7" borderId="4" applyAlignment="1" applyProtection="1" pivotButton="0" quotePrefix="0" xfId="11">
      <alignment vertical="center"/>
      <protection locked="0" hidden="0"/>
    </xf>
    <xf numFmtId="37" fontId="47" fillId="7" borderId="4" applyAlignment="1" applyProtection="1" pivotButton="0" quotePrefix="1" xfId="11">
      <alignment vertical="center"/>
      <protection locked="0" hidden="0"/>
    </xf>
    <xf numFmtId="37" fontId="47" fillId="2" borderId="4" applyAlignment="1" applyProtection="1" pivotButton="0" quotePrefix="0" xfId="11">
      <alignment vertical="center"/>
      <protection locked="0" hidden="0"/>
    </xf>
    <xf numFmtId="37" fontId="47" fillId="2" borderId="4" applyAlignment="1" applyProtection="1" pivotButton="0" quotePrefix="0" xfId="11">
      <alignment vertical="top"/>
      <protection locked="0" hidden="0"/>
    </xf>
    <xf numFmtId="37" fontId="47" fillId="7" borderId="4" applyAlignment="1" applyProtection="1" pivotButton="0" quotePrefix="0" xfId="11">
      <alignment vertical="center"/>
      <protection locked="0" hidden="0"/>
    </xf>
    <xf numFmtId="37" fontId="48" fillId="2" borderId="4" applyAlignment="1" applyProtection="1" pivotButton="0" quotePrefix="0" xfId="11">
      <alignment horizontal="left" vertical="center" wrapText="1"/>
      <protection locked="0" hidden="0"/>
    </xf>
    <xf numFmtId="37" fontId="47" fillId="2" borderId="4" applyAlignment="1" applyProtection="1" pivotButton="0" quotePrefix="0" xfId="11">
      <alignment horizontal="left" vertical="center" wrapText="1"/>
      <protection locked="0" hidden="0"/>
    </xf>
    <xf numFmtId="37" fontId="48" fillId="2" borderId="4" pivotButton="0" quotePrefix="0" xfId="11"/>
    <xf numFmtId="37" fontId="50" fillId="7" borderId="4" applyAlignment="1" applyProtection="1" pivotButton="0" quotePrefix="0" xfId="11">
      <alignment vertical="center"/>
      <protection locked="0" hidden="0"/>
    </xf>
    <xf numFmtId="37" fontId="51" fillId="9" borderId="3" applyAlignment="1" pivotButton="0" quotePrefix="0" xfId="11">
      <alignment horizontal="center" vertical="top" wrapText="1"/>
    </xf>
    <xf numFmtId="37" fontId="48" fillId="2" borderId="4" applyAlignment="1" applyProtection="1" pivotButton="0" quotePrefix="0" xfId="11">
      <alignment horizontal="center" vertical="center"/>
      <protection locked="0" hidden="0"/>
    </xf>
    <xf numFmtId="37" fontId="48" fillId="2" borderId="4" applyAlignment="1" applyProtection="1" pivotButton="0" quotePrefix="0" xfId="11">
      <alignment horizontal="center" vertical="top"/>
      <protection locked="0" hidden="0"/>
    </xf>
    <xf numFmtId="37" fontId="47" fillId="7" borderId="4" applyAlignment="1" applyProtection="1" pivotButton="0" quotePrefix="0" xfId="11">
      <alignment horizontal="center" vertical="center"/>
      <protection locked="0" hidden="0"/>
    </xf>
    <xf numFmtId="165" fontId="48" fillId="2" borderId="4" applyAlignment="1" applyProtection="1" pivotButton="0" quotePrefix="0" xfId="8">
      <alignment vertical="center"/>
      <protection locked="0" hidden="0"/>
    </xf>
    <xf numFmtId="165" fontId="48" fillId="2" borderId="4" applyAlignment="1" pivotButton="0" quotePrefix="0" xfId="8">
      <alignment vertical="center"/>
    </xf>
    <xf numFmtId="165" fontId="48" fillId="2" borderId="4" applyAlignment="1" applyProtection="1" pivotButton="0" quotePrefix="0" xfId="8">
      <alignment vertical="top"/>
      <protection locked="0" hidden="0"/>
    </xf>
    <xf numFmtId="165" fontId="47" fillId="7" borderId="4" applyAlignment="1" applyProtection="1" pivotButton="0" quotePrefix="0" xfId="8">
      <alignment vertical="center"/>
      <protection locked="0" hidden="0"/>
    </xf>
    <xf numFmtId="165" fontId="48" fillId="2" borderId="4" applyAlignment="1" applyProtection="1" pivotButton="0" quotePrefix="0" xfId="2">
      <alignment vertical="center"/>
      <protection locked="0" hidden="0"/>
    </xf>
    <xf numFmtId="165" fontId="50" fillId="7" borderId="4" applyAlignment="1" applyProtection="1" pivotButton="0" quotePrefix="0" xfId="8">
      <alignment vertical="center"/>
      <protection locked="0" hidden="0"/>
    </xf>
    <xf numFmtId="37" fontId="51" fillId="9" borderId="6" applyAlignment="1" pivotButton="0" quotePrefix="0" xfId="11">
      <alignment horizontal="center" vertical="top"/>
    </xf>
    <xf numFmtId="168" fontId="48" fillId="2" borderId="40" applyAlignment="1" pivotButton="0" quotePrefix="0" xfId="11">
      <alignment horizontal="left" vertical="center" wrapText="1"/>
    </xf>
    <xf numFmtId="168" fontId="48" fillId="2" borderId="40" applyAlignment="1" pivotButton="0" quotePrefix="0" xfId="11">
      <alignment horizontal="left" vertical="top"/>
    </xf>
    <xf numFmtId="168" fontId="48" fillId="2" borderId="40" applyAlignment="1" pivotButton="0" quotePrefix="1" xfId="11">
      <alignment horizontal="left" vertical="center"/>
    </xf>
    <xf numFmtId="168" fontId="49" fillId="2" borderId="40" applyAlignment="1" pivotButton="0" quotePrefix="0" xfId="11">
      <alignment horizontal="left" vertical="center"/>
    </xf>
    <xf numFmtId="164" fontId="48" fillId="2" borderId="4" applyAlignment="1" pivotButton="0" quotePrefix="0" xfId="8">
      <alignment horizontal="right" vertical="center"/>
    </xf>
    <xf numFmtId="164" fontId="48" fillId="2" borderId="4" applyAlignment="1" pivotButton="0" quotePrefix="0" xfId="8">
      <alignment horizontal="right" vertical="top"/>
    </xf>
    <xf numFmtId="164" fontId="47" fillId="7" borderId="4" applyAlignment="1" pivotButton="0" quotePrefix="0" xfId="8">
      <alignment horizontal="right" vertical="center"/>
    </xf>
    <xf numFmtId="164" fontId="48" fillId="2" borderId="4" applyAlignment="1" pivotButton="0" quotePrefix="0" xfId="2">
      <alignment horizontal="right" vertical="center"/>
    </xf>
    <xf numFmtId="165" fontId="48" fillId="2" borderId="4" pivotButton="0" quotePrefix="0" xfId="11"/>
    <xf numFmtId="37" fontId="52" fillId="9" borderId="3" applyAlignment="1" applyProtection="1" pivotButton="0" quotePrefix="0" xfId="11">
      <alignment vertical="center"/>
      <protection locked="0" hidden="0"/>
    </xf>
    <xf numFmtId="37" fontId="52" fillId="9" borderId="3" applyAlignment="1" applyProtection="1" pivotButton="0" quotePrefix="0" xfId="11">
      <alignment horizontal="center" vertical="center"/>
      <protection locked="0" hidden="0"/>
    </xf>
    <xf numFmtId="165" fontId="52" fillId="9" borderId="3" applyAlignment="1" applyProtection="1" pivotButton="0" quotePrefix="0" xfId="8">
      <alignment vertical="center"/>
      <protection locked="0" hidden="0"/>
    </xf>
    <xf numFmtId="164" fontId="52" fillId="9" borderId="3" applyAlignment="1" pivotButton="0" quotePrefix="0" xfId="8">
      <alignment horizontal="right" vertical="center"/>
    </xf>
    <xf numFmtId="168" fontId="52" fillId="9" borderId="6" applyAlignment="1" pivotButton="0" quotePrefix="0" xfId="11">
      <alignment horizontal="left" vertical="center"/>
    </xf>
    <xf numFmtId="37" fontId="48" fillId="2" borderId="4" applyAlignment="1" applyProtection="1" pivotButton="0" quotePrefix="0" xfId="11">
      <alignment horizontal="left" vertical="center" indent="1"/>
      <protection locked="0" hidden="0"/>
    </xf>
    <xf numFmtId="37" fontId="48" fillId="2" borderId="4" applyAlignment="1" applyProtection="1" pivotButton="0" quotePrefix="0" xfId="11">
      <alignment horizontal="left" vertical="top" wrapText="1" indent="1"/>
      <protection locked="0" hidden="0"/>
    </xf>
    <xf numFmtId="37" fontId="48" fillId="2" borderId="4" applyAlignment="1" applyProtection="1" pivotButton="0" quotePrefix="0" xfId="11">
      <alignment horizontal="left" vertical="top" indent="1"/>
      <protection locked="0" hidden="0"/>
    </xf>
    <xf numFmtId="37" fontId="48" fillId="2" borderId="4" applyAlignment="1" applyProtection="1" pivotButton="0" quotePrefix="0" xfId="11">
      <alignment horizontal="left" vertical="center" wrapText="1" indent="1"/>
      <protection locked="0" hidden="0"/>
    </xf>
    <xf numFmtId="37" fontId="48" fillId="7" borderId="4" applyAlignment="1" applyProtection="1" pivotButton="0" quotePrefix="0" xfId="11">
      <alignment horizontal="left" vertical="center" indent="1"/>
      <protection locked="0" hidden="0"/>
    </xf>
    <xf numFmtId="168" fontId="36" fillId="2" borderId="1" applyAlignment="1" pivotButton="0" quotePrefix="0" xfId="0">
      <alignment horizontal="right"/>
    </xf>
    <xf numFmtId="168" fontId="36" fillId="2" borderId="38" applyAlignment="1" pivotButton="0" quotePrefix="0" xfId="0">
      <alignment horizontal="right"/>
    </xf>
    <xf numFmtId="168" fontId="36" fillId="2" borderId="16" applyAlignment="1" pivotButton="0" quotePrefix="0" xfId="0">
      <alignment horizontal="right"/>
    </xf>
    <xf numFmtId="0" fontId="53" fillId="4" borderId="3" applyAlignment="1" pivotButton="0" quotePrefix="0" xfId="0">
      <alignment horizontal="center" vertical="center" wrapText="1"/>
    </xf>
    <xf numFmtId="0" fontId="53" fillId="4" borderId="9" applyAlignment="1" pivotButton="0" quotePrefix="0" xfId="0">
      <alignment horizontal="center" vertical="center"/>
    </xf>
    <xf numFmtId="0" fontId="53" fillId="4" borderId="10" applyAlignment="1" pivotButton="0" quotePrefix="0" xfId="0">
      <alignment horizontal="center" vertical="center"/>
    </xf>
    <xf numFmtId="0" fontId="53" fillId="4" borderId="11" applyAlignment="1" pivotButton="0" quotePrefix="0" xfId="0">
      <alignment horizontal="center" vertical="center"/>
    </xf>
    <xf numFmtId="168" fontId="32" fillId="2" borderId="20" pivotButton="0" quotePrefix="0" xfId="0"/>
    <xf numFmtId="168" fontId="36" fillId="2" borderId="52" applyAlignment="1" pivotButton="0" quotePrefix="0" xfId="0">
      <alignment horizontal="right"/>
    </xf>
    <xf numFmtId="168" fontId="36" fillId="2" borderId="21" applyAlignment="1" pivotButton="0" quotePrefix="0" xfId="0">
      <alignment horizontal="right"/>
    </xf>
    <xf numFmtId="168" fontId="37" fillId="2" borderId="3" applyAlignment="1" pivotButton="0" quotePrefix="0" xfId="0">
      <alignment horizontal="right"/>
    </xf>
    <xf numFmtId="168" fontId="32" fillId="2" borderId="15" pivotButton="0" quotePrefix="0" xfId="0"/>
    <xf numFmtId="168" fontId="32" fillId="2" borderId="16" pivotButton="0" quotePrefix="0" xfId="0"/>
    <xf numFmtId="168" fontId="32" fillId="2" borderId="17" pivotButton="0" quotePrefix="0" xfId="0"/>
    <xf numFmtId="168" fontId="36" fillId="2" borderId="18" applyAlignment="1" pivotButton="0" quotePrefix="0" xfId="0">
      <alignment horizontal="right"/>
    </xf>
    <xf numFmtId="168" fontId="36" fillId="2" borderId="19" applyAlignment="1" pivotButton="0" quotePrefix="0" xfId="0">
      <alignment horizontal="right"/>
    </xf>
    <xf numFmtId="168" fontId="36" fillId="2" borderId="37" applyAlignment="1" pivotButton="0" quotePrefix="0" xfId="0">
      <alignment horizontal="right"/>
    </xf>
    <xf numFmtId="168" fontId="36" fillId="2" borderId="39" applyAlignment="1" pivotButton="0" quotePrefix="0" xfId="0">
      <alignment horizontal="right"/>
    </xf>
    <xf numFmtId="168" fontId="37" fillId="2" borderId="9" applyAlignment="1" pivotButton="0" quotePrefix="0" xfId="0">
      <alignment horizontal="right"/>
    </xf>
    <xf numFmtId="168" fontId="37" fillId="2" borderId="10" applyAlignment="1" pivotButton="0" quotePrefix="0" xfId="0">
      <alignment horizontal="right"/>
    </xf>
    <xf numFmtId="168" fontId="37" fillId="2" borderId="11" applyAlignment="1" pivotButton="0" quotePrefix="0" xfId="0">
      <alignment horizontal="right"/>
    </xf>
    <xf numFmtId="168" fontId="36" fillId="2" borderId="20" applyAlignment="1" pivotButton="0" quotePrefix="0" xfId="0">
      <alignment horizontal="right"/>
    </xf>
    <xf numFmtId="168" fontId="37" fillId="2" borderId="66" applyAlignment="1" pivotButton="0" quotePrefix="0" xfId="0">
      <alignment horizontal="right"/>
    </xf>
    <xf numFmtId="168" fontId="36" fillId="2" borderId="15" applyAlignment="1" pivotButton="0" quotePrefix="0" xfId="0">
      <alignment horizontal="right"/>
    </xf>
    <xf numFmtId="168" fontId="36" fillId="2" borderId="17" applyAlignment="1" pivotButton="0" quotePrefix="0" xfId="0">
      <alignment horizontal="right"/>
    </xf>
    <xf numFmtId="168" fontId="37" fillId="2" borderId="36" applyAlignment="1" pivotButton="0" quotePrefix="0" xfId="0">
      <alignment horizontal="right"/>
    </xf>
    <xf numFmtId="168" fontId="37" fillId="2" borderId="34" applyAlignment="1" pivotButton="0" quotePrefix="0" xfId="0">
      <alignment horizontal="right"/>
    </xf>
    <xf numFmtId="168" fontId="37" fillId="2" borderId="35" applyAlignment="1" pivotButton="0" quotePrefix="0" xfId="0">
      <alignment horizontal="right"/>
    </xf>
    <xf numFmtId="0" fontId="57" fillId="4" borderId="3" applyAlignment="1" pivotButton="0" quotePrefix="0" xfId="0">
      <alignment horizontal="center"/>
    </xf>
    <xf numFmtId="0" fontId="29" fillId="4" borderId="12" pivotButton="0" quotePrefix="0" xfId="0"/>
    <xf numFmtId="0" fontId="29" fillId="4" borderId="6" pivotButton="0" quotePrefix="0" xfId="0"/>
    <xf numFmtId="0" fontId="57" fillId="4" borderId="5" applyAlignment="1" pivotButton="0" quotePrefix="0" xfId="0">
      <alignment horizontal="left" indent="1"/>
    </xf>
    <xf numFmtId="0" fontId="55" fillId="2" borderId="0" pivotButton="0" quotePrefix="0" xfId="12"/>
    <xf numFmtId="0" fontId="55" fillId="2" borderId="0" applyAlignment="1" pivotButton="0" quotePrefix="0" xfId="12">
      <alignment horizontal="center"/>
    </xf>
    <xf numFmtId="165" fontId="55" fillId="2" borderId="0" pivotButton="0" quotePrefix="0" xfId="2"/>
    <xf numFmtId="0" fontId="56" fillId="4" borderId="66" applyAlignment="1" pivotButton="0" quotePrefix="0" xfId="12">
      <alignment horizontal="center"/>
    </xf>
    <xf numFmtId="0" fontId="55" fillId="10" borderId="5" applyAlignment="1" pivotButton="0" quotePrefix="0" xfId="12">
      <alignment horizontal="center"/>
    </xf>
    <xf numFmtId="0" fontId="54" fillId="10" borderId="12" pivotButton="0" quotePrefix="0" xfId="12"/>
    <xf numFmtId="170" fontId="55" fillId="10" borderId="12" applyAlignment="1" pivotButton="0" quotePrefix="0" xfId="1">
      <alignment horizontal="center"/>
    </xf>
    <xf numFmtId="165" fontId="55" fillId="10" borderId="12" pivotButton="0" quotePrefix="0" xfId="2"/>
    <xf numFmtId="171" fontId="55" fillId="10" borderId="12" applyAlignment="1" pivotButton="0" quotePrefix="0" xfId="2">
      <alignment horizontal="center"/>
    </xf>
    <xf numFmtId="0" fontId="55" fillId="10" borderId="6" pivotButton="0" quotePrefix="0" xfId="12"/>
    <xf numFmtId="0" fontId="34" fillId="2" borderId="0" applyAlignment="1" pivotButton="0" quotePrefix="0" xfId="0">
      <alignment horizontal="right" vertical="center"/>
    </xf>
    <xf numFmtId="0" fontId="20" fillId="4" borderId="12" pivotButton="0" quotePrefix="0" xfId="12"/>
    <xf numFmtId="0" fontId="20" fillId="4" borderId="6" pivotButton="0" quotePrefix="0" xfId="12"/>
    <xf numFmtId="0" fontId="55" fillId="10" borderId="12" pivotButton="0" quotePrefix="0" xfId="12"/>
    <xf numFmtId="168" fontId="36" fillId="2" borderId="67" applyAlignment="1" pivotButton="0" quotePrefix="0" xfId="0">
      <alignment horizontal="right"/>
    </xf>
    <xf numFmtId="0" fontId="58" fillId="2" borderId="0" applyAlignment="1" pivotButton="0" quotePrefix="0" xfId="0">
      <alignment horizontal="right"/>
    </xf>
    <xf numFmtId="165" fontId="58" fillId="2" borderId="0" pivotButton="0" quotePrefix="0" xfId="0"/>
    <xf numFmtId="168" fontId="36" fillId="2" borderId="70" applyAlignment="1" pivotButton="0" quotePrefix="0" xfId="0">
      <alignment horizontal="right"/>
    </xf>
    <xf numFmtId="168" fontId="36" fillId="2" borderId="27" applyAlignment="1" pivotButton="0" quotePrefix="0" xfId="0">
      <alignment horizontal="right"/>
    </xf>
    <xf numFmtId="168" fontId="36" fillId="2" borderId="71" applyAlignment="1" pivotButton="0" quotePrefix="0" xfId="0">
      <alignment horizontal="right"/>
    </xf>
    <xf numFmtId="42" fontId="36" fillId="2" borderId="18" applyAlignment="1" pivotButton="0" quotePrefix="0" xfId="0">
      <alignment horizontal="right"/>
    </xf>
    <xf numFmtId="171" fontId="36" fillId="2" borderId="20" applyAlignment="1" pivotButton="0" quotePrefix="0" xfId="0">
      <alignment horizontal="right" indent="1"/>
    </xf>
    <xf numFmtId="171" fontId="36" fillId="2" borderId="60" applyAlignment="1" pivotButton="0" quotePrefix="0" xfId="0">
      <alignment horizontal="right" indent="1"/>
    </xf>
    <xf numFmtId="171" fontId="36" fillId="2" borderId="52" applyAlignment="1" pivotButton="0" quotePrefix="0" xfId="0">
      <alignment horizontal="right" indent="1"/>
    </xf>
    <xf numFmtId="171" fontId="36" fillId="2" borderId="21" applyAlignment="1" pivotButton="0" quotePrefix="0" xfId="0">
      <alignment horizontal="right" indent="1"/>
    </xf>
    <xf numFmtId="0" fontId="31" fillId="2" borderId="0" applyAlignment="1" pivotButton="0" quotePrefix="0" xfId="0">
      <alignment horizontal="left"/>
    </xf>
    <xf numFmtId="14" fontId="31" fillId="2" borderId="0" applyAlignment="1" pivotButton="0" quotePrefix="0" xfId="0">
      <alignment horizontal="left"/>
    </xf>
    <xf numFmtId="0" fontId="59" fillId="4" borderId="3" applyAlignment="1" pivotButton="0" quotePrefix="0" xfId="0">
      <alignment horizontal="center"/>
    </xf>
    <xf numFmtId="0" fontId="59" fillId="4" borderId="5" applyAlignment="1" pivotButton="0" quotePrefix="0" xfId="0">
      <alignment horizontal="left" indent="1"/>
    </xf>
    <xf numFmtId="0" fontId="28" fillId="4" borderId="12" pivotButton="0" quotePrefix="0" xfId="0"/>
    <xf numFmtId="0" fontId="28" fillId="4" borderId="6" pivotButton="0" quotePrefix="0" xfId="0"/>
    <xf numFmtId="0" fontId="2" fillId="2" borderId="0" pivotButton="0" quotePrefix="0" xfId="0"/>
    <xf numFmtId="0" fontId="45" fillId="4" borderId="3" applyAlignment="1" pivotButton="0" quotePrefix="0" xfId="12">
      <alignment horizontal="center" vertical="top"/>
    </xf>
    <xf numFmtId="171" fontId="45" fillId="4" borderId="3" applyAlignment="1" pivotButton="0" quotePrefix="0" xfId="12">
      <alignment horizontal="center" vertical="top"/>
    </xf>
    <xf numFmtId="0" fontId="6" fillId="2" borderId="0" applyAlignment="1" pivotButton="0" quotePrefix="0" xfId="0">
      <alignment vertical="top"/>
    </xf>
    <xf numFmtId="0" fontId="60" fillId="12" borderId="67" applyAlignment="1" pivotButton="0" quotePrefix="0" xfId="12">
      <alignment horizontal="center"/>
    </xf>
    <xf numFmtId="170" fontId="60" fillId="12" borderId="67" applyAlignment="1" pivotButton="0" quotePrefix="0" xfId="1">
      <alignment horizontal="center"/>
    </xf>
    <xf numFmtId="0" fontId="60" fillId="12" borderId="67" pivotButton="0" quotePrefix="0" xfId="12"/>
    <xf numFmtId="165" fontId="41" fillId="0" borderId="60" pivotButton="0" quotePrefix="0" xfId="2"/>
    <xf numFmtId="0" fontId="41" fillId="0" borderId="60" pivotButton="0" quotePrefix="0" xfId="12"/>
    <xf numFmtId="0" fontId="44" fillId="0" borderId="60" applyAlignment="1" pivotButton="0" quotePrefix="0" xfId="12">
      <alignment horizontal="center"/>
    </xf>
    <xf numFmtId="0" fontId="44" fillId="0" borderId="60" pivotButton="0" quotePrefix="0" xfId="12"/>
    <xf numFmtId="0" fontId="62" fillId="0" borderId="60" pivotButton="0" quotePrefix="0" xfId="12"/>
    <xf numFmtId="0" fontId="44" fillId="6" borderId="46" applyAlignment="1" pivotButton="0" quotePrefix="0" xfId="0">
      <alignment vertical="top"/>
    </xf>
    <xf numFmtId="170" fontId="62" fillId="0" borderId="60" applyAlignment="1" pivotButton="0" quotePrefix="0" xfId="1">
      <alignment horizontal="center" vertical="top"/>
    </xf>
    <xf numFmtId="171" fontId="62" fillId="0" borderId="60" applyAlignment="1" pivotButton="0" quotePrefix="0" xfId="2">
      <alignment horizontal="center" vertical="top"/>
    </xf>
    <xf numFmtId="0" fontId="62" fillId="0" borderId="60" applyAlignment="1" pivotButton="0" quotePrefix="0" xfId="12">
      <alignment vertical="top"/>
    </xf>
    <xf numFmtId="0" fontId="44" fillId="6" borderId="0" applyAlignment="1" pivotButton="0" quotePrefix="0" xfId="0">
      <alignment vertical="top"/>
    </xf>
    <xf numFmtId="170" fontId="62" fillId="0" borderId="20" applyAlignment="1" pivotButton="0" quotePrefix="0" xfId="1">
      <alignment horizontal="center" vertical="top"/>
    </xf>
    <xf numFmtId="0" fontId="44" fillId="0" borderId="60" applyAlignment="1" pivotButton="0" quotePrefix="0" xfId="12">
      <alignment vertical="top"/>
    </xf>
    <xf numFmtId="0" fontId="29" fillId="12" borderId="0" pivotButton="0" quotePrefix="0" xfId="0"/>
    <xf numFmtId="0" fontId="29" fillId="2" borderId="0" pivotButton="0" quotePrefix="0" xfId="0"/>
    <xf numFmtId="0" fontId="64" fillId="0" borderId="66" applyAlignment="1" pivotButton="0" quotePrefix="0" xfId="12">
      <alignment horizontal="right"/>
    </xf>
    <xf numFmtId="170" fontId="63" fillId="0" borderId="66" pivotButton="0" quotePrefix="0" xfId="1"/>
    <xf numFmtId="165" fontId="63" fillId="0" borderId="66" pivotButton="0" quotePrefix="0" xfId="2"/>
    <xf numFmtId="42" fontId="64" fillId="0" borderId="66" applyAlignment="1" pivotButton="0" quotePrefix="0" xfId="2">
      <alignment horizontal="center"/>
    </xf>
    <xf numFmtId="0" fontId="1" fillId="2" borderId="0" pivotButton="0" quotePrefix="0" xfId="0"/>
    <xf numFmtId="0" fontId="41" fillId="0" borderId="52" applyAlignment="1" pivotButton="0" quotePrefix="0" xfId="12">
      <alignment horizontal="left" indent="1"/>
    </xf>
    <xf numFmtId="170" fontId="41" fillId="0" borderId="52" applyAlignment="1" pivotButton="0" quotePrefix="1" xfId="1">
      <alignment horizontal="center"/>
    </xf>
    <xf numFmtId="0" fontId="41" fillId="0" borderId="52" pivotButton="0" quotePrefix="0" xfId="12"/>
    <xf numFmtId="165" fontId="41" fillId="0" borderId="67" pivotButton="0" quotePrefix="0" xfId="2"/>
    <xf numFmtId="0" fontId="41" fillId="0" borderId="52" applyAlignment="1" pivotButton="0" quotePrefix="0" xfId="12">
      <alignment horizontal="left" vertical="top"/>
    </xf>
    <xf numFmtId="165" fontId="41" fillId="0" borderId="60" applyAlignment="1" pivotButton="0" quotePrefix="0" xfId="2">
      <alignment vertical="top"/>
    </xf>
    <xf numFmtId="0" fontId="41" fillId="0" borderId="52" applyAlignment="1" pivotButton="0" quotePrefix="0" xfId="12">
      <alignment vertical="top"/>
    </xf>
    <xf numFmtId="0" fontId="19" fillId="2" borderId="0" applyAlignment="1" pivotButton="0" quotePrefix="0" xfId="0">
      <alignment vertical="top"/>
    </xf>
    <xf numFmtId="165" fontId="41" fillId="0" borderId="67" applyAlignment="1" pivotButton="0" quotePrefix="0" xfId="2">
      <alignment vertical="top"/>
    </xf>
    <xf numFmtId="170" fontId="60" fillId="12" borderId="21" applyAlignment="1" pivotButton="0" quotePrefix="0" xfId="1">
      <alignment horizontal="center"/>
    </xf>
    <xf numFmtId="0" fontId="60" fillId="12" borderId="21" pivotButton="0" quotePrefix="0" xfId="12"/>
    <xf numFmtId="165" fontId="41" fillId="0" borderId="52" pivotButton="0" quotePrefix="0" xfId="2"/>
    <xf numFmtId="0" fontId="41" fillId="6" borderId="29" applyAlignment="1" pivotButton="0" quotePrefix="0" xfId="0">
      <alignment horizontal="left" indent="1"/>
    </xf>
    <xf numFmtId="0" fontId="41" fillId="0" borderId="41" applyAlignment="1" pivotButton="0" quotePrefix="0" xfId="12">
      <alignment horizontal="left" indent="1"/>
    </xf>
    <xf numFmtId="170" fontId="41" fillId="0" borderId="52" applyAlignment="1" pivotButton="0" quotePrefix="1" xfId="1">
      <alignment horizontal="center"/>
    </xf>
    <xf numFmtId="170" fontId="41" fillId="0" borderId="60" applyAlignment="1" pivotButton="0" quotePrefix="1" xfId="1">
      <alignment horizontal="center"/>
    </xf>
    <xf numFmtId="0" fontId="41" fillId="0" borderId="68" pivotButton="0" quotePrefix="0" xfId="12"/>
    <xf numFmtId="170" fontId="41" fillId="0" borderId="67" applyAlignment="1" pivotButton="0" quotePrefix="1" xfId="1">
      <alignment horizontal="center"/>
    </xf>
    <xf numFmtId="0" fontId="61" fillId="0" borderId="4" applyAlignment="1" pivotButton="0" quotePrefix="0" xfId="12">
      <alignment horizontal="left" indent="1"/>
    </xf>
    <xf numFmtId="170" fontId="41" fillId="0" borderId="4" applyAlignment="1" pivotButton="0" quotePrefix="0" xfId="1">
      <alignment horizontal="center"/>
    </xf>
    <xf numFmtId="0" fontId="41" fillId="0" borderId="4" pivotButton="0" quotePrefix="0" xfId="12"/>
    <xf numFmtId="0" fontId="41" fillId="0" borderId="67" applyAlignment="1" pivotButton="0" quotePrefix="0" xfId="12">
      <alignment horizontal="left" indent="1"/>
    </xf>
    <xf numFmtId="0" fontId="41" fillId="0" borderId="52" applyAlignment="1" pivotButton="0" quotePrefix="0" xfId="12">
      <alignment horizontal="left" vertical="top" indent="1"/>
    </xf>
    <xf numFmtId="170" fontId="41" fillId="0" borderId="52" applyAlignment="1" pivotButton="0" quotePrefix="1" xfId="1">
      <alignment horizontal="center" vertical="top"/>
    </xf>
    <xf numFmtId="0" fontId="41" fillId="0" borderId="52" applyAlignment="1" pivotButton="0" quotePrefix="0" xfId="12">
      <alignment vertical="top" wrapText="1"/>
    </xf>
    <xf numFmtId="0" fontId="18" fillId="0" borderId="52" pivotButton="0" quotePrefix="0" xfId="12"/>
    <xf numFmtId="0" fontId="18" fillId="0" borderId="60" pivotButton="0" quotePrefix="0" xfId="12"/>
    <xf numFmtId="0" fontId="41" fillId="6" borderId="30" applyAlignment="1" pivotButton="0" quotePrefix="0" xfId="0">
      <alignment horizontal="left" indent="1"/>
    </xf>
    <xf numFmtId="171" fontId="41" fillId="0" borderId="60" applyAlignment="1" pivotButton="0" quotePrefix="0" xfId="2">
      <alignment horizontal="center" vertical="top"/>
    </xf>
    <xf numFmtId="171" fontId="41" fillId="0" borderId="52" applyAlignment="1" pivotButton="0" quotePrefix="0" xfId="2">
      <alignment horizontal="center" vertical="top"/>
    </xf>
    <xf numFmtId="171" fontId="41" fillId="0" borderId="67" applyAlignment="1" pivotButton="0" quotePrefix="0" xfId="2">
      <alignment horizontal="center" vertical="top"/>
    </xf>
    <xf numFmtId="171" fontId="60" fillId="12" borderId="67" applyAlignment="1" pivotButton="0" quotePrefix="0" xfId="2">
      <alignment horizontal="center" vertical="top"/>
    </xf>
    <xf numFmtId="171" fontId="45" fillId="12" borderId="67" applyAlignment="1" pivotButton="0" quotePrefix="0" xfId="2">
      <alignment horizontal="center" vertical="top"/>
    </xf>
    <xf numFmtId="171" fontId="41" fillId="0" borderId="52" applyAlignment="1" pivotButton="0" quotePrefix="0" xfId="2">
      <alignment horizontal="center" vertical="top"/>
    </xf>
    <xf numFmtId="171" fontId="60" fillId="12" borderId="21" applyAlignment="1" pivotButton="0" quotePrefix="0" xfId="2">
      <alignment horizontal="center" vertical="top"/>
    </xf>
    <xf numFmtId="171" fontId="45" fillId="12" borderId="52" applyAlignment="1" pivotButton="0" quotePrefix="0" xfId="2">
      <alignment horizontal="center" vertical="top"/>
    </xf>
    <xf numFmtId="171" fontId="62" fillId="0" borderId="52" applyAlignment="1" pivotButton="0" quotePrefix="0" xfId="2">
      <alignment horizontal="center" vertical="top"/>
    </xf>
    <xf numFmtId="171" fontId="41" fillId="0" borderId="4" applyAlignment="1" pivotButton="0" quotePrefix="0" xfId="2">
      <alignment horizontal="center" vertical="top"/>
    </xf>
    <xf numFmtId="171" fontId="41" fillId="0" borderId="60" applyAlignment="1" pivotButton="0" quotePrefix="0" xfId="2">
      <alignment horizontal="center" vertical="top"/>
    </xf>
    <xf numFmtId="165" fontId="41" fillId="0" borderId="60" applyAlignment="1" pivotButton="0" quotePrefix="0" xfId="2">
      <alignment horizontal="center" vertical="top"/>
    </xf>
    <xf numFmtId="164" fontId="41" fillId="0" borderId="52" applyAlignment="1" pivotButton="0" quotePrefix="0" xfId="2">
      <alignment horizontal="center" vertical="top"/>
    </xf>
    <xf numFmtId="1" fontId="41" fillId="0" borderId="52" applyAlignment="1" pivotButton="0" quotePrefix="1" xfId="1">
      <alignment horizontal="center"/>
    </xf>
    <xf numFmtId="1" fontId="62" fillId="0" borderId="60" applyAlignment="1" pivotButton="0" quotePrefix="0" xfId="1">
      <alignment horizontal="center"/>
    </xf>
    <xf numFmtId="1" fontId="41" fillId="0" borderId="52" applyAlignment="1" pivotButton="0" quotePrefix="1" xfId="1">
      <alignment horizontal="center" vertical="top"/>
    </xf>
    <xf numFmtId="0" fontId="45" fillId="12" borderId="67" applyAlignment="1" pivotButton="0" quotePrefix="0" xfId="12">
      <alignment horizontal="left"/>
    </xf>
    <xf numFmtId="0" fontId="45" fillId="12" borderId="21" applyAlignment="1" pivotButton="0" quotePrefix="0" xfId="12">
      <alignment horizontal="left"/>
    </xf>
    <xf numFmtId="0" fontId="45" fillId="12" borderId="69" applyAlignment="1" pivotButton="0" quotePrefix="0" xfId="12">
      <alignment horizontal="left"/>
    </xf>
    <xf numFmtId="0" fontId="41" fillId="0" borderId="67" pivotButton="0" quotePrefix="0" xfId="12"/>
    <xf numFmtId="1" fontId="41" fillId="0" borderId="67" applyAlignment="1" pivotButton="0" quotePrefix="1" xfId="1">
      <alignment horizontal="center"/>
    </xf>
    <xf numFmtId="164" fontId="41" fillId="0" borderId="67" applyAlignment="1" pivotButton="0" quotePrefix="0" xfId="2">
      <alignment horizontal="center" vertical="top"/>
    </xf>
    <xf numFmtId="0" fontId="41" fillId="0" borderId="50" applyAlignment="1" pivotButton="0" quotePrefix="0" xfId="12">
      <alignment horizontal="left" vertical="top"/>
    </xf>
    <xf numFmtId="0" fontId="41" fillId="0" borderId="60" applyAlignment="1" pivotButton="0" quotePrefix="0" xfId="12">
      <alignment vertical="top"/>
    </xf>
    <xf numFmtId="0" fontId="41" fillId="0" borderId="4" applyAlignment="1" pivotButton="0" quotePrefix="0" xfId="12">
      <alignment vertical="top"/>
    </xf>
    <xf numFmtId="165" fontId="41" fillId="0" borderId="52" applyAlignment="1" pivotButton="0" quotePrefix="0" xfId="2">
      <alignment vertical="top"/>
    </xf>
    <xf numFmtId="0" fontId="61" fillId="0" borderId="4" applyAlignment="1" pivotButton="0" quotePrefix="0" xfId="12">
      <alignment horizontal="left" vertical="top"/>
    </xf>
    <xf numFmtId="0" fontId="41" fillId="0" borderId="67" applyAlignment="1" pivotButton="0" quotePrefix="0" xfId="12">
      <alignment horizontal="left" vertical="top"/>
    </xf>
    <xf numFmtId="170" fontId="41" fillId="0" borderId="67" applyAlignment="1" pivotButton="0" quotePrefix="1" xfId="1">
      <alignment horizontal="center" vertical="top"/>
    </xf>
    <xf numFmtId="1" fontId="62" fillId="0" borderId="60" applyAlignment="1" pivotButton="0" quotePrefix="0" xfId="1">
      <alignment horizontal="center" vertical="top"/>
    </xf>
    <xf numFmtId="1" fontId="41" fillId="0" borderId="52" applyAlignment="1" pivotButton="0" quotePrefix="1" xfId="1">
      <alignment horizontal="center" vertical="top"/>
    </xf>
    <xf numFmtId="0" fontId="41" fillId="0" borderId="52" applyAlignment="1" pivotButton="0" quotePrefix="0" xfId="12">
      <alignment horizontal="center" vertical="top"/>
    </xf>
    <xf numFmtId="0" fontId="62" fillId="0" borderId="52" applyAlignment="1" pivotButton="0" quotePrefix="0" xfId="12">
      <alignment horizontal="center" vertical="top"/>
    </xf>
    <xf numFmtId="0" fontId="41" fillId="0" borderId="52" applyAlignment="1" pivotButton="0" quotePrefix="0" xfId="12">
      <alignment horizontal="center"/>
    </xf>
    <xf numFmtId="0" fontId="60" fillId="12" borderId="52" applyAlignment="1" pivotButton="0" quotePrefix="0" xfId="12">
      <alignment horizontal="center"/>
    </xf>
    <xf numFmtId="0" fontId="41" fillId="0" borderId="67" applyAlignment="1" pivotButton="0" quotePrefix="0" xfId="12">
      <alignment horizontal="center" vertical="top"/>
    </xf>
    <xf numFmtId="0" fontId="63" fillId="0" borderId="66" applyAlignment="1" pivotButton="0" quotePrefix="0" xfId="12">
      <alignment horizontal="center"/>
    </xf>
    <xf numFmtId="0" fontId="0" fillId="0" borderId="0" applyAlignment="1" pivotButton="0" quotePrefix="0" xfId="0">
      <alignment horizontal="center"/>
    </xf>
    <xf numFmtId="0" fontId="31" fillId="2" borderId="0" applyAlignment="1" pivotButton="0" quotePrefix="0" xfId="0">
      <alignment horizontal="left" vertical="center"/>
    </xf>
    <xf numFmtId="37" fontId="31" fillId="2" borderId="0" applyAlignment="1" pivotButton="0" quotePrefix="0" xfId="1">
      <alignment horizontal="left" vertical="top"/>
    </xf>
    <xf numFmtId="14" fontId="31" fillId="2" borderId="0" pivotButton="0" quotePrefix="0" xfId="0"/>
    <xf numFmtId="0" fontId="59" fillId="4" borderId="5" applyAlignment="1" pivotButton="0" quotePrefix="0" xfId="0">
      <alignment horizontal="center"/>
    </xf>
    <xf numFmtId="0" fontId="1" fillId="4" borderId="6" pivotButton="0" quotePrefix="0" xfId="0"/>
    <xf numFmtId="0" fontId="62" fillId="2" borderId="0" pivotButton="0" quotePrefix="0" xfId="12"/>
    <xf numFmtId="0" fontId="41" fillId="2" borderId="0" pivotButton="0" quotePrefix="0" xfId="12"/>
    <xf numFmtId="0" fontId="41" fillId="0" borderId="60" applyAlignment="1" pivotButton="0" quotePrefix="0" xfId="12">
      <alignment horizontal="center" vertical="top"/>
    </xf>
    <xf numFmtId="0" fontId="61" fillId="0" borderId="60" applyAlignment="1" pivotButton="0" quotePrefix="0" xfId="12">
      <alignment vertical="top"/>
    </xf>
    <xf numFmtId="1" fontId="41" fillId="0" borderId="60" applyAlignment="1" pivotButton="0" quotePrefix="0" xfId="1">
      <alignment horizontal="center" vertical="top"/>
    </xf>
    <xf numFmtId="164" fontId="41" fillId="0" borderId="60" applyAlignment="1" pivotButton="0" quotePrefix="0" xfId="2">
      <alignment horizontal="center" vertical="top"/>
    </xf>
    <xf numFmtId="0" fontId="41" fillId="2" borderId="0" applyAlignment="1" pivotButton="0" quotePrefix="0" xfId="12">
      <alignment vertical="top"/>
    </xf>
    <xf numFmtId="1" fontId="41" fillId="0" borderId="52" applyAlignment="1" pivotButton="0" quotePrefix="0" xfId="1">
      <alignment horizontal="center" vertical="top"/>
    </xf>
    <xf numFmtId="16" fontId="41" fillId="0" borderId="52" applyAlignment="1" pivotButton="0" quotePrefix="0" xfId="2">
      <alignment vertical="top"/>
    </xf>
    <xf numFmtId="165" fontId="41" fillId="0" borderId="52" applyAlignment="1" pivotButton="0" quotePrefix="0" xfId="2">
      <alignment vertical="top"/>
    </xf>
    <xf numFmtId="16" fontId="41" fillId="0" borderId="52" applyAlignment="1" pivotButton="0" quotePrefix="0" xfId="2">
      <alignment vertical="top"/>
    </xf>
    <xf numFmtId="0" fontId="61" fillId="0" borderId="67" applyAlignment="1" pivotButton="0" quotePrefix="0" xfId="12">
      <alignment vertical="top"/>
    </xf>
    <xf numFmtId="1" fontId="41" fillId="0" borderId="67" applyAlignment="1" pivotButton="0" quotePrefix="0" xfId="1">
      <alignment horizontal="center" vertical="top"/>
    </xf>
    <xf numFmtId="164" fontId="61" fillId="0" borderId="67" applyAlignment="1" pivotButton="0" quotePrefix="0" xfId="2">
      <alignment vertical="top"/>
    </xf>
    <xf numFmtId="0" fontId="41" fillId="0" borderId="67" applyAlignment="1" pivotButton="0" quotePrefix="0" xfId="12">
      <alignment vertical="top"/>
    </xf>
    <xf numFmtId="37" fontId="41" fillId="0" borderId="52" applyAlignment="1" pivotButton="0" quotePrefix="0" xfId="1">
      <alignment horizontal="center" vertical="top"/>
    </xf>
    <xf numFmtId="37" fontId="41" fillId="0" borderId="52" applyAlignment="1" pivotButton="0" quotePrefix="0" xfId="1">
      <alignment horizontal="center" vertical="top"/>
    </xf>
    <xf numFmtId="168" fontId="41" fillId="0" borderId="52" applyAlignment="1" pivotButton="0" quotePrefix="0" xfId="2">
      <alignment horizontal="center" vertical="top"/>
    </xf>
    <xf numFmtId="168" fontId="41" fillId="0" borderId="52" applyAlignment="1" pivotButton="0" quotePrefix="0" xfId="2">
      <alignment horizontal="center" vertical="top"/>
    </xf>
    <xf numFmtId="168" fontId="61" fillId="0" borderId="0" applyAlignment="1" pivotButton="0" quotePrefix="0" xfId="12">
      <alignment horizontal="center" vertical="top"/>
    </xf>
    <xf numFmtId="0" fontId="45" fillId="4" borderId="5" applyAlignment="1" pivotButton="0" quotePrefix="0" xfId="12">
      <alignment horizontal="left" vertical="top"/>
    </xf>
    <xf numFmtId="0" fontId="45" fillId="4" borderId="12" applyAlignment="1" pivotButton="0" quotePrefix="0" xfId="12">
      <alignment horizontal="left"/>
    </xf>
    <xf numFmtId="0" fontId="45" fillId="4" borderId="6" applyAlignment="1" pivotButton="0" quotePrefix="0" xfId="12">
      <alignment horizontal="left"/>
    </xf>
    <xf numFmtId="0" fontId="62" fillId="2" borderId="0" applyAlignment="1" pivotButton="0" quotePrefix="0" xfId="12">
      <alignment horizontal="left"/>
    </xf>
    <xf numFmtId="0" fontId="45" fillId="4" borderId="5" applyAlignment="1" pivotButton="0" quotePrefix="0" xfId="12">
      <alignment horizontal="left"/>
    </xf>
    <xf numFmtId="0" fontId="20" fillId="4" borderId="66" applyAlignment="1" pivotButton="0" quotePrefix="0" xfId="12">
      <alignment horizontal="center"/>
    </xf>
    <xf numFmtId="0" fontId="20" fillId="4" borderId="66" applyAlignment="1" pivotButton="0" quotePrefix="0" xfId="12">
      <alignment horizontal="center" vertical="top"/>
    </xf>
    <xf numFmtId="0" fontId="41" fillId="0" borderId="21" applyAlignment="1" pivotButton="0" quotePrefix="0" xfId="12">
      <alignment horizontal="center" vertical="top"/>
    </xf>
    <xf numFmtId="0" fontId="41" fillId="10" borderId="5" applyAlignment="1" pivotButton="0" quotePrefix="0" xfId="12">
      <alignment horizontal="center" vertical="top"/>
    </xf>
    <xf numFmtId="0" fontId="41" fillId="0" borderId="60" applyAlignment="1" pivotButton="0" quotePrefix="0" xfId="12">
      <alignment horizontal="left" vertical="top"/>
    </xf>
    <xf numFmtId="0" fontId="41" fillId="6" borderId="67" applyAlignment="1" pivotButton="0" quotePrefix="0" xfId="12">
      <alignment horizontal="left" vertical="top"/>
    </xf>
    <xf numFmtId="0" fontId="41" fillId="6" borderId="52" applyAlignment="1" pivotButton="0" quotePrefix="0" xfId="12">
      <alignment horizontal="left" vertical="top"/>
    </xf>
    <xf numFmtId="0" fontId="18" fillId="0" borderId="52" applyAlignment="1" pivotButton="0" quotePrefix="0" xfId="12">
      <alignment horizontal="left" vertical="top"/>
    </xf>
    <xf numFmtId="0" fontId="20" fillId="4" borderId="66" applyAlignment="1" pivotButton="0" quotePrefix="0" xfId="12">
      <alignment horizontal="left" vertical="top"/>
    </xf>
    <xf numFmtId="0" fontId="41" fillId="2" borderId="0" applyAlignment="1" pivotButton="0" quotePrefix="0" xfId="12">
      <alignment horizontal="left" vertical="top"/>
    </xf>
    <xf numFmtId="0" fontId="61" fillId="0" borderId="60" applyAlignment="1" pivotButton="0" quotePrefix="0" xfId="12">
      <alignment horizontal="left" vertical="top"/>
    </xf>
    <xf numFmtId="1" fontId="41" fillId="0" borderId="60" applyAlignment="1" pivotButton="0" quotePrefix="0" xfId="1">
      <alignment horizontal="left" vertical="top"/>
    </xf>
    <xf numFmtId="165" fontId="41" fillId="0" borderId="60" applyAlignment="1" pivotButton="0" quotePrefix="0" xfId="2">
      <alignment horizontal="left" vertical="top"/>
    </xf>
    <xf numFmtId="164" fontId="41" fillId="0" borderId="60" applyAlignment="1" pivotButton="0" quotePrefix="0" xfId="2">
      <alignment horizontal="left" vertical="top"/>
    </xf>
    <xf numFmtId="0" fontId="66" fillId="0" borderId="52" applyAlignment="1" pivotButton="0" quotePrefix="0" xfId="12">
      <alignment horizontal="left" vertical="top"/>
    </xf>
    <xf numFmtId="1" fontId="41" fillId="0" borderId="52" applyAlignment="1" pivotButton="0" quotePrefix="0" xfId="1">
      <alignment horizontal="left" vertical="top"/>
    </xf>
    <xf numFmtId="42" fontId="41" fillId="0" borderId="52" applyAlignment="1" pivotButton="0" quotePrefix="0" xfId="2">
      <alignment horizontal="left" vertical="top"/>
    </xf>
    <xf numFmtId="164" fontId="41" fillId="0" borderId="52" applyAlignment="1" pivotButton="0" quotePrefix="0" xfId="2">
      <alignment horizontal="left" vertical="top"/>
    </xf>
    <xf numFmtId="0" fontId="61" fillId="0" borderId="52" applyAlignment="1" pivotButton="0" quotePrefix="0" xfId="12">
      <alignment horizontal="left" vertical="top"/>
    </xf>
    <xf numFmtId="164" fontId="61" fillId="0" borderId="52" applyAlignment="1" pivotButton="0" quotePrefix="0" xfId="2">
      <alignment horizontal="left" vertical="top"/>
    </xf>
    <xf numFmtId="42" fontId="41" fillId="0" borderId="60" applyAlignment="1" pivotButton="0" quotePrefix="0" xfId="2">
      <alignment horizontal="left" vertical="top"/>
    </xf>
    <xf numFmtId="42" fontId="41" fillId="0" borderId="60" applyAlignment="1" pivotButton="0" quotePrefix="0" xfId="12">
      <alignment horizontal="left" vertical="top"/>
    </xf>
    <xf numFmtId="42" fontId="61" fillId="0" borderId="60" applyAlignment="1" pivotButton="0" quotePrefix="0" xfId="12">
      <alignment horizontal="left" vertical="top"/>
    </xf>
    <xf numFmtId="165" fontId="66" fillId="0" borderId="60" applyAlignment="1" pivotButton="0" quotePrefix="0" xfId="2">
      <alignment horizontal="left" vertical="top"/>
    </xf>
    <xf numFmtId="165" fontId="41" fillId="0" borderId="52" applyAlignment="1" pivotButton="0" quotePrefix="0" xfId="2">
      <alignment horizontal="left" vertical="top"/>
    </xf>
    <xf numFmtId="0" fontId="41" fillId="0" borderId="21" applyAlignment="1" pivotButton="0" quotePrefix="0" xfId="12">
      <alignment horizontal="left" vertical="top"/>
    </xf>
    <xf numFmtId="0" fontId="61" fillId="0" borderId="21" applyAlignment="1" pivotButton="0" quotePrefix="0" xfId="12">
      <alignment horizontal="left" vertical="top"/>
    </xf>
    <xf numFmtId="1" fontId="41" fillId="6" borderId="21" applyAlignment="1" pivotButton="0" quotePrefix="0" xfId="1">
      <alignment horizontal="left" vertical="top"/>
    </xf>
    <xf numFmtId="42" fontId="41" fillId="6" borderId="21" applyAlignment="1" pivotButton="0" quotePrefix="0" xfId="2">
      <alignment horizontal="left" vertical="top"/>
    </xf>
    <xf numFmtId="42" fontId="61" fillId="0" borderId="21" applyAlignment="1" pivotButton="0" quotePrefix="0" xfId="12">
      <alignment horizontal="left" vertical="top"/>
    </xf>
    <xf numFmtId="165" fontId="61" fillId="6" borderId="21" applyAlignment="1" pivotButton="0" quotePrefix="0" xfId="2">
      <alignment horizontal="left" vertical="top"/>
    </xf>
    <xf numFmtId="0" fontId="41" fillId="10" borderId="5" applyAlignment="1" pivotButton="0" quotePrefix="0" xfId="12">
      <alignment horizontal="left" vertical="top"/>
    </xf>
    <xf numFmtId="0" fontId="61" fillId="10" borderId="12" applyAlignment="1" pivotButton="0" quotePrefix="0" xfId="12">
      <alignment horizontal="left" vertical="top"/>
    </xf>
    <xf numFmtId="170" fontId="41" fillId="10" borderId="12" applyAlignment="1" pivotButton="0" quotePrefix="0" xfId="1">
      <alignment horizontal="left" vertical="top"/>
    </xf>
    <xf numFmtId="165" fontId="41" fillId="10" borderId="12" applyAlignment="1" pivotButton="0" quotePrefix="0" xfId="2">
      <alignment horizontal="left" vertical="top"/>
    </xf>
    <xf numFmtId="171" fontId="41" fillId="10" borderId="12" applyAlignment="1" pivotButton="0" quotePrefix="0" xfId="2">
      <alignment horizontal="left" vertical="top"/>
    </xf>
    <xf numFmtId="0" fontId="41" fillId="10" borderId="12" applyAlignment="1" pivotButton="0" quotePrefix="0" xfId="12">
      <alignment horizontal="left" vertical="top"/>
    </xf>
    <xf numFmtId="0" fontId="41" fillId="10" borderId="6" applyAlignment="1" pivotButton="0" quotePrefix="0" xfId="12">
      <alignment horizontal="left" vertical="top"/>
    </xf>
    <xf numFmtId="0" fontId="19" fillId="2" borderId="0" applyAlignment="1" pivotButton="0" quotePrefix="0" xfId="0">
      <alignment horizontal="left" vertical="top"/>
    </xf>
    <xf numFmtId="172" fontId="41" fillId="0" borderId="60" applyAlignment="1" pivotButton="0" quotePrefix="0" xfId="2">
      <alignment horizontal="left" vertical="top"/>
    </xf>
    <xf numFmtId="172" fontId="41" fillId="0" borderId="60" applyAlignment="1" pivotButton="0" quotePrefix="0" xfId="12">
      <alignment horizontal="left" vertical="top"/>
    </xf>
    <xf numFmtId="172" fontId="61" fillId="0" borderId="60" applyAlignment="1" pivotButton="0" quotePrefix="0" xfId="12">
      <alignment horizontal="left" vertical="top"/>
    </xf>
    <xf numFmtId="42" fontId="61" fillId="6" borderId="21" applyAlignment="1" pivotButton="0" quotePrefix="0" xfId="2">
      <alignment horizontal="left" vertical="top"/>
    </xf>
    <xf numFmtId="1" fontId="41" fillId="0" borderId="52" applyAlignment="1" pivotButton="0" quotePrefix="1" xfId="1">
      <alignment horizontal="left" vertical="top"/>
    </xf>
    <xf numFmtId="0" fontId="41" fillId="6" borderId="21" applyAlignment="1" pivotButton="0" quotePrefix="0" xfId="12">
      <alignment horizontal="left" vertical="top"/>
    </xf>
    <xf numFmtId="0" fontId="61" fillId="6" borderId="21" applyAlignment="1" pivotButton="0" quotePrefix="0" xfId="12">
      <alignment horizontal="left" vertical="top"/>
    </xf>
    <xf numFmtId="0" fontId="41" fillId="0" borderId="20" applyAlignment="1" pivotButton="0" quotePrefix="0" xfId="12">
      <alignment horizontal="left" vertical="top"/>
    </xf>
    <xf numFmtId="0" fontId="61" fillId="0" borderId="20" applyAlignment="1" pivotButton="0" quotePrefix="0" xfId="12">
      <alignment horizontal="left" vertical="top"/>
    </xf>
    <xf numFmtId="1" fontId="41" fillId="0" borderId="20" applyAlignment="1" pivotButton="0" quotePrefix="0" xfId="1">
      <alignment horizontal="left" vertical="top"/>
    </xf>
    <xf numFmtId="42" fontId="41" fillId="0" borderId="20" applyAlignment="1" pivotButton="0" quotePrefix="0" xfId="2">
      <alignment horizontal="left" vertical="top"/>
    </xf>
    <xf numFmtId="42" fontId="41" fillId="0" borderId="20" applyAlignment="1" pivotButton="0" quotePrefix="0" xfId="12">
      <alignment horizontal="left" vertical="top"/>
    </xf>
    <xf numFmtId="42" fontId="61" fillId="0" borderId="20" applyAlignment="1" pivotButton="0" quotePrefix="0" xfId="12">
      <alignment horizontal="left" vertical="top"/>
    </xf>
    <xf numFmtId="165" fontId="41" fillId="0" borderId="20" applyAlignment="1" pivotButton="0" quotePrefix="0" xfId="2">
      <alignment horizontal="left" vertical="top"/>
    </xf>
    <xf numFmtId="1" fontId="41" fillId="0" borderId="67" applyAlignment="1" pivotButton="0" quotePrefix="0" xfId="1">
      <alignment horizontal="left" vertical="top"/>
    </xf>
    <xf numFmtId="165" fontId="41" fillId="0" borderId="67" applyAlignment="1" pivotButton="0" quotePrefix="0" xfId="2">
      <alignment horizontal="left" vertical="top"/>
    </xf>
    <xf numFmtId="165" fontId="61" fillId="0" borderId="21" applyAlignment="1" pivotButton="0" quotePrefix="0" xfId="2">
      <alignment horizontal="left" vertical="top"/>
    </xf>
    <xf numFmtId="0" fontId="61" fillId="0" borderId="67" applyAlignment="1" pivotButton="0" quotePrefix="0" xfId="12">
      <alignment horizontal="left" vertical="top"/>
    </xf>
    <xf numFmtId="164" fontId="61" fillId="0" borderId="0" applyAlignment="1" pivotButton="0" quotePrefix="0" xfId="12">
      <alignment horizontal="left" vertical="top"/>
    </xf>
    <xf numFmtId="164" fontId="61" fillId="0" borderId="67" applyAlignment="1" pivotButton="0" quotePrefix="0" xfId="2">
      <alignment horizontal="left" vertical="top"/>
    </xf>
    <xf numFmtId="0" fontId="41" fillId="0" borderId="4" applyAlignment="1" pivotButton="0" quotePrefix="0" xfId="12">
      <alignment horizontal="left" vertical="top"/>
    </xf>
    <xf numFmtId="1" fontId="41" fillId="0" borderId="4" applyAlignment="1" pivotButton="0" quotePrefix="0" xfId="1">
      <alignment horizontal="left" vertical="top"/>
    </xf>
    <xf numFmtId="165" fontId="41" fillId="0" borderId="4" applyAlignment="1" pivotButton="0" quotePrefix="0" xfId="2">
      <alignment horizontal="left" vertical="top"/>
    </xf>
    <xf numFmtId="164" fontId="41" fillId="0" borderId="4" applyAlignment="1" pivotButton="0" quotePrefix="0" xfId="2">
      <alignment horizontal="left" vertical="top"/>
    </xf>
    <xf numFmtId="1" fontId="41" fillId="6" borderId="67" applyAlignment="1" pivotButton="0" quotePrefix="0" xfId="1">
      <alignment horizontal="left" vertical="top"/>
    </xf>
    <xf numFmtId="165" fontId="41" fillId="6" borderId="67" applyAlignment="1" pivotButton="0" quotePrefix="0" xfId="2">
      <alignment horizontal="left" vertical="top"/>
    </xf>
    <xf numFmtId="164" fontId="61" fillId="0" borderId="4" applyAlignment="1" pivotButton="0" quotePrefix="0" xfId="2">
      <alignment horizontal="left" vertical="top"/>
    </xf>
    <xf numFmtId="42" fontId="41" fillId="0" borderId="67" applyAlignment="1" pivotButton="0" quotePrefix="0" xfId="2">
      <alignment horizontal="left" vertical="top"/>
    </xf>
    <xf numFmtId="1" fontId="41" fillId="6" borderId="52" applyAlignment="1" pivotButton="0" quotePrefix="0" xfId="1">
      <alignment horizontal="left" vertical="top"/>
    </xf>
    <xf numFmtId="42" fontId="41" fillId="6" borderId="52" applyAlignment="1" pivotButton="0" quotePrefix="0" xfId="2">
      <alignment horizontal="left" vertical="top"/>
    </xf>
    <xf numFmtId="1" fontId="41" fillId="6" borderId="20" applyAlignment="1" pivotButton="0" quotePrefix="0" xfId="1">
      <alignment horizontal="left" vertical="top"/>
    </xf>
    <xf numFmtId="164" fontId="41" fillId="6" borderId="20" applyAlignment="1" pivotButton="0" quotePrefix="0" xfId="2">
      <alignment horizontal="left" vertical="top"/>
    </xf>
    <xf numFmtId="164" fontId="41" fillId="6" borderId="52" applyAlignment="1" pivotButton="0" quotePrefix="0" xfId="2">
      <alignment horizontal="left" vertical="top"/>
    </xf>
    <xf numFmtId="1" fontId="18" fillId="6" borderId="52" applyAlignment="1" pivotButton="0" quotePrefix="0" xfId="1">
      <alignment horizontal="left" vertical="top"/>
    </xf>
    <xf numFmtId="164" fontId="18" fillId="6" borderId="52" applyAlignment="1" pivotButton="0" quotePrefix="0" xfId="2">
      <alignment horizontal="left" vertical="top"/>
    </xf>
    <xf numFmtId="164" fontId="18" fillId="0" borderId="52" applyAlignment="1" pivotButton="0" quotePrefix="0" xfId="2">
      <alignment horizontal="left" vertical="top"/>
    </xf>
    <xf numFmtId="0" fontId="18" fillId="2" borderId="0" applyAlignment="1" pivotButton="0" quotePrefix="0" xfId="12">
      <alignment horizontal="left" vertical="top"/>
    </xf>
    <xf numFmtId="164" fontId="41" fillId="6" borderId="67" applyAlignment="1" pivotButton="0" quotePrefix="0" xfId="2">
      <alignment horizontal="left" vertical="top"/>
    </xf>
    <xf numFmtId="0" fontId="66" fillId="0" borderId="67" applyAlignment="1" pivotButton="0" quotePrefix="0" xfId="12">
      <alignment horizontal="left" vertical="top"/>
    </xf>
    <xf numFmtId="1" fontId="41" fillId="0" borderId="4" applyAlignment="1" pivotButton="0" quotePrefix="0" xfId="12">
      <alignment horizontal="left" vertical="top"/>
    </xf>
    <xf numFmtId="164" fontId="41" fillId="0" borderId="4" applyAlignment="1" pivotButton="0" quotePrefix="0" xfId="12">
      <alignment horizontal="left" vertical="top"/>
    </xf>
    <xf numFmtId="1" fontId="41" fillId="0" borderId="52" applyAlignment="1" pivotButton="0" quotePrefix="0" xfId="12">
      <alignment horizontal="left" vertical="top"/>
    </xf>
    <xf numFmtId="164" fontId="61" fillId="0" borderId="4" applyAlignment="1" pivotButton="0" quotePrefix="0" xfId="12">
      <alignment horizontal="left" vertical="top"/>
    </xf>
    <xf numFmtId="0" fontId="65" fillId="12" borderId="21" applyAlignment="1" pivotButton="0" quotePrefix="0" xfId="12">
      <alignment horizontal="left" vertical="top"/>
    </xf>
    <xf numFmtId="0" fontId="20" fillId="12" borderId="21" applyAlignment="1" pivotButton="0" quotePrefix="0" xfId="12">
      <alignment horizontal="left" vertical="top"/>
    </xf>
    <xf numFmtId="1" fontId="65" fillId="12" borderId="21" applyAlignment="1" pivotButton="0" quotePrefix="0" xfId="1">
      <alignment horizontal="left" vertical="top"/>
    </xf>
    <xf numFmtId="42" fontId="65" fillId="12" borderId="21" applyAlignment="1" pivotButton="0" quotePrefix="0" xfId="2">
      <alignment horizontal="left" vertical="top"/>
    </xf>
    <xf numFmtId="42" fontId="20" fillId="12" borderId="21" applyAlignment="1" pivotButton="0" quotePrefix="0" xfId="2">
      <alignment horizontal="left" vertical="top"/>
    </xf>
    <xf numFmtId="0" fontId="60" fillId="12" borderId="3" applyAlignment="1" pivotButton="0" quotePrefix="0" xfId="12">
      <alignment horizontal="center"/>
    </xf>
    <xf numFmtId="0" fontId="45" fillId="12" borderId="3" pivotButton="0" quotePrefix="0" xfId="12"/>
    <xf numFmtId="170" fontId="60" fillId="12" borderId="3" pivotButton="0" quotePrefix="0" xfId="1"/>
    <xf numFmtId="165" fontId="60" fillId="12" borderId="3" pivotButton="0" quotePrefix="0" xfId="2"/>
    <xf numFmtId="164" fontId="45" fillId="12" borderId="3" pivotButton="0" quotePrefix="0" xfId="2"/>
    <xf numFmtId="0" fontId="60" fillId="12" borderId="3" pivotButton="0" quotePrefix="0" xfId="12"/>
    <xf numFmtId="0" fontId="60" fillId="12" borderId="0" pivotButton="0" quotePrefix="0" xfId="12"/>
    <xf numFmtId="0" fontId="60" fillId="12" borderId="3" applyAlignment="1" pivotButton="0" quotePrefix="0" xfId="12">
      <alignment horizontal="center" vertical="top"/>
    </xf>
    <xf numFmtId="0" fontId="45" fillId="12" borderId="3" applyAlignment="1" pivotButton="0" quotePrefix="0" xfId="12">
      <alignment horizontal="left" vertical="top"/>
    </xf>
    <xf numFmtId="170" fontId="60" fillId="12" borderId="3" applyAlignment="1" pivotButton="0" quotePrefix="0" xfId="1">
      <alignment horizontal="left" vertical="top"/>
    </xf>
    <xf numFmtId="42" fontId="60" fillId="12" borderId="3" applyAlignment="1" pivotButton="0" quotePrefix="0" xfId="2">
      <alignment horizontal="left" vertical="top"/>
    </xf>
    <xf numFmtId="42" fontId="45" fillId="12" borderId="3" applyAlignment="1" pivotButton="0" quotePrefix="0" xfId="2">
      <alignment horizontal="left" vertical="top"/>
    </xf>
    <xf numFmtId="0" fontId="60" fillId="12" borderId="3" applyAlignment="1" pivotButton="0" quotePrefix="0" xfId="12">
      <alignment horizontal="left" vertical="top"/>
    </xf>
    <xf numFmtId="0" fontId="60" fillId="12" borderId="0" applyAlignment="1" pivotButton="0" quotePrefix="0" xfId="12">
      <alignment horizontal="left" vertical="top"/>
    </xf>
    <xf numFmtId="0" fontId="60" fillId="12" borderId="21" applyAlignment="1" pivotButton="0" quotePrefix="0" xfId="12">
      <alignment horizontal="left" vertical="top"/>
    </xf>
    <xf numFmtId="0" fontId="45" fillId="12" borderId="21" applyAlignment="1" pivotButton="0" quotePrefix="0" xfId="12">
      <alignment horizontal="left" vertical="top"/>
    </xf>
    <xf numFmtId="1" fontId="60" fillId="12" borderId="21" applyAlignment="1" pivotButton="0" quotePrefix="0" xfId="1">
      <alignment horizontal="left" vertical="top"/>
    </xf>
    <xf numFmtId="42" fontId="60" fillId="12" borderId="21" applyAlignment="1" pivotButton="0" quotePrefix="0" xfId="2">
      <alignment horizontal="left" vertical="top"/>
    </xf>
    <xf numFmtId="42" fontId="45" fillId="12" borderId="21" applyAlignment="1" pivotButton="0" quotePrefix="0" xfId="2">
      <alignment horizontal="left" vertical="top"/>
    </xf>
    <xf numFmtId="165" fontId="60" fillId="12" borderId="3" applyAlignment="1" pivotButton="0" quotePrefix="0" xfId="2">
      <alignment horizontal="left" vertical="top"/>
    </xf>
    <xf numFmtId="164" fontId="45" fillId="12" borderId="3" applyAlignment="1" pivotButton="0" quotePrefix="0" xfId="2">
      <alignment horizontal="left" vertical="top"/>
    </xf>
    <xf numFmtId="42" fontId="60" fillId="12" borderId="3" applyAlignment="1" pivotButton="0" quotePrefix="0" xfId="1">
      <alignment horizontal="left" vertical="top"/>
    </xf>
    <xf numFmtId="165" fontId="45" fillId="12" borderId="3" applyAlignment="1" pivotButton="0" quotePrefix="0" xfId="2">
      <alignment horizontal="left" vertical="top"/>
    </xf>
    <xf numFmtId="164" fontId="60" fillId="12" borderId="3" applyAlignment="1" pivotButton="0" quotePrefix="0" xfId="2">
      <alignment horizontal="left" vertical="top"/>
    </xf>
    <xf numFmtId="0" fontId="60" fillId="2" borderId="0" pivotButton="0" quotePrefix="0" xfId="12"/>
    <xf numFmtId="0" fontId="60" fillId="2" borderId="0" applyAlignment="1" pivotButton="0" quotePrefix="0" xfId="12">
      <alignment horizontal="left" vertical="top"/>
    </xf>
    <xf numFmtId="168" fontId="41" fillId="0" borderId="60" applyAlignment="1" pivotButton="0" quotePrefix="0" xfId="2">
      <alignment horizontal="center" vertical="top"/>
    </xf>
    <xf numFmtId="168" fontId="41" fillId="10" borderId="12" applyAlignment="1" pivotButton="0" quotePrefix="0" xfId="2">
      <alignment horizontal="center" vertical="top"/>
    </xf>
    <xf numFmtId="168" fontId="45" fillId="12" borderId="3" applyAlignment="1" pivotButton="0" quotePrefix="0" xfId="2">
      <alignment horizontal="center" vertical="top"/>
    </xf>
    <xf numFmtId="168" fontId="45" fillId="12" borderId="21" applyAlignment="1" pivotButton="0" quotePrefix="0" xfId="2">
      <alignment horizontal="center" vertical="top"/>
    </xf>
    <xf numFmtId="173" fontId="0" fillId="2" borderId="0" pivotButton="0" quotePrefix="0" xfId="0"/>
    <xf numFmtId="171" fontId="0" fillId="2" borderId="0" pivotButton="0" quotePrefix="0" xfId="0"/>
    <xf numFmtId="171" fontId="45" fillId="12" borderId="3" applyAlignment="1" pivotButton="0" quotePrefix="0" xfId="2">
      <alignment horizontal="center"/>
    </xf>
    <xf numFmtId="171" fontId="45" fillId="12" borderId="21" applyAlignment="1" pivotButton="0" quotePrefix="0" xfId="2">
      <alignment horizontal="center" vertical="top"/>
    </xf>
    <xf numFmtId="168" fontId="36" fillId="2" borderId="22" applyAlignment="1" pivotButton="0" quotePrefix="0" xfId="0">
      <alignment horizontal="right"/>
    </xf>
    <xf numFmtId="168" fontId="36" fillId="2" borderId="23" applyAlignment="1" pivotButton="0" quotePrefix="0" xfId="0">
      <alignment horizontal="right"/>
    </xf>
    <xf numFmtId="168" fontId="36" fillId="2" borderId="24" applyAlignment="1" pivotButton="0" quotePrefix="0" xfId="0">
      <alignment horizontal="right"/>
    </xf>
    <xf numFmtId="173" fontId="36" fillId="2" borderId="52" applyAlignment="1" pivotButton="0" quotePrefix="0" xfId="0">
      <alignment horizontal="right"/>
    </xf>
    <xf numFmtId="171" fontId="36" fillId="2" borderId="52" applyAlignment="1" pivotButton="0" quotePrefix="0" xfId="0">
      <alignment horizontal="right"/>
    </xf>
    <xf numFmtId="171" fontId="45" fillId="12" borderId="3" applyAlignment="1" pivotButton="0" quotePrefix="0" xfId="2">
      <alignment horizontal="center" vertical="top"/>
    </xf>
    <xf numFmtId="164" fontId="65" fillId="12" borderId="21" applyAlignment="1" pivotButton="0" quotePrefix="0" xfId="2">
      <alignment horizontal="left" vertical="top"/>
    </xf>
    <xf numFmtId="165" fontId="20" fillId="12" borderId="21" applyAlignment="1" pivotButton="0" quotePrefix="0" xfId="2">
      <alignment horizontal="left" vertical="top"/>
    </xf>
    <xf numFmtId="0" fontId="65" fillId="12" borderId="52" applyAlignment="1" pivotButton="0" quotePrefix="0" xfId="12">
      <alignment horizontal="left" vertical="top"/>
    </xf>
    <xf numFmtId="0" fontId="20" fillId="12" borderId="52" applyAlignment="1" pivotButton="0" quotePrefix="0" xfId="12">
      <alignment horizontal="left" vertical="top"/>
    </xf>
    <xf numFmtId="1" fontId="65" fillId="12" borderId="52" applyAlignment="1" pivotButton="0" quotePrefix="0" xfId="1">
      <alignment horizontal="left" vertical="top"/>
    </xf>
    <xf numFmtId="164" fontId="65" fillId="12" borderId="52" applyAlignment="1" pivotButton="0" quotePrefix="0" xfId="2">
      <alignment horizontal="left" vertical="top"/>
    </xf>
    <xf numFmtId="165" fontId="20" fillId="12" borderId="52" applyAlignment="1" pivotButton="0" quotePrefix="0" xfId="2">
      <alignment horizontal="left" vertical="top"/>
    </xf>
    <xf numFmtId="0" fontId="65" fillId="12" borderId="67" applyAlignment="1" pivotButton="0" quotePrefix="0" xfId="12">
      <alignment horizontal="left" vertical="top"/>
    </xf>
    <xf numFmtId="0" fontId="20" fillId="12" borderId="67" applyAlignment="1" pivotButton="0" quotePrefix="0" xfId="12">
      <alignment horizontal="left" vertical="top"/>
    </xf>
    <xf numFmtId="1" fontId="65" fillId="12" borderId="67" applyAlignment="1" pivotButton="0" quotePrefix="0" xfId="1">
      <alignment horizontal="left" vertical="top"/>
    </xf>
    <xf numFmtId="164" fontId="65" fillId="12" borderId="67" applyAlignment="1" pivotButton="0" quotePrefix="0" xfId="2">
      <alignment horizontal="left" vertical="top"/>
    </xf>
    <xf numFmtId="164" fontId="20" fillId="12" borderId="0" applyAlignment="1" pivotButton="0" quotePrefix="0" xfId="12">
      <alignment horizontal="left" vertical="top"/>
    </xf>
    <xf numFmtId="164" fontId="20" fillId="12" borderId="67" applyAlignment="1" pivotButton="0" quotePrefix="0" xfId="2">
      <alignment horizontal="left" vertical="top"/>
    </xf>
    <xf numFmtId="165" fontId="20" fillId="12" borderId="67" applyAlignment="1" pivotButton="0" quotePrefix="0" xfId="2">
      <alignment horizontal="left" vertical="top"/>
    </xf>
    <xf numFmtId="0" fontId="65" fillId="12" borderId="66" applyAlignment="1" pivotButton="0" quotePrefix="0" xfId="12">
      <alignment horizontal="left" vertical="top"/>
    </xf>
    <xf numFmtId="0" fontId="20" fillId="12" borderId="66" applyAlignment="1" pivotButton="0" quotePrefix="0" xfId="12">
      <alignment horizontal="left" vertical="top"/>
    </xf>
    <xf numFmtId="1" fontId="65" fillId="12" borderId="66" applyAlignment="1" pivotButton="0" quotePrefix="0" xfId="1">
      <alignment horizontal="left" vertical="top"/>
    </xf>
    <xf numFmtId="165" fontId="65" fillId="12" borderId="66" applyAlignment="1" pivotButton="0" quotePrefix="0" xfId="2">
      <alignment horizontal="left" vertical="top"/>
    </xf>
    <xf numFmtId="164" fontId="20" fillId="12" borderId="66" applyAlignment="1" pivotButton="0" quotePrefix="0" xfId="2">
      <alignment horizontal="left" vertical="top"/>
    </xf>
    <xf numFmtId="42" fontId="65" fillId="12" borderId="67" applyAlignment="1" pivotButton="0" quotePrefix="0" xfId="2">
      <alignment horizontal="left" vertical="top"/>
    </xf>
    <xf numFmtId="42" fontId="20" fillId="12" borderId="0" applyAlignment="1" pivotButton="0" quotePrefix="0" xfId="12">
      <alignment horizontal="left" vertical="top"/>
    </xf>
    <xf numFmtId="42" fontId="20" fillId="12" borderId="67" applyAlignment="1" pivotButton="0" quotePrefix="0" xfId="2">
      <alignment horizontal="left" vertical="top"/>
    </xf>
    <xf numFmtId="37" fontId="48" fillId="2" borderId="4" applyAlignment="1" applyProtection="1" pivotButton="0" quotePrefix="0" xfId="11">
      <alignment horizontal="right" vertical="center"/>
      <protection locked="0" hidden="0"/>
    </xf>
    <xf numFmtId="173" fontId="0" fillId="0" borderId="0" pivotButton="0" quotePrefix="0" xfId="0"/>
    <xf numFmtId="0" fontId="34" fillId="2" borderId="0" applyAlignment="1" pivotButton="0" quotePrefix="1" xfId="0">
      <alignment horizontal="center"/>
    </xf>
    <xf numFmtId="173" fontId="44" fillId="2" borderId="50" applyAlignment="1" applyProtection="1" pivotButton="0" quotePrefix="0" xfId="9">
      <alignment horizontal="center" vertical="center"/>
      <protection locked="0" hidden="0"/>
    </xf>
    <xf numFmtId="168" fontId="43" fillId="8" borderId="58" applyAlignment="1" pivotButton="0" quotePrefix="0" xfId="10">
      <alignment horizontal="center" vertical="center"/>
    </xf>
    <xf numFmtId="173" fontId="44" fillId="2" borderId="59" applyAlignment="1" applyProtection="1" pivotButton="0" quotePrefix="0" xfId="9">
      <alignment horizontal="center" vertical="center"/>
      <protection locked="0" hidden="0"/>
    </xf>
    <xf numFmtId="173" fontId="45" fillId="4" borderId="3" applyAlignment="1" applyProtection="1" pivotButton="0" quotePrefix="0" xfId="9">
      <alignment horizontal="center" vertical="center"/>
      <protection locked="0" hidden="0"/>
    </xf>
    <xf numFmtId="3" fontId="31" fillId="2" borderId="0" applyAlignment="1" pivotButton="0" quotePrefix="0" xfId="0">
      <alignment horizontal="left"/>
    </xf>
    <xf numFmtId="37" fontId="68" fillId="2" borderId="4" applyAlignment="1" applyProtection="1" pivotButton="0" quotePrefix="0" xfId="11">
      <alignment horizontal="left" vertical="center" wrapText="1" indent="1"/>
      <protection locked="0" hidden="0"/>
    </xf>
    <xf numFmtId="37" fontId="69" fillId="7" borderId="4" applyAlignment="1" applyProtection="1" pivotButton="0" quotePrefix="0" xfId="11">
      <alignment vertical="center"/>
      <protection locked="0" hidden="0"/>
    </xf>
    <xf numFmtId="37" fontId="68" fillId="7" borderId="4" applyAlignment="1" applyProtection="1" pivotButton="0" quotePrefix="0" xfId="11">
      <alignment vertical="center"/>
      <protection locked="0" hidden="0"/>
    </xf>
    <xf numFmtId="37" fontId="68" fillId="7" borderId="4" applyAlignment="1" applyProtection="1" pivotButton="0" quotePrefix="0" xfId="11">
      <alignment horizontal="center" vertical="center"/>
      <protection locked="0" hidden="0"/>
    </xf>
    <xf numFmtId="165" fontId="68" fillId="7" borderId="4" applyAlignment="1" applyProtection="1" pivotButton="0" quotePrefix="0" xfId="8">
      <alignment vertical="center"/>
      <protection locked="0" hidden="0"/>
    </xf>
    <xf numFmtId="164" fontId="68" fillId="7" borderId="4" applyAlignment="1" pivotButton="0" quotePrefix="0" xfId="8">
      <alignment horizontal="right" vertical="center"/>
    </xf>
    <xf numFmtId="37" fontId="69" fillId="7" borderId="4" applyAlignment="1" applyProtection="1" pivotButton="0" quotePrefix="0" xfId="11">
      <alignment horizontal="center" vertical="center"/>
      <protection locked="0" hidden="0"/>
    </xf>
    <xf numFmtId="165" fontId="69" fillId="7" borderId="4" applyAlignment="1" applyProtection="1" pivotButton="0" quotePrefix="0" xfId="8">
      <alignment vertical="center"/>
      <protection locked="0" hidden="0"/>
    </xf>
    <xf numFmtId="164" fontId="69" fillId="2" borderId="4" applyAlignment="1" pivotButton="0" quotePrefix="0" xfId="8">
      <alignment horizontal="right" vertical="center"/>
    </xf>
    <xf numFmtId="164" fontId="41" fillId="0" borderId="0" applyAlignment="1" pivotButton="0" quotePrefix="0" xfId="2">
      <alignment horizontal="left" vertical="top"/>
    </xf>
    <xf numFmtId="164" fontId="41" fillId="0" borderId="67" applyAlignment="1" pivotButton="0" quotePrefix="0" xfId="2">
      <alignment horizontal="left" vertical="top"/>
    </xf>
    <xf numFmtId="174" fontId="6" fillId="2" borderId="0" pivotButton="0" quotePrefix="0" xfId="0"/>
    <xf numFmtId="0" fontId="33" fillId="2" borderId="0" applyAlignment="1" pivotButton="0" quotePrefix="0" xfId="0">
      <alignment vertical="center" wrapText="1"/>
    </xf>
    <xf numFmtId="0" fontId="33" fillId="2" borderId="0" pivotButton="0" quotePrefix="0" xfId="0"/>
    <xf numFmtId="174" fontId="0" fillId="2" borderId="0" pivotButton="0" quotePrefix="0" xfId="0"/>
    <xf numFmtId="174" fontId="11" fillId="2" borderId="0" pivotButton="0" quotePrefix="0" xfId="0"/>
    <xf numFmtId="37" fontId="48" fillId="11" borderId="4" applyAlignment="1" applyProtection="1" pivotButton="0" quotePrefix="0" xfId="11">
      <alignment vertical="center"/>
      <protection locked="0" hidden="0"/>
    </xf>
    <xf numFmtId="165" fontId="41" fillId="0" borderId="4" applyAlignment="1" pivotButton="0" quotePrefix="0" xfId="2">
      <alignment horizontal="center" vertical="top"/>
    </xf>
    <xf numFmtId="3" fontId="41" fillId="0" borderId="52" applyAlignment="1" pivotButton="0" quotePrefix="1" xfId="1">
      <alignment horizontal="center" vertical="top"/>
    </xf>
    <xf numFmtId="37" fontId="69" fillId="2" borderId="4" applyAlignment="1" applyProtection="1" pivotButton="0" quotePrefix="1" xfId="11">
      <alignment vertical="center"/>
      <protection locked="0" hidden="0"/>
    </xf>
    <xf numFmtId="165" fontId="51" fillId="9" borderId="3" applyAlignment="1" pivotButton="0" quotePrefix="0" xfId="8">
      <alignment horizontal="center" vertical="top" wrapText="1"/>
    </xf>
    <xf numFmtId="0" fontId="18" fillId="0" borderId="52" applyAlignment="1" pivotButton="0" quotePrefix="0" xfId="12">
      <alignment vertical="top" wrapText="1"/>
    </xf>
    <xf numFmtId="1" fontId="41" fillId="0" borderId="52" applyAlignment="1" pivotButton="0" quotePrefix="1" xfId="1">
      <alignment horizontal="center"/>
    </xf>
    <xf numFmtId="0" fontId="66" fillId="0" borderId="60" pivotButton="0" quotePrefix="0" xfId="12"/>
    <xf numFmtId="0" fontId="36" fillId="2" borderId="0" applyAlignment="1" pivotButton="0" quotePrefix="0" xfId="0">
      <alignment horizontal="right"/>
    </xf>
    <xf numFmtId="37" fontId="48" fillId="11" borderId="4" applyAlignment="1" applyProtection="1" pivotButton="0" quotePrefix="0" xfId="11">
      <alignment vertical="top"/>
      <protection locked="0" hidden="0"/>
    </xf>
    <xf numFmtId="37" fontId="48" fillId="11" borderId="4" applyAlignment="1" applyProtection="1" pivotButton="0" quotePrefix="0" xfId="11">
      <alignment horizontal="center" vertical="top"/>
      <protection locked="0" hidden="0"/>
    </xf>
    <xf numFmtId="165" fontId="48" fillId="11" borderId="4" applyAlignment="1" applyProtection="1" pivotButton="0" quotePrefix="0" xfId="8">
      <alignment vertical="top"/>
      <protection locked="0" hidden="0"/>
    </xf>
    <xf numFmtId="175" fontId="48" fillId="2" borderId="4" applyAlignment="1" applyProtection="1" pivotButton="0" quotePrefix="0" xfId="8">
      <alignment vertical="center"/>
      <protection locked="0" hidden="0"/>
    </xf>
    <xf numFmtId="37" fontId="69" fillId="2" borderId="4" applyAlignment="1" applyProtection="1" pivotButton="0" quotePrefix="0" xfId="11">
      <alignment horizontal="left" vertical="center"/>
      <protection locked="0" hidden="0"/>
    </xf>
    <xf numFmtId="0" fontId="43" fillId="13" borderId="48" applyAlignment="1" pivotButton="0" quotePrefix="1" xfId="10">
      <alignment horizontal="center" vertical="center"/>
    </xf>
    <xf numFmtId="0" fontId="43" fillId="14" borderId="49" applyAlignment="1" pivotButton="0" quotePrefix="0" xfId="10">
      <alignment vertical="center"/>
    </xf>
    <xf numFmtId="168" fontId="43" fillId="13" borderId="56" applyAlignment="1" pivotButton="0" quotePrefix="0" xfId="10">
      <alignment horizontal="center" vertical="center"/>
    </xf>
    <xf numFmtId="173" fontId="44" fillId="14" borderId="50" applyAlignment="1" applyProtection="1" pivotButton="0" quotePrefix="0" xfId="9">
      <alignment horizontal="center" vertical="center"/>
      <protection locked="0" hidden="0"/>
    </xf>
    <xf numFmtId="37" fontId="43" fillId="13" borderId="48" applyAlignment="1" pivotButton="0" quotePrefix="1" xfId="10">
      <alignment horizontal="center" vertical="center"/>
    </xf>
    <xf numFmtId="0" fontId="43" fillId="14" borderId="51" applyAlignment="1" pivotButton="0" quotePrefix="0" xfId="10">
      <alignment vertical="center"/>
    </xf>
    <xf numFmtId="37" fontId="68" fillId="2" borderId="4" applyAlignment="1" applyProtection="1" pivotButton="0" quotePrefix="0" xfId="11">
      <alignment horizontal="left" vertical="center" indent="1"/>
      <protection locked="0" hidden="0"/>
    </xf>
    <xf numFmtId="37" fontId="48" fillId="0" borderId="4" applyAlignment="1" applyProtection="1" pivotButton="0" quotePrefix="0" xfId="11">
      <alignment horizontal="left" vertical="center" indent="1"/>
      <protection locked="0" hidden="0"/>
    </xf>
    <xf numFmtId="37" fontId="48" fillId="0" borderId="4" applyAlignment="1" applyProtection="1" pivotButton="0" quotePrefix="0" xfId="11">
      <alignment vertical="center"/>
      <protection locked="0" hidden="0"/>
    </xf>
    <xf numFmtId="37" fontId="48" fillId="0" borderId="4" applyAlignment="1" applyProtection="1" pivotButton="0" quotePrefix="0" xfId="11">
      <alignment horizontal="center" vertical="center"/>
      <protection locked="0" hidden="0"/>
    </xf>
    <xf numFmtId="165" fontId="48" fillId="0" borderId="4" applyAlignment="1" applyProtection="1" pivotButton="0" quotePrefix="0" xfId="8">
      <alignment vertical="center"/>
      <protection locked="0" hidden="0"/>
    </xf>
    <xf numFmtId="164" fontId="48" fillId="0" borderId="4" applyAlignment="1" pivotButton="0" quotePrefix="0" xfId="8">
      <alignment horizontal="right" vertical="center"/>
    </xf>
    <xf numFmtId="168" fontId="48" fillId="0" borderId="40" applyAlignment="1" pivotButton="0" quotePrefix="0" xfId="11">
      <alignment horizontal="left" vertical="center"/>
    </xf>
    <xf numFmtId="37" fontId="48" fillId="2" borderId="25" applyAlignment="1" applyProtection="1" pivotButton="0" quotePrefix="0" xfId="11">
      <alignment vertical="center"/>
      <protection locked="0" hidden="0"/>
    </xf>
    <xf numFmtId="37" fontId="48" fillId="2" borderId="40" applyAlignment="1" applyProtection="1" pivotButton="0" quotePrefix="0" xfId="11">
      <alignment vertical="center"/>
      <protection locked="0" hidden="0"/>
    </xf>
    <xf numFmtId="0" fontId="0" fillId="2" borderId="4" pivotButton="0" quotePrefix="0" xfId="0"/>
    <xf numFmtId="37" fontId="47" fillId="0" borderId="4" applyAlignment="1" applyProtection="1" pivotButton="0" quotePrefix="0" xfId="11">
      <alignment vertical="center"/>
      <protection locked="0" hidden="0"/>
    </xf>
    <xf numFmtId="37" fontId="47" fillId="0" borderId="4" applyAlignment="1" applyProtection="1" pivotButton="0" quotePrefix="0" xfId="11">
      <alignment horizontal="center" vertical="center"/>
      <protection locked="0" hidden="0"/>
    </xf>
    <xf numFmtId="165" fontId="47" fillId="0" borderId="4" applyAlignment="1" applyProtection="1" pivotButton="0" quotePrefix="0" xfId="8">
      <alignment vertical="center"/>
      <protection locked="0" hidden="0"/>
    </xf>
    <xf numFmtId="37" fontId="43" fillId="14" borderId="48" applyAlignment="1" pivotButton="0" quotePrefix="1" xfId="10">
      <alignment horizontal="center" vertical="center"/>
    </xf>
    <xf numFmtId="168" fontId="43" fillId="14" borderId="56" applyAlignment="1" pivotButton="0" quotePrefix="0" xfId="10">
      <alignment horizontal="center" vertical="center"/>
    </xf>
    <xf numFmtId="0" fontId="43" fillId="13" borderId="49" applyAlignment="1" pivotButton="0" quotePrefix="0" xfId="10">
      <alignment vertical="center"/>
    </xf>
    <xf numFmtId="168" fontId="43" fillId="13" borderId="55" applyAlignment="1" pivotButton="0" quotePrefix="0" xfId="10">
      <alignment horizontal="center" vertical="center"/>
    </xf>
    <xf numFmtId="37" fontId="69" fillId="7" borderId="4" applyAlignment="1" applyProtection="1" pivotButton="0" quotePrefix="1" xfId="11">
      <alignment vertical="center"/>
      <protection locked="0" hidden="0"/>
    </xf>
    <xf numFmtId="37" fontId="48" fillId="2" borderId="4" applyAlignment="1" applyProtection="1" pivotButton="0" quotePrefix="0" xfId="11">
      <alignment horizontal="left" vertical="top" wrapText="1"/>
      <protection locked="0" hidden="0"/>
    </xf>
    <xf numFmtId="49" fontId="69" fillId="2" borderId="4" applyAlignment="1" applyProtection="1" pivotButton="0" quotePrefix="0" xfId="11">
      <alignment horizontal="left" vertical="center"/>
      <protection locked="0" hidden="0"/>
    </xf>
    <xf numFmtId="37" fontId="68" fillId="2" borderId="4" applyAlignment="1" applyProtection="1" pivotButton="0" quotePrefix="0" xfId="11">
      <alignment horizontal="left" vertical="center"/>
      <protection locked="0" hidden="0"/>
    </xf>
    <xf numFmtId="0" fontId="32" fillId="2" borderId="0" applyAlignment="1" pivotButton="0" quotePrefix="0" xfId="0">
      <alignment horizontal="center" vertical="center" wrapText="1"/>
    </xf>
    <xf numFmtId="0" fontId="31" fillId="2" borderId="0" applyAlignment="1" pivotButton="0" quotePrefix="0" xfId="0">
      <alignment horizontal="center"/>
    </xf>
    <xf numFmtId="0" fontId="31" fillId="2" borderId="0" pivotButton="0" quotePrefix="0" xfId="0"/>
    <xf numFmtId="0" fontId="31" fillId="2" borderId="28" applyAlignment="1" pivotButton="0" quotePrefix="0" xfId="0">
      <alignment horizontal="center" vertical="center" wrapText="1"/>
    </xf>
    <xf numFmtId="0" fontId="31" fillId="2" borderId="28" pivotButton="0" quotePrefix="0" xfId="0"/>
    <xf numFmtId="0" fontId="31" fillId="2" borderId="33" applyAlignment="1" pivotButton="0" quotePrefix="0" xfId="0">
      <alignment horizontal="center" vertical="center" wrapText="1"/>
    </xf>
    <xf numFmtId="0" fontId="31" fillId="2" borderId="33" pivotButton="0" quotePrefix="0" xfId="0"/>
    <xf numFmtId="0" fontId="67" fillId="2" borderId="0" applyAlignment="1" pivotButton="0" quotePrefix="0" xfId="0">
      <alignment horizontal="left"/>
    </xf>
    <xf numFmtId="15" fontId="67" fillId="2" borderId="0" applyAlignment="1" pivotButton="0" quotePrefix="0" xfId="0">
      <alignment horizontal="left" vertical="center" wrapText="1"/>
    </xf>
    <xf numFmtId="0" fontId="33" fillId="2" borderId="0" applyAlignment="1" pivotButton="0" quotePrefix="0" xfId="0">
      <alignment horizontal="left" vertical="center" wrapText="1"/>
    </xf>
    <xf numFmtId="0" fontId="33" fillId="2" borderId="0" applyAlignment="1" pivotButton="0" quotePrefix="0" xfId="0">
      <alignment horizontal="left"/>
    </xf>
    <xf numFmtId="0" fontId="30" fillId="2" borderId="0" applyAlignment="1" pivotButton="0" quotePrefix="0" xfId="0">
      <alignment horizontal="left" vertical="center" wrapText="1"/>
    </xf>
    <xf numFmtId="0" fontId="31" fillId="2" borderId="0" applyAlignment="1" pivotButton="0" quotePrefix="0" xfId="0">
      <alignment horizontal="left"/>
    </xf>
    <xf numFmtId="15" fontId="33" fillId="2" borderId="0" applyAlignment="1" pivotButton="0" quotePrefix="0" xfId="0">
      <alignment horizontal="left" vertical="center" wrapText="1"/>
    </xf>
    <xf numFmtId="0" fontId="30" fillId="2" borderId="0" applyAlignment="1" pivotButton="0" quotePrefix="0" xfId="0">
      <alignment horizontal="center" vertical="center" wrapText="1"/>
    </xf>
    <xf numFmtId="0" fontId="0" fillId="2" borderId="72" applyAlignment="1" pivotButton="0" quotePrefix="0" xfId="0">
      <alignment horizontal="center" wrapText="1"/>
    </xf>
    <xf numFmtId="0" fontId="3" fillId="2" borderId="5" applyAlignment="1" pivotButton="0" quotePrefix="0" xfId="0">
      <alignment horizontal="left"/>
    </xf>
    <xf numFmtId="0" fontId="3" fillId="2" borderId="6" applyAlignment="1" pivotButton="0" quotePrefix="0" xfId="0">
      <alignment horizontal="left"/>
    </xf>
    <xf numFmtId="0" fontId="24" fillId="5" borderId="5" applyAlignment="1" pivotButton="0" quotePrefix="0" xfId="0">
      <alignment horizontal="left" shrinkToFit="1"/>
    </xf>
    <xf numFmtId="0" fontId="24" fillId="5" borderId="6" applyAlignment="1" pivotButton="0" quotePrefix="0" xfId="0">
      <alignment horizontal="left" shrinkToFit="1"/>
    </xf>
    <xf numFmtId="0" fontId="15" fillId="4" borderId="20" applyAlignment="1" pivotButton="0" quotePrefix="0" xfId="0">
      <alignment horizontal="center" vertical="top" wrapText="1"/>
    </xf>
    <xf numFmtId="0" fontId="15" fillId="4" borderId="21" applyAlignment="1" pivotButton="0" quotePrefix="0" xfId="0">
      <alignment horizontal="center" vertical="top" wrapText="1"/>
    </xf>
    <xf numFmtId="0" fontId="15" fillId="4" borderId="5" applyAlignment="1" pivotButton="0" quotePrefix="0" xfId="0">
      <alignment horizontal="center" vertical="center"/>
    </xf>
    <xf numFmtId="0" fontId="15" fillId="4" borderId="12" applyAlignment="1" pivotButton="0" quotePrefix="0" xfId="0">
      <alignment horizontal="center" vertical="center"/>
    </xf>
    <xf numFmtId="0" fontId="15" fillId="4" borderId="6" applyAlignment="1" pivotButton="0" quotePrefix="0" xfId="0">
      <alignment horizontal="center" vertical="center"/>
    </xf>
    <xf numFmtId="0" fontId="15" fillId="4" borderId="20" applyAlignment="1" pivotButton="0" quotePrefix="0" xfId="0">
      <alignment horizontal="center" vertical="top"/>
    </xf>
    <xf numFmtId="0" fontId="15" fillId="4" borderId="21" applyAlignment="1" pivotButton="0" quotePrefix="0" xfId="0">
      <alignment horizontal="center" vertical="top"/>
    </xf>
    <xf numFmtId="0" fontId="15" fillId="4" borderId="20" applyAlignment="1" pivotButton="0" quotePrefix="0" xfId="0">
      <alignment horizontal="center" vertical="center" wrapText="1"/>
    </xf>
    <xf numFmtId="0" fontId="15" fillId="4" borderId="21" applyAlignment="1" pivotButton="0" quotePrefix="0" xfId="0">
      <alignment horizontal="center" vertical="center" wrapText="1"/>
    </xf>
    <xf numFmtId="0" fontId="15" fillId="4" borderId="20" applyAlignment="1" pivotButton="0" quotePrefix="0" xfId="0">
      <alignment horizontal="center" vertical="center"/>
    </xf>
    <xf numFmtId="0" fontId="15" fillId="4" borderId="21" applyAlignment="1" pivotButton="0" quotePrefix="0" xfId="0">
      <alignment horizontal="center" vertical="center"/>
    </xf>
    <xf numFmtId="164" fontId="15" fillId="4" borderId="5" applyAlignment="1" pivotButton="0" quotePrefix="0" xfId="2">
      <alignment horizontal="left" indent="1"/>
    </xf>
    <xf numFmtId="164" fontId="15" fillId="4" borderId="6" applyAlignment="1" pivotButton="0" quotePrefix="0" xfId="2">
      <alignment horizontal="left" indent="1"/>
    </xf>
    <xf numFmtId="0" fontId="27" fillId="4" borderId="29" applyAlignment="1" pivotButton="0" quotePrefix="0" xfId="0">
      <alignment horizontal="center"/>
    </xf>
    <xf numFmtId="0" fontId="27" fillId="4" borderId="30" applyAlignment="1" pivotButton="0" quotePrefix="0" xfId="0">
      <alignment horizontal="center"/>
    </xf>
    <xf numFmtId="0" fontId="27" fillId="4" borderId="31" applyAlignment="1" pivotButton="0" quotePrefix="0" xfId="0">
      <alignment horizontal="center"/>
    </xf>
    <xf numFmtId="0" fontId="16" fillId="4" borderId="29" applyAlignment="1" pivotButton="0" quotePrefix="0" xfId="0">
      <alignment horizontal="center"/>
    </xf>
    <xf numFmtId="0" fontId="16" fillId="4" borderId="30" applyAlignment="1" pivotButton="0" quotePrefix="0" xfId="0">
      <alignment horizontal="center"/>
    </xf>
    <xf numFmtId="0" fontId="16" fillId="4" borderId="31" applyAlignment="1" pivotButton="0" quotePrefix="0" xfId="0">
      <alignment horizontal="center"/>
    </xf>
    <xf numFmtId="0" fontId="21" fillId="4" borderId="5" applyAlignment="1" pivotButton="0" quotePrefix="0" xfId="0">
      <alignment horizontal="center"/>
    </xf>
    <xf numFmtId="0" fontId="21" fillId="4" borderId="12" applyAlignment="1" pivotButton="0" quotePrefix="0" xfId="0">
      <alignment horizontal="center"/>
    </xf>
    <xf numFmtId="0" fontId="21" fillId="4" borderId="6" applyAlignment="1" pivotButton="0" quotePrefix="0" xfId="0">
      <alignment horizontal="center"/>
    </xf>
    <xf numFmtId="0" fontId="31" fillId="2" borderId="0" applyAlignment="1" pivotButton="0" quotePrefix="0" xfId="0">
      <alignment horizontal="left" vertical="center" wrapText="1"/>
    </xf>
    <xf numFmtId="15" fontId="31" fillId="2" borderId="0" applyAlignment="1" pivotButton="0" quotePrefix="0" xfId="0">
      <alignment horizontal="left" vertical="center" wrapText="1"/>
    </xf>
    <xf numFmtId="168" fontId="70" fillId="8" borderId="56" applyAlignment="1" pivotButton="0" quotePrefix="0" xfId="10">
      <alignment horizontal="left" vertical="center"/>
    </xf>
    <xf numFmtId="0" fontId="43" fillId="11" borderId="49" applyAlignment="1" pivotButton="0" quotePrefix="0" xfId="10">
      <alignment vertical="center"/>
    </xf>
    <xf numFmtId="37" fontId="43" fillId="11" borderId="49" applyAlignment="1" pivotButton="0" quotePrefix="0" xfId="10">
      <alignment vertical="center"/>
    </xf>
    <xf numFmtId="168" fontId="69" fillId="7" borderId="40" applyAlignment="1" pivotButton="0" quotePrefix="0" xfId="11">
      <alignment horizontal="left" vertical="center"/>
    </xf>
    <xf numFmtId="165" fontId="48" fillId="2" borderId="4" applyAlignment="1" pivotButton="0" quotePrefix="0" xfId="8">
      <alignment vertical="top"/>
    </xf>
    <xf numFmtId="168" fontId="48" fillId="2" borderId="40" applyAlignment="1" pivotButton="0" quotePrefix="0" xfId="11">
      <alignment horizontal="left" vertical="top" wrapText="1"/>
    </xf>
    <xf numFmtId="168" fontId="43" fillId="13" borderId="57" applyAlignment="1" pivotButton="0" quotePrefix="0" xfId="10">
      <alignment horizontal="center" vertical="center"/>
    </xf>
    <xf numFmtId="0" fontId="71" fillId="2" borderId="0" pivotButton="0" quotePrefix="0" xfId="0"/>
    <xf numFmtId="171" fontId="36" fillId="0" borderId="52" applyAlignment="1" pivotButton="0" quotePrefix="0" xfId="0">
      <alignment horizontal="right" indent="1"/>
    </xf>
    <xf numFmtId="168" fontId="36" fillId="0" borderId="52" applyAlignment="1" pivotButton="0" quotePrefix="0" xfId="0">
      <alignment horizontal="right"/>
    </xf>
    <xf numFmtId="168" fontId="32" fillId="2" borderId="60" pivotButton="0" quotePrefix="0" xfId="0"/>
    <xf numFmtId="168" fontId="32" fillId="2" borderId="70" pivotButton="0" quotePrefix="0" xfId="0"/>
    <xf numFmtId="168" fontId="32" fillId="2" borderId="27" pivotButton="0" quotePrefix="0" xfId="0"/>
    <xf numFmtId="168" fontId="32" fillId="2" borderId="71" pivotButton="0" quotePrefix="0" xfId="0"/>
    <xf numFmtId="0" fontId="74" fillId="0" borderId="0" pivotButton="0" quotePrefix="0" xfId="0"/>
    <xf numFmtId="0" fontId="75" fillId="0" borderId="0" applyAlignment="1" pivotButton="0" quotePrefix="0" xfId="0">
      <alignment vertical="top" wrapText="1"/>
    </xf>
    <xf numFmtId="0" fontId="76" fillId="0" borderId="0" pivotButton="0" quotePrefix="0" xfId="0"/>
    <xf numFmtId="0" fontId="73" fillId="0" borderId="0" pivotButton="0" quotePrefix="0" xfId="0"/>
    <xf numFmtId="176" fontId="76" fillId="0" borderId="0" pivotButton="0" quotePrefix="0" xfId="0"/>
    <xf numFmtId="0" fontId="77" fillId="0" borderId="0" pivotButton="0" quotePrefix="0" xfId="0"/>
    <xf numFmtId="0" fontId="73" fillId="0" borderId="0" applyAlignment="1" pivotButton="0" quotePrefix="0" xfId="0">
      <alignment vertical="top" wrapText="1"/>
    </xf>
    <xf numFmtId="0" fontId="72" fillId="15" borderId="0" pivotButton="0" quotePrefix="0" xfId="0"/>
    <xf numFmtId="0" fontId="33" fillId="16" borderId="0" pivotButton="0" quotePrefix="0" xfId="0"/>
    <xf numFmtId="171" fontId="0" fillId="2" borderId="0" pivotButton="0" quotePrefix="0" xfId="0"/>
    <xf numFmtId="173" fontId="0" fillId="2" borderId="0" pivotButton="0" quotePrefix="0" xfId="0"/>
    <xf numFmtId="15" fontId="33" fillId="16" borderId="0" applyAlignment="1" pivotButton="0" quotePrefix="0" xfId="0">
      <alignment horizontal="left" vertical="center" wrapText="1"/>
    </xf>
    <xf numFmtId="0" fontId="0" fillId="0" borderId="28" pivotButton="0" quotePrefix="0" xfId="0"/>
    <xf numFmtId="0" fontId="0" fillId="0" borderId="33" pivotButton="0" quotePrefix="0" xfId="0"/>
    <xf numFmtId="0" fontId="72" fillId="15" borderId="0" applyAlignment="1" pivotButton="0" quotePrefix="0" xfId="0">
      <alignment horizontal="center" vertical="center" wrapText="1"/>
    </xf>
    <xf numFmtId="168" fontId="32" fillId="16" borderId="20" pivotButton="0" quotePrefix="0" xfId="0"/>
    <xf numFmtId="168" fontId="32" fillId="2" borderId="15" pivotButton="0" quotePrefix="0" xfId="0"/>
    <xf numFmtId="168" fontId="32" fillId="2" borderId="16" pivotButton="0" quotePrefix="0" xfId="0"/>
    <xf numFmtId="168" fontId="32" fillId="2" borderId="17" pivotButton="0" quotePrefix="0" xfId="0"/>
    <xf numFmtId="168" fontId="36" fillId="2" borderId="21" applyAlignment="1" pivotButton="0" quotePrefix="0" xfId="0">
      <alignment horizontal="right"/>
    </xf>
    <xf numFmtId="168" fontId="36" fillId="2" borderId="37" applyAlignment="1" pivotButton="0" quotePrefix="0" xfId="0">
      <alignment horizontal="right"/>
    </xf>
    <xf numFmtId="168" fontId="36" fillId="2" borderId="38" applyAlignment="1" pivotButton="0" quotePrefix="0" xfId="0">
      <alignment horizontal="right"/>
    </xf>
    <xf numFmtId="168" fontId="36" fillId="2" borderId="39" applyAlignment="1" pivotButton="0" quotePrefix="0" xfId="0">
      <alignment horizontal="right"/>
    </xf>
    <xf numFmtId="168" fontId="37" fillId="2" borderId="3" applyAlignment="1" pivotButton="0" quotePrefix="0" xfId="0">
      <alignment horizontal="right"/>
    </xf>
    <xf numFmtId="168" fontId="37" fillId="2" borderId="9" applyAlignment="1" pivotButton="0" quotePrefix="0" xfId="0">
      <alignment horizontal="right"/>
    </xf>
    <xf numFmtId="168" fontId="37" fillId="2" borderId="10" applyAlignment="1" pivotButton="0" quotePrefix="0" xfId="0">
      <alignment horizontal="right"/>
    </xf>
    <xf numFmtId="168" fontId="37" fillId="2" borderId="11" applyAlignment="1" pivotButton="0" quotePrefix="0" xfId="0">
      <alignment horizontal="right"/>
    </xf>
    <xf numFmtId="168" fontId="32" fillId="2" borderId="20" pivotButton="0" quotePrefix="0" xfId="0"/>
    <xf numFmtId="168" fontId="32" fillId="16" borderId="60" pivotButton="0" quotePrefix="0" xfId="0"/>
    <xf numFmtId="168" fontId="32" fillId="2" borderId="70" pivotButton="0" quotePrefix="0" xfId="0"/>
    <xf numFmtId="168" fontId="32" fillId="2" borderId="27" pivotButton="0" quotePrefix="0" xfId="0"/>
    <xf numFmtId="168" fontId="32" fillId="2" borderId="71" pivotButton="0" quotePrefix="0" xfId="0"/>
    <xf numFmtId="168" fontId="36" fillId="16" borderId="52" applyAlignment="1" pivotButton="0" quotePrefix="0" xfId="0">
      <alignment horizontal="right"/>
    </xf>
    <xf numFmtId="168" fontId="36" fillId="2" borderId="18" applyAlignment="1" pivotButton="0" quotePrefix="0" xfId="0">
      <alignment horizontal="right"/>
    </xf>
    <xf numFmtId="168" fontId="36" fillId="2" borderId="1" applyAlignment="1" pivotButton="0" quotePrefix="0" xfId="0">
      <alignment horizontal="right"/>
    </xf>
    <xf numFmtId="168" fontId="36" fillId="2" borderId="19" applyAlignment="1" pivotButton="0" quotePrefix="0" xfId="0">
      <alignment horizontal="right"/>
    </xf>
    <xf numFmtId="168" fontId="36" fillId="17" borderId="21" applyAlignment="1" pivotButton="0" quotePrefix="0" xfId="0">
      <alignment horizontal="right"/>
    </xf>
    <xf numFmtId="174" fontId="6" fillId="16" borderId="0" pivotButton="0" quotePrefix="0" xfId="0"/>
    <xf numFmtId="171" fontId="36" fillId="2" borderId="20" applyAlignment="1" pivotButton="0" quotePrefix="0" xfId="0">
      <alignment horizontal="right" indent="1"/>
    </xf>
    <xf numFmtId="168" fontId="36" fillId="2" borderId="15" applyAlignment="1" pivotButton="0" quotePrefix="0" xfId="0">
      <alignment horizontal="right"/>
    </xf>
    <xf numFmtId="168" fontId="36" fillId="2" borderId="16" applyAlignment="1" pivotButton="0" quotePrefix="0" xfId="0">
      <alignment horizontal="right"/>
    </xf>
    <xf numFmtId="168" fontId="36" fillId="2" borderId="17" applyAlignment="1" pivotButton="0" quotePrefix="0" xfId="0">
      <alignment horizontal="right"/>
    </xf>
    <xf numFmtId="171" fontId="36" fillId="2" borderId="60" applyAlignment="1" pivotButton="0" quotePrefix="0" xfId="0">
      <alignment horizontal="right" indent="1"/>
    </xf>
    <xf numFmtId="168" fontId="36" fillId="2" borderId="70" applyAlignment="1" pivotButton="0" quotePrefix="0" xfId="0">
      <alignment horizontal="right"/>
    </xf>
    <xf numFmtId="168" fontId="36" fillId="2" borderId="27" applyAlignment="1" pivotButton="0" quotePrefix="0" xfId="0">
      <alignment horizontal="right"/>
    </xf>
    <xf numFmtId="168" fontId="36" fillId="2" borderId="71" applyAlignment="1" pivotButton="0" quotePrefix="0" xfId="0">
      <alignment horizontal="right"/>
    </xf>
    <xf numFmtId="171" fontId="36" fillId="0" borderId="52" applyAlignment="1" pivotButton="0" quotePrefix="0" xfId="0">
      <alignment horizontal="right" indent="1"/>
    </xf>
    <xf numFmtId="171" fontId="36" fillId="2" borderId="52" applyAlignment="1" pivotButton="0" quotePrefix="0" xfId="0">
      <alignment horizontal="right" indent="1"/>
    </xf>
    <xf numFmtId="171" fontId="36" fillId="16" borderId="52" applyAlignment="1" pivotButton="0" quotePrefix="0" xfId="0">
      <alignment horizontal="right" indent="1"/>
    </xf>
    <xf numFmtId="171" fontId="36" fillId="2" borderId="21" applyAlignment="1" pivotButton="0" quotePrefix="0" xfId="0">
      <alignment horizontal="right" indent="1"/>
    </xf>
    <xf numFmtId="168" fontId="37" fillId="2" borderId="66" applyAlignment="1" pivotButton="0" quotePrefix="0" xfId="0">
      <alignment horizontal="right"/>
    </xf>
    <xf numFmtId="168" fontId="37" fillId="2" borderId="36" applyAlignment="1" pivotButton="0" quotePrefix="0" xfId="0">
      <alignment horizontal="right"/>
    </xf>
    <xf numFmtId="168" fontId="37" fillId="2" borderId="34" applyAlignment="1" pivotButton="0" quotePrefix="0" xfId="0">
      <alignment horizontal="right"/>
    </xf>
    <xf numFmtId="168" fontId="37" fillId="2" borderId="35" applyAlignment="1" pivotButton="0" quotePrefix="0" xfId="0">
      <alignment horizontal="right"/>
    </xf>
    <xf numFmtId="174" fontId="0" fillId="2" borderId="0" pivotButton="0" quotePrefix="0" xfId="0"/>
    <xf numFmtId="168" fontId="36" fillId="2" borderId="20" applyAlignment="1" pivotButton="0" quotePrefix="0" xfId="0">
      <alignment horizontal="right"/>
    </xf>
    <xf numFmtId="168" fontId="36" fillId="2" borderId="52" applyAlignment="1" pivotButton="0" quotePrefix="0" xfId="0">
      <alignment horizontal="right"/>
    </xf>
    <xf numFmtId="171" fontId="36" fillId="2" borderId="52" applyAlignment="1" pivotButton="0" quotePrefix="0" xfId="0">
      <alignment horizontal="right"/>
    </xf>
    <xf numFmtId="173" fontId="36" fillId="2" borderId="52" applyAlignment="1" pivotButton="0" quotePrefix="0" xfId="0">
      <alignment horizontal="right"/>
    </xf>
    <xf numFmtId="168" fontId="36" fillId="2" borderId="67" applyAlignment="1" pivotButton="0" quotePrefix="0" xfId="0">
      <alignment horizontal="right"/>
    </xf>
    <xf numFmtId="168" fontId="36" fillId="2" borderId="22" applyAlignment="1" pivotButton="0" quotePrefix="0" xfId="0">
      <alignment horizontal="right"/>
    </xf>
    <xf numFmtId="168" fontId="36" fillId="2" borderId="23" applyAlignment="1" pivotButton="0" quotePrefix="0" xfId="0">
      <alignment horizontal="right"/>
    </xf>
    <xf numFmtId="168" fontId="36" fillId="2" borderId="24" applyAlignment="1" pivotButton="0" quotePrefix="0" xfId="0">
      <alignment horizontal="right"/>
    </xf>
    <xf numFmtId="174" fontId="6" fillId="2" borderId="0" pivotButton="0" quotePrefix="0" xfId="0"/>
    <xf numFmtId="168" fontId="37" fillId="17" borderId="3" applyAlignment="1" pivotButton="0" quotePrefix="0" xfId="0">
      <alignment horizontal="right"/>
    </xf>
    <xf numFmtId="168" fontId="37" fillId="16" borderId="3" applyAlignment="1" pivotButton="0" quotePrefix="0" xfId="0">
      <alignment horizontal="right"/>
    </xf>
    <xf numFmtId="165" fontId="6" fillId="2" borderId="0" pivotButton="0" quotePrefix="0" xfId="0"/>
    <xf numFmtId="167" fontId="35" fillId="2" borderId="0" pivotButton="0" quotePrefix="0" xfId="0"/>
    <xf numFmtId="174" fontId="11" fillId="16" borderId="0" pivotButton="0" quotePrefix="0" xfId="0"/>
    <xf numFmtId="171" fontId="45" fillId="4" borderId="3" applyAlignment="1" pivotButton="0" quotePrefix="0" xfId="12">
      <alignment horizontal="center" vertical="top"/>
    </xf>
    <xf numFmtId="171" fontId="62" fillId="0" borderId="60" applyAlignment="1" pivotButton="0" quotePrefix="0" xfId="2">
      <alignment horizontal="center" vertical="top"/>
    </xf>
    <xf numFmtId="165" fontId="41" fillId="0" borderId="60" applyAlignment="1" pivotButton="0" quotePrefix="0" xfId="2">
      <alignment horizontal="center" vertical="top"/>
    </xf>
    <xf numFmtId="171" fontId="41" fillId="0" borderId="52" applyAlignment="1" pivotButton="0" quotePrefix="0" xfId="2">
      <alignment horizontal="center" vertical="top"/>
    </xf>
    <xf numFmtId="165" fontId="41" fillId="0" borderId="4" applyAlignment="1" pivotButton="0" quotePrefix="0" xfId="2">
      <alignment horizontal="center" vertical="top"/>
    </xf>
    <xf numFmtId="171" fontId="41" fillId="17" borderId="52" applyAlignment="1" pivotButton="0" quotePrefix="0" xfId="2">
      <alignment horizontal="center" vertical="top"/>
    </xf>
    <xf numFmtId="171" fontId="41" fillId="0" borderId="67" applyAlignment="1" pivotButton="0" quotePrefix="0" xfId="2">
      <alignment horizontal="center" vertical="top"/>
    </xf>
    <xf numFmtId="170" fontId="60" fillId="12" borderId="67" applyAlignment="1" pivotButton="0" quotePrefix="0" xfId="1">
      <alignment horizontal="center"/>
    </xf>
    <xf numFmtId="171" fontId="60" fillId="12" borderId="67" applyAlignment="1" pivotButton="0" quotePrefix="0" xfId="2">
      <alignment horizontal="center" vertical="top"/>
    </xf>
    <xf numFmtId="171" fontId="45" fillId="12" borderId="67" applyAlignment="1" pivotButton="0" quotePrefix="0" xfId="2">
      <alignment horizontal="center" vertical="top"/>
    </xf>
    <xf numFmtId="170" fontId="62" fillId="0" borderId="60" applyAlignment="1" pivotButton="0" quotePrefix="0" xfId="1">
      <alignment horizontal="center" vertical="top"/>
    </xf>
    <xf numFmtId="170" fontId="60" fillId="12" borderId="21" applyAlignment="1" pivotButton="0" quotePrefix="0" xfId="1">
      <alignment horizontal="center"/>
    </xf>
    <xf numFmtId="171" fontId="60" fillId="12" borderId="21" applyAlignment="1" pivotButton="0" quotePrefix="0" xfId="2">
      <alignment horizontal="center" vertical="top"/>
    </xf>
    <xf numFmtId="171" fontId="45" fillId="12" borderId="52" applyAlignment="1" pivotButton="0" quotePrefix="0" xfId="2">
      <alignment horizontal="center" vertical="top"/>
    </xf>
    <xf numFmtId="170" fontId="62" fillId="0" borderId="20" applyAlignment="1" pivotButton="0" quotePrefix="0" xfId="1">
      <alignment horizontal="center" vertical="top"/>
    </xf>
    <xf numFmtId="171" fontId="41" fillId="16" borderId="52" applyAlignment="1" pivotButton="0" quotePrefix="0" xfId="2">
      <alignment horizontal="center" vertical="top"/>
    </xf>
    <xf numFmtId="165" fontId="41" fillId="0" borderId="52" pivotButton="0" quotePrefix="0" xfId="2"/>
    <xf numFmtId="165" fontId="41" fillId="0" borderId="60" pivotButton="0" quotePrefix="0" xfId="2"/>
    <xf numFmtId="170" fontId="41" fillId="0" borderId="67" applyAlignment="1" pivotButton="0" quotePrefix="1" xfId="1">
      <alignment horizontal="center"/>
    </xf>
    <xf numFmtId="165" fontId="41" fillId="0" borderId="67" pivotButton="0" quotePrefix="0" xfId="2"/>
    <xf numFmtId="171" fontId="62" fillId="0" borderId="52" applyAlignment="1" pivotButton="0" quotePrefix="0" xfId="2">
      <alignment horizontal="center" vertical="top"/>
    </xf>
    <xf numFmtId="171" fontId="41" fillId="0" borderId="60" applyAlignment="1" pivotButton="0" quotePrefix="0" xfId="2">
      <alignment horizontal="center" vertical="top"/>
    </xf>
    <xf numFmtId="170" fontId="41" fillId="0" borderId="52" applyAlignment="1" pivotButton="0" quotePrefix="1" xfId="1">
      <alignment horizontal="center"/>
    </xf>
    <xf numFmtId="170" fontId="41" fillId="0" borderId="4" applyAlignment="1" pivotButton="0" quotePrefix="0" xfId="1">
      <alignment horizontal="center"/>
    </xf>
    <xf numFmtId="171" fontId="41" fillId="0" borderId="4" applyAlignment="1" pivotButton="0" quotePrefix="0" xfId="2">
      <alignment horizontal="center" vertical="top"/>
    </xf>
    <xf numFmtId="165" fontId="41" fillId="0" borderId="52" applyAlignment="1" pivotButton="0" quotePrefix="0" xfId="2">
      <alignment vertical="top"/>
    </xf>
    <xf numFmtId="170" fontId="41" fillId="0" borderId="67" applyAlignment="1" pivotButton="0" quotePrefix="1" xfId="1">
      <alignment horizontal="center" vertical="top"/>
    </xf>
    <xf numFmtId="165" fontId="41" fillId="0" borderId="67" applyAlignment="1" pivotButton="0" quotePrefix="0" xfId="2">
      <alignment vertical="top"/>
    </xf>
    <xf numFmtId="170" fontId="41" fillId="0" borderId="52" applyAlignment="1" pivotButton="0" quotePrefix="1" xfId="1">
      <alignment horizontal="center" vertical="top"/>
    </xf>
    <xf numFmtId="171" fontId="62" fillId="16" borderId="60" applyAlignment="1" pivotButton="0" quotePrefix="0" xfId="2">
      <alignment horizontal="center" vertical="top"/>
    </xf>
    <xf numFmtId="170" fontId="41" fillId="0" borderId="60" applyAlignment="1" pivotButton="0" quotePrefix="1" xfId="1">
      <alignment horizontal="center"/>
    </xf>
    <xf numFmtId="170" fontId="55" fillId="10" borderId="12" applyAlignment="1" pivotButton="0" quotePrefix="0" xfId="1">
      <alignment horizontal="center"/>
    </xf>
    <xf numFmtId="165" fontId="55" fillId="10" borderId="12" pivotButton="0" quotePrefix="0" xfId="2"/>
    <xf numFmtId="171" fontId="55" fillId="10" borderId="12" applyAlignment="1" pivotButton="0" quotePrefix="0" xfId="2">
      <alignment horizontal="center"/>
    </xf>
    <xf numFmtId="170" fontId="63" fillId="0" borderId="66" pivotButton="0" quotePrefix="0" xfId="1"/>
    <xf numFmtId="165" fontId="63" fillId="0" borderId="66" pivotButton="0" quotePrefix="0" xfId="2"/>
    <xf numFmtId="165" fontId="41" fillId="0" borderId="60" applyAlignment="1" pivotButton="0" quotePrefix="0" xfId="2">
      <alignment vertical="top"/>
    </xf>
    <xf numFmtId="168" fontId="41" fillId="0" borderId="52" applyAlignment="1" pivotButton="0" quotePrefix="0" xfId="2">
      <alignment horizontal="center" vertical="top"/>
    </xf>
    <xf numFmtId="168" fontId="41" fillId="16" borderId="52" applyAlignment="1" pivotButton="0" quotePrefix="0" xfId="2">
      <alignment horizontal="center" vertical="top"/>
    </xf>
    <xf numFmtId="16" fontId="73" fillId="0" borderId="52" applyAlignment="1" pivotButton="0" quotePrefix="0" xfId="2">
      <alignment vertical="top" wrapText="1"/>
    </xf>
    <xf numFmtId="168" fontId="61" fillId="0" borderId="0" applyAlignment="1" pivotButton="0" quotePrefix="0" xfId="12">
      <alignment horizontal="center" vertical="top"/>
    </xf>
    <xf numFmtId="170" fontId="60" fillId="12" borderId="3" pivotButton="0" quotePrefix="0" xfId="1"/>
    <xf numFmtId="165" fontId="60" fillId="12" borderId="3" pivotButton="0" quotePrefix="0" xfId="2"/>
    <xf numFmtId="171" fontId="45" fillId="12" borderId="3" applyAlignment="1" pivotButton="0" quotePrefix="0" xfId="2">
      <alignment horizontal="center"/>
    </xf>
    <xf numFmtId="165" fontId="41" fillId="0" borderId="60" applyAlignment="1" pivotButton="0" quotePrefix="0" xfId="2">
      <alignment horizontal="left" vertical="top"/>
    </xf>
    <xf numFmtId="164" fontId="41" fillId="16" borderId="52" applyAlignment="1" pivotButton="0" quotePrefix="0" xfId="2">
      <alignment horizontal="left" vertical="top"/>
    </xf>
    <xf numFmtId="0" fontId="73" fillId="0" borderId="52" applyAlignment="1" pivotButton="0" quotePrefix="0" xfId="12">
      <alignment vertical="top" wrapText="1"/>
    </xf>
    <xf numFmtId="168" fontId="41" fillId="0" borderId="60" applyAlignment="1" pivotButton="0" quotePrefix="0" xfId="2">
      <alignment horizontal="center" vertical="top"/>
    </xf>
    <xf numFmtId="165" fontId="66" fillId="0" borderId="60" applyAlignment="1" pivotButton="0" quotePrefix="0" xfId="2">
      <alignment horizontal="left" vertical="top"/>
    </xf>
    <xf numFmtId="165" fontId="41" fillId="0" borderId="52" applyAlignment="1" pivotButton="0" quotePrefix="0" xfId="2">
      <alignment horizontal="left" vertical="top"/>
    </xf>
    <xf numFmtId="165" fontId="61" fillId="6" borderId="21" applyAlignment="1" pivotButton="0" quotePrefix="0" xfId="2">
      <alignment horizontal="left" vertical="top"/>
    </xf>
    <xf numFmtId="170" fontId="41" fillId="10" borderId="12" applyAlignment="1" pivotButton="0" quotePrefix="0" xfId="1">
      <alignment horizontal="left" vertical="top"/>
    </xf>
    <xf numFmtId="165" fontId="41" fillId="10" borderId="12" applyAlignment="1" pivotButton="0" quotePrefix="0" xfId="2">
      <alignment horizontal="left" vertical="top"/>
    </xf>
    <xf numFmtId="168" fontId="41" fillId="10" borderId="12" applyAlignment="1" pivotButton="0" quotePrefix="0" xfId="2">
      <alignment horizontal="center" vertical="top"/>
    </xf>
    <xf numFmtId="170" fontId="60" fillId="12" borderId="3" applyAlignment="1" pivotButton="0" quotePrefix="0" xfId="1">
      <alignment horizontal="left" vertical="top"/>
    </xf>
    <xf numFmtId="168" fontId="45" fillId="12" borderId="3" applyAlignment="1" pivotButton="0" quotePrefix="0" xfId="2">
      <alignment horizontal="center" vertical="top"/>
    </xf>
    <xf numFmtId="172" fontId="41" fillId="0" borderId="60" applyAlignment="1" pivotButton="0" quotePrefix="0" xfId="2">
      <alignment horizontal="left" vertical="top"/>
    </xf>
    <xf numFmtId="172" fontId="41" fillId="0" borderId="60" applyAlignment="1" pivotButton="0" quotePrefix="0" xfId="12">
      <alignment horizontal="left" vertical="top"/>
    </xf>
    <xf numFmtId="172" fontId="61" fillId="0" borderId="60" applyAlignment="1" pivotButton="0" quotePrefix="0" xfId="12">
      <alignment horizontal="left" vertical="top"/>
    </xf>
    <xf numFmtId="171" fontId="41" fillId="10" borderId="12" applyAlignment="1" pivotButton="0" quotePrefix="0" xfId="2">
      <alignment horizontal="left" vertical="top"/>
    </xf>
    <xf numFmtId="168" fontId="45" fillId="12" borderId="21" applyAlignment="1" pivotButton="0" quotePrefix="0" xfId="2">
      <alignment horizontal="center" vertical="top"/>
    </xf>
    <xf numFmtId="171" fontId="45" fillId="12" borderId="21" applyAlignment="1" pivotButton="0" quotePrefix="0" xfId="2">
      <alignment horizontal="center" vertical="top"/>
    </xf>
    <xf numFmtId="165" fontId="41" fillId="0" borderId="20" applyAlignment="1" pivotButton="0" quotePrefix="0" xfId="2">
      <alignment horizontal="left" vertical="top"/>
    </xf>
    <xf numFmtId="165" fontId="41" fillId="0" borderId="67" applyAlignment="1" pivotButton="0" quotePrefix="0" xfId="2">
      <alignment horizontal="left" vertical="top"/>
    </xf>
    <xf numFmtId="165" fontId="61" fillId="0" borderId="21" applyAlignment="1" pivotButton="0" quotePrefix="0" xfId="2">
      <alignment horizontal="left" vertical="top"/>
    </xf>
    <xf numFmtId="42" fontId="41" fillId="16" borderId="60" applyAlignment="1" pivotButton="0" quotePrefix="0" xfId="12">
      <alignment horizontal="left" vertical="top"/>
    </xf>
    <xf numFmtId="165" fontId="73" fillId="0" borderId="60" applyAlignment="1" pivotButton="0" quotePrefix="0" xfId="2">
      <alignment vertical="top" wrapText="1"/>
    </xf>
    <xf numFmtId="165" fontId="41" fillId="0" borderId="4" applyAlignment="1" pivotButton="0" quotePrefix="0" xfId="2">
      <alignment horizontal="left" vertical="top"/>
    </xf>
    <xf numFmtId="165" fontId="41" fillId="6" borderId="67" applyAlignment="1" pivotButton="0" quotePrefix="0" xfId="2">
      <alignment horizontal="left" vertical="top"/>
    </xf>
    <xf numFmtId="165" fontId="60" fillId="12" borderId="3" applyAlignment="1" pivotButton="0" quotePrefix="0" xfId="2">
      <alignment horizontal="left" vertical="top"/>
    </xf>
    <xf numFmtId="171" fontId="45" fillId="12" borderId="3" applyAlignment="1" pivotButton="0" quotePrefix="0" xfId="2">
      <alignment horizontal="center" vertical="top"/>
    </xf>
    <xf numFmtId="165" fontId="20" fillId="12" borderId="21" applyAlignment="1" pivotButton="0" quotePrefix="0" xfId="2">
      <alignment horizontal="left" vertical="top"/>
    </xf>
    <xf numFmtId="165" fontId="20" fillId="12" borderId="52" applyAlignment="1" pivotButton="0" quotePrefix="0" xfId="2">
      <alignment horizontal="left" vertical="top"/>
    </xf>
    <xf numFmtId="0" fontId="41" fillId="16" borderId="67" applyAlignment="1" pivotButton="0" quotePrefix="0" xfId="12">
      <alignment horizontal="left" vertical="top"/>
    </xf>
    <xf numFmtId="0" fontId="73" fillId="0" borderId="67" applyAlignment="1" pivotButton="0" quotePrefix="0" xfId="12">
      <alignment vertical="top" wrapText="1"/>
    </xf>
    <xf numFmtId="165" fontId="20" fillId="12" borderId="67" applyAlignment="1" pivotButton="0" quotePrefix="0" xfId="2">
      <alignment horizontal="left" vertical="top"/>
    </xf>
    <xf numFmtId="165" fontId="65" fillId="12" borderId="66" applyAlignment="1" pivotButton="0" quotePrefix="0" xfId="2">
      <alignment horizontal="left" vertical="top"/>
    </xf>
    <xf numFmtId="165" fontId="45" fillId="12" borderId="3" applyAlignment="1" pivotButton="0" quotePrefix="0" xfId="2">
      <alignment horizontal="left" vertical="top"/>
    </xf>
    <xf numFmtId="164" fontId="41" fillId="17" borderId="52" applyAlignment="1" pivotButton="0" quotePrefix="0" xfId="2">
      <alignment horizontal="left" vertical="top"/>
    </xf>
    <xf numFmtId="165" fontId="55" fillId="2" borderId="0" pivotButton="0" quotePrefix="0" xfId="2"/>
    <xf numFmtId="168" fontId="45" fillId="9" borderId="5" applyAlignment="1" pivotButton="0" quotePrefix="0" xfId="9">
      <alignment horizontal="center" vertical="center"/>
    </xf>
    <xf numFmtId="168" fontId="45" fillId="9" borderId="3" applyAlignment="1" pivotButton="0" quotePrefix="0" xfId="9">
      <alignment horizontal="center" vertical="center"/>
    </xf>
    <xf numFmtId="168" fontId="43" fillId="13" borderId="55" applyAlignment="1" pivotButton="0" quotePrefix="0" xfId="10">
      <alignment horizontal="center" vertical="center"/>
    </xf>
    <xf numFmtId="173" fontId="44" fillId="14" borderId="50" applyAlignment="1" applyProtection="1" pivotButton="0" quotePrefix="0" xfId="9">
      <alignment horizontal="center" vertical="center"/>
      <protection locked="0" hidden="0"/>
    </xf>
    <xf numFmtId="168" fontId="43" fillId="13" borderId="56" applyAlignment="1" pivotButton="0" quotePrefix="0" xfId="10">
      <alignment horizontal="center" vertical="center"/>
    </xf>
    <xf numFmtId="168" fontId="43" fillId="8" borderId="56" applyAlignment="1" pivotButton="0" quotePrefix="0" xfId="10">
      <alignment horizontal="center" vertical="center"/>
    </xf>
    <xf numFmtId="173" fontId="44" fillId="2" borderId="50" applyAlignment="1" applyProtection="1" pivotButton="0" quotePrefix="0" xfId="9">
      <alignment horizontal="center" vertical="center"/>
      <protection locked="0" hidden="0"/>
    </xf>
    <xf numFmtId="168" fontId="43" fillId="8" borderId="57" applyAlignment="1" pivotButton="0" quotePrefix="0" xfId="10">
      <alignment horizontal="center" vertical="center"/>
    </xf>
    <xf numFmtId="168" fontId="43" fillId="13" borderId="57" applyAlignment="1" pivotButton="0" quotePrefix="0" xfId="10">
      <alignment horizontal="center" vertical="center"/>
    </xf>
    <xf numFmtId="168" fontId="43" fillId="14" borderId="56" applyAlignment="1" pivotButton="0" quotePrefix="0" xfId="10">
      <alignment horizontal="center" vertical="center"/>
    </xf>
    <xf numFmtId="168" fontId="43" fillId="16" borderId="56" applyAlignment="1" pivotButton="0" quotePrefix="0" xfId="10">
      <alignment horizontal="center" vertical="center"/>
    </xf>
    <xf numFmtId="168" fontId="70" fillId="8" borderId="56" applyAlignment="1" pivotButton="0" quotePrefix="0" xfId="10">
      <alignment horizontal="left" vertical="center"/>
    </xf>
    <xf numFmtId="0" fontId="0" fillId="0" borderId="72" pivotButton="0" quotePrefix="0" xfId="0"/>
    <xf numFmtId="168" fontId="43" fillId="8" borderId="58" applyAlignment="1" pivotButton="0" quotePrefix="0" xfId="10">
      <alignment horizontal="center" vertical="center"/>
    </xf>
    <xf numFmtId="173" fontId="44" fillId="2" borderId="59" applyAlignment="1" applyProtection="1" pivotButton="0" quotePrefix="0" xfId="9">
      <alignment horizontal="center" vertical="center"/>
      <protection locked="0" hidden="0"/>
    </xf>
    <xf numFmtId="168" fontId="45" fillId="9" borderId="3" applyAlignment="1" applyProtection="1" pivotButton="0" quotePrefix="0" xfId="9">
      <alignment horizontal="center" vertical="center"/>
      <protection locked="0" hidden="0"/>
    </xf>
    <xf numFmtId="173" fontId="45" fillId="4" borderId="3" applyAlignment="1" applyProtection="1" pivotButton="0" quotePrefix="0" xfId="9">
      <alignment horizontal="center" vertical="center"/>
      <protection locked="0" hidden="0"/>
    </xf>
    <xf numFmtId="168" fontId="43" fillId="17" borderId="61" applyAlignment="1" pivotButton="0" quotePrefix="0" xfId="10">
      <alignment horizontal="center" vertical="center"/>
    </xf>
    <xf numFmtId="168" fontId="43" fillId="8" borderId="61" applyAlignment="1" pivotButton="0" quotePrefix="0" xfId="10">
      <alignment horizontal="center" vertical="center"/>
    </xf>
    <xf numFmtId="168" fontId="43" fillId="8" borderId="53" applyAlignment="1" pivotButton="0" quotePrefix="0" xfId="10">
      <alignment horizontal="center" vertical="center"/>
    </xf>
    <xf numFmtId="168" fontId="43" fillId="8" borderId="63" applyAlignment="1" pivotButton="0" quotePrefix="0" xfId="10">
      <alignment horizontal="center" vertical="center"/>
    </xf>
    <xf numFmtId="168" fontId="43" fillId="8" borderId="65" applyAlignment="1" pivotButton="0" quotePrefix="0" xfId="10">
      <alignment horizontal="center" vertical="center"/>
    </xf>
    <xf numFmtId="165" fontId="51" fillId="9" borderId="3" applyAlignment="1" pivotButton="0" quotePrefix="0" xfId="8">
      <alignment horizontal="center" vertical="top" wrapText="1"/>
    </xf>
    <xf numFmtId="169" fontId="51" fillId="9" borderId="3" applyAlignment="1" pivotButton="0" quotePrefix="0" xfId="8">
      <alignment horizontal="center" vertical="top"/>
    </xf>
    <xf numFmtId="165" fontId="48" fillId="2" borderId="4" applyAlignment="1" applyProtection="1" pivotButton="0" quotePrefix="0" xfId="8">
      <alignment vertical="center"/>
      <protection locked="0" hidden="0"/>
    </xf>
    <xf numFmtId="168" fontId="48" fillId="2" borderId="40" applyAlignment="1" pivotButton="0" quotePrefix="0" xfId="11">
      <alignment horizontal="left" vertical="center" wrapText="1"/>
    </xf>
    <xf numFmtId="168" fontId="48" fillId="2" borderId="40" applyAlignment="1" pivotButton="0" quotePrefix="0" xfId="11">
      <alignment horizontal="left" vertical="center"/>
    </xf>
    <xf numFmtId="165" fontId="48" fillId="2" borderId="4" applyAlignment="1" pivotButton="0" quotePrefix="0" xfId="8">
      <alignment vertical="center"/>
    </xf>
    <xf numFmtId="164" fontId="48" fillId="16" borderId="4" applyAlignment="1" pivotButton="0" quotePrefix="0" xfId="8">
      <alignment horizontal="right" vertical="center"/>
    </xf>
    <xf numFmtId="164" fontId="48" fillId="17" borderId="4" applyAlignment="1" pivotButton="0" quotePrefix="0" xfId="8">
      <alignment horizontal="right" vertical="center"/>
    </xf>
    <xf numFmtId="165" fontId="52" fillId="9" borderId="3" applyAlignment="1" applyProtection="1" pivotButton="0" quotePrefix="0" xfId="8">
      <alignment vertical="center"/>
      <protection locked="0" hidden="0"/>
    </xf>
    <xf numFmtId="164" fontId="52" fillId="16" borderId="3" applyAlignment="1" pivotButton="0" quotePrefix="0" xfId="8">
      <alignment horizontal="right" vertical="center"/>
    </xf>
    <xf numFmtId="168" fontId="52" fillId="9" borderId="6" applyAlignment="1" pivotButton="0" quotePrefix="0" xfId="11">
      <alignment horizontal="left" vertical="center"/>
    </xf>
    <xf numFmtId="165" fontId="48" fillId="2" borderId="4" applyAlignment="1" applyProtection="1" pivotButton="0" quotePrefix="0" xfId="8">
      <alignment vertical="top"/>
      <protection locked="0" hidden="0"/>
    </xf>
    <xf numFmtId="164" fontId="48" fillId="17" borderId="4" applyAlignment="1" pivotButton="0" quotePrefix="0" xfId="8">
      <alignment horizontal="right" vertical="top"/>
    </xf>
    <xf numFmtId="168" fontId="48" fillId="2" borderId="40" applyAlignment="1" pivotButton="0" quotePrefix="0" xfId="11">
      <alignment horizontal="left" vertical="top"/>
    </xf>
    <xf numFmtId="164" fontId="48" fillId="16" borderId="4" applyAlignment="1" pivotButton="0" quotePrefix="0" xfId="8">
      <alignment horizontal="right" vertical="top"/>
    </xf>
    <xf numFmtId="165" fontId="48" fillId="11" borderId="4" applyAlignment="1" applyProtection="1" pivotButton="0" quotePrefix="0" xfId="8">
      <alignment vertical="top"/>
      <protection locked="0" hidden="0"/>
    </xf>
    <xf numFmtId="165" fontId="48" fillId="16" borderId="4" applyAlignment="1" applyProtection="1" pivotButton="0" quotePrefix="0" xfId="8">
      <alignment vertical="center"/>
      <protection locked="0" hidden="0"/>
    </xf>
    <xf numFmtId="164" fontId="52" fillId="17" borderId="3" applyAlignment="1" pivotButton="0" quotePrefix="0" xfId="8">
      <alignment horizontal="right" vertical="center"/>
    </xf>
    <xf numFmtId="165" fontId="47" fillId="7" borderId="4" applyAlignment="1" applyProtection="1" pivotButton="0" quotePrefix="0" xfId="8">
      <alignment vertical="center"/>
      <protection locked="0" hidden="0"/>
    </xf>
    <xf numFmtId="168" fontId="47" fillId="7" borderId="40" applyAlignment="1" pivotButton="0" quotePrefix="0" xfId="11">
      <alignment horizontal="left" vertical="center"/>
    </xf>
    <xf numFmtId="168" fontId="48" fillId="2" borderId="40" applyAlignment="1" pivotButton="0" quotePrefix="1" xfId="11">
      <alignment horizontal="left" vertical="center"/>
    </xf>
    <xf numFmtId="175" fontId="48" fillId="2" borderId="4" applyAlignment="1" applyProtection="1" pivotButton="0" quotePrefix="0" xfId="8">
      <alignment vertical="center"/>
      <protection locked="0" hidden="0"/>
    </xf>
    <xf numFmtId="165" fontId="48" fillId="2" borderId="4" applyAlignment="1" pivotButton="0" quotePrefix="0" xfId="8">
      <alignment vertical="top"/>
    </xf>
    <xf numFmtId="168" fontId="48" fillId="2" borderId="40" applyAlignment="1" pivotButton="0" quotePrefix="0" xfId="11">
      <alignment horizontal="left" vertical="top" wrapText="1"/>
    </xf>
    <xf numFmtId="165" fontId="48" fillId="2" borderId="4" applyAlignment="1" applyProtection="1" pivotButton="0" quotePrefix="0" xfId="2">
      <alignment vertical="center"/>
      <protection locked="0" hidden="0"/>
    </xf>
    <xf numFmtId="164" fontId="48" fillId="17" borderId="4" applyAlignment="1" pivotButton="0" quotePrefix="0" xfId="2">
      <alignment horizontal="right" vertical="center"/>
    </xf>
    <xf numFmtId="168" fontId="69" fillId="7" borderId="40" applyAlignment="1" pivotButton="0" quotePrefix="0" xfId="11">
      <alignment horizontal="left" vertical="center"/>
    </xf>
    <xf numFmtId="165" fontId="47" fillId="0" borderId="4" applyAlignment="1" applyProtection="1" pivotButton="0" quotePrefix="0" xfId="8">
      <alignment vertical="center"/>
      <protection locked="0" hidden="0"/>
    </xf>
    <xf numFmtId="165" fontId="68" fillId="7" borderId="4" applyAlignment="1" applyProtection="1" pivotButton="0" quotePrefix="0" xfId="8">
      <alignment vertical="center"/>
      <protection locked="0" hidden="0"/>
    </xf>
    <xf numFmtId="165" fontId="69" fillId="7" borderId="4" applyAlignment="1" applyProtection="1" pivotButton="0" quotePrefix="0" xfId="8">
      <alignment vertical="center"/>
      <protection locked="0" hidden="0"/>
    </xf>
    <xf numFmtId="37" fontId="48" fillId="16" borderId="4" applyAlignment="1" applyProtection="1" pivotButton="0" quotePrefix="0" xfId="11">
      <alignment vertical="center"/>
      <protection locked="0" hidden="0"/>
    </xf>
    <xf numFmtId="165" fontId="48" fillId="0" borderId="4" applyAlignment="1" applyProtection="1" pivotButton="0" quotePrefix="0" xfId="8">
      <alignment vertical="center"/>
      <protection locked="0" hidden="0"/>
    </xf>
    <xf numFmtId="168" fontId="48" fillId="0" borderId="40" applyAlignment="1" pivotButton="0" quotePrefix="0" xfId="11">
      <alignment horizontal="left" vertical="center"/>
    </xf>
    <xf numFmtId="165" fontId="48" fillId="2" borderId="4" pivotButton="0" quotePrefix="0" xfId="11"/>
    <xf numFmtId="168" fontId="49" fillId="2" borderId="40" applyAlignment="1" pivotButton="0" quotePrefix="0" xfId="11">
      <alignment horizontal="left" vertical="center"/>
    </xf>
    <xf numFmtId="165" fontId="50" fillId="7" borderId="4" applyAlignment="1" applyProtection="1" pivotButton="0" quotePrefix="0" xfId="8">
      <alignment vertical="center"/>
      <protection locked="0" hidden="0"/>
    </xf>
    <xf numFmtId="0" fontId="0" fillId="16" borderId="0" pivotButton="0" quotePrefix="0" xfId="0"/>
    <xf numFmtId="173" fontId="0" fillId="16" borderId="0" pivotButton="0" quotePrefix="0" xfId="0"/>
    <xf numFmtId="0" fontId="0" fillId="0" borderId="60" pivotButton="0" quotePrefix="0" xfId="0"/>
    <xf numFmtId="0" fontId="0" fillId="0" borderId="12" pivotButton="0" quotePrefix="0" xfId="0"/>
    <xf numFmtId="0" fontId="0" fillId="0" borderId="6" pivotButton="0" quotePrefix="0" xfId="0"/>
    <xf numFmtId="0" fontId="3" fillId="2" borderId="3" applyAlignment="1" pivotButton="0" quotePrefix="0" xfId="0">
      <alignment horizontal="left"/>
    </xf>
    <xf numFmtId="0" fontId="24" fillId="5" borderId="3" applyAlignment="1" pivotButton="0" quotePrefix="0" xfId="0">
      <alignment horizontal="left" shrinkToFit="1"/>
    </xf>
    <xf numFmtId="165" fontId="0" fillId="2" borderId="1" pivotButton="0" quotePrefix="0" xfId="2"/>
    <xf numFmtId="165" fontId="0" fillId="0" borderId="1" pivotButton="0" quotePrefix="0" xfId="2"/>
    <xf numFmtId="165" fontId="3" fillId="2" borderId="30" applyAlignment="1" pivotButton="0" quotePrefix="0" xfId="0">
      <alignment vertical="center"/>
    </xf>
    <xf numFmtId="165" fontId="0" fillId="2" borderId="0" pivotButton="0" quotePrefix="0" xfId="0"/>
    <xf numFmtId="164" fontId="15" fillId="4" borderId="3" applyAlignment="1" pivotButton="0" quotePrefix="0" xfId="2">
      <alignment horizontal="left" indent="1"/>
    </xf>
    <xf numFmtId="165" fontId="58" fillId="2" borderId="0" pivotButton="0" quotePrefix="0" xfId="0"/>
    <xf numFmtId="0" fontId="27" fillId="4" borderId="1" applyAlignment="1" pivotButton="0" quotePrefix="0" xfId="0">
      <alignment horizontal="center"/>
    </xf>
    <xf numFmtId="0" fontId="0" fillId="0" borderId="30" pivotButton="0" quotePrefix="0" xfId="0"/>
    <xf numFmtId="0" fontId="0" fillId="0" borderId="31" pivotButton="0" quotePrefix="0" xfId="0"/>
    <xf numFmtId="0" fontId="16" fillId="4" borderId="1" applyAlignment="1" pivotButton="0" quotePrefix="0" xfId="0">
      <alignment horizontal="center"/>
    </xf>
    <xf numFmtId="166" fontId="0" fillId="2" borderId="0" applyAlignment="1" pivotButton="0" quotePrefix="0" xfId="2">
      <alignment horizontal="center"/>
    </xf>
    <xf numFmtId="166" fontId="0" fillId="2" borderId="1" applyAlignment="1" pivotButton="0" quotePrefix="0" xfId="2">
      <alignment horizontal="center"/>
    </xf>
    <xf numFmtId="165" fontId="0" fillId="2" borderId="0" pivotButton="0" quotePrefix="0" xfId="2"/>
    <xf numFmtId="165" fontId="15" fillId="4" borderId="1" applyAlignment="1" pivotButton="0" quotePrefix="0" xfId="2">
      <alignment horizontal="center"/>
    </xf>
    <xf numFmtId="0" fontId="21" fillId="4" borderId="3" applyAlignment="1" pivotButton="0" quotePrefix="0" xfId="0">
      <alignment horizontal="center"/>
    </xf>
  </cellXfs>
  <cellStyles count="13">
    <cellStyle name="Normal" xfId="0" builtinId="0"/>
    <cellStyle name="Comma" xfId="1" builtinId="3"/>
    <cellStyle name="Currency" xfId="2" builtinId="4"/>
    <cellStyle name="Percent" xfId="3" builtinId="5"/>
    <cellStyle name="Normal 2" xfId="4"/>
    <cellStyle name="Normal 3" xfId="5"/>
    <cellStyle name="Comma 2" xfId="6"/>
    <cellStyle name="Percent 2" xfId="7"/>
    <cellStyle name="Currency 2" xfId="8"/>
    <cellStyle name="Normal 5" xfId="9"/>
    <cellStyle name="Normal_MASTER BID  FORM" xfId="10"/>
    <cellStyle name="Normal_Apple ICE Template" xfId="11"/>
    <cellStyle name="Normal_FFE-Schedule of Values" xfId="1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2</col>
      <colOff>841560</colOff>
      <row>1</row>
      <rowOff>75407</rowOff>
    </from>
    <to>
      <col>6</col>
      <colOff>86697</colOff>
      <row>6</row>
      <rowOff>1</rowOff>
    </to>
    <pic>
      <nvPicPr>
        <cNvPr id="3" name="Picture 2"/>
        <cNvPicPr>
          <a:picLocks noChangeAspect="1"/>
        </cNvPicPr>
      </nvPicPr>
      <blipFill>
        <a:blip r:embed="rId1"/>
        <a:stretch>
          <a:fillRect/>
        </a:stretch>
      </blipFill>
      <spPr>
        <a:xfrm>
          <a:off x="2484623" y="146845"/>
          <a:ext cx="4752969" cy="877094"/>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E85"/>
  <sheetViews>
    <sheetView showGridLines="0" workbookViewId="0">
      <pane ySplit="4" topLeftCell="A5" activePane="bottomLeft" state="frozen"/>
      <selection pane="bottomLeft" activeCell="A1" sqref="A1"/>
    </sheetView>
  </sheetViews>
  <sheetFormatPr baseColWidth="8" defaultRowHeight="15"/>
  <cols>
    <col width="3" customWidth="1" min="1" max="1"/>
    <col width="30" customWidth="1" min="2" max="2"/>
    <col width="14" customWidth="1" min="3" max="3"/>
    <col width="44" customWidth="1" min="4" max="4"/>
    <col width="90" customWidth="1" min="5" max="5"/>
  </cols>
  <sheetData>
    <row r="2">
      <c r="B2" s="802" t="inlineStr">
        <is>
          <t>165 RANDOLPH - QUESTIONS ON THE 16 SEP MASTER DEVELOPMENT BUDGET</t>
        </is>
      </c>
    </row>
    <row r="3" ht="26" customHeight="1">
      <c r="B3" s="803" t="inlineStr">
        <is>
          <t>Matthew Teper, 17 Sep 2026. Every question is written beside the line it refers to, in a new right-hand column on each of your sheets. Highlighted cells are the ones asked about. None of your cells have been changed.</t>
        </is>
      </c>
    </row>
    <row r="5">
      <c r="B5" s="804" t="inlineStr">
        <is>
          <t>WHERE THE NUMBERS STAND</t>
        </is>
      </c>
    </row>
    <row r="6">
      <c r="B6" s="805" t="inlineStr">
        <is>
          <t>Master Development Budget, 16 Sep</t>
        </is>
      </c>
      <c r="C6" s="806" t="n">
        <v>89084591</v>
      </c>
      <c r="D6" s="807" t="inlineStr">
        <is>
          <t>$1,202/SF on 74,100 SF; your sheet shows $655/SF on 135,953</t>
        </is>
      </c>
    </row>
    <row r="7">
      <c r="B7" s="805" t="inlineStr">
        <is>
          <t>Our V3, rebuilt on the measured RFEM steel</t>
        </is>
      </c>
      <c r="C7" s="806" t="n">
        <v>77897555</v>
      </c>
      <c r="D7" s="807" t="inlineStr">
        <is>
          <t>$1,051/SF. Same programme, 997.2 short tons priced by the ton</t>
        </is>
      </c>
    </row>
    <row r="8">
      <c r="B8" s="805" t="inlineStr">
        <is>
          <t>Yours after the corrections that survive the takeoff</t>
        </is>
      </c>
      <c r="C8" s="806" t="n">
        <v>77247828</v>
      </c>
      <c r="D8" s="807" t="inlineStr">
        <is>
          <t>0.8% from ours</t>
        </is>
      </c>
    </row>
    <row r="9">
      <c r="B9" s="805" t="inlineStr">
        <is>
          <t>Trade cost reconciliation, our extract vs your D25</t>
        </is>
      </c>
      <c r="C9" s="806" t="n">
        <v>0</v>
      </c>
      <c r="D9" s="807" t="inlineStr">
        <is>
          <t>309 lines, variance $0.00</t>
        </is>
      </c>
    </row>
    <row r="11">
      <c r="B11" s="804" t="inlineStr">
        <is>
          <t>THE FIVE WE NEED FIRST</t>
        </is>
      </c>
    </row>
    <row r="12">
      <c r="B12" t="inlineStr">
        <is>
          <t>-1.</t>
        </is>
      </c>
      <c r="C12" s="805" t="inlineStr">
        <is>
          <t>Budget Summary D67 - the contingency formula is 10% of the whole project, not of soft costs and FF&amp;E as labelled.</t>
        </is>
      </c>
    </row>
    <row r="13">
      <c r="B13" t="inlineStr">
        <is>
          <t>0.</t>
        </is>
      </c>
      <c r="C13" s="805" t="inlineStr">
        <is>
          <t>Budget Summary D30 - escalation on the building is blank.</t>
        </is>
      </c>
    </row>
    <row r="14">
      <c r="B14" t="inlineStr">
        <is>
          <t>1.</t>
        </is>
      </c>
      <c r="C14" s="805" t="inlineStr">
        <is>
          <t>Budget Summary D26 - what is in the $12,000,000 and when is it priced? We expect it to go UP.</t>
        </is>
      </c>
    </row>
    <row r="15">
      <c r="B15" t="inlineStr">
        <is>
          <t>2.</t>
        </is>
      </c>
      <c r="C15" s="805" t="inlineStr">
        <is>
          <t>General Conditions tab vs Breakdown division 013000 - the same function in two places, $6,175,000 combined.</t>
        </is>
      </c>
    </row>
    <row r="16">
      <c r="B16" t="inlineStr">
        <is>
          <t>3.</t>
        </is>
      </c>
      <c r="C16" s="805" t="inlineStr">
        <is>
          <t>Breakdown 015800-1 - the $4,000,000 lump vs the $2,589,800 of backup beneath it.</t>
        </is>
      </c>
    </row>
    <row r="18">
      <c r="B18" s="804" t="inlineStr">
        <is>
          <t>TWO THINGS WE HAD WRONG AND ARE WITHDRAWING</t>
        </is>
      </c>
    </row>
    <row r="19" ht="28" customHeight="1">
      <c r="C19" s="808" t="inlineStr">
        <is>
          <t>The roof: we had assumed a lift. The RFEM model is a rebuild - 62.4% of column steel starts at grade, all 517 truss members are new at +56.5 to +64.5 ft. Your 74,000 SF of roof demolition is the method, not an error.</t>
        </is>
      </c>
    </row>
    <row r="20" ht="28" customHeight="1">
      <c r="C20" s="808" t="inlineStr">
        <is>
          <t>The area: we had called 135,953 SF wrong. We can no longer prove that - the model carries 146,508 SF gross. We are now only asking where the number comes from, and for one agreed area schedule derived from the test fit.</t>
        </is>
      </c>
    </row>
    <row r="22">
      <c r="B22" s="804" t="inlineStr">
        <is>
          <t>INDEX OF EVERY QUESTION</t>
        </is>
      </c>
    </row>
    <row r="23">
      <c r="B23" s="809" t="inlineStr">
        <is>
          <t>Sheet</t>
        </is>
      </c>
      <c r="C23" s="809" t="inlineStr">
        <is>
          <t>Cell</t>
        </is>
      </c>
      <c r="D23" s="809" t="inlineStr">
        <is>
          <t>Your line</t>
        </is>
      </c>
      <c r="E23" s="809" t="inlineStr">
        <is>
          <t>Our question</t>
        </is>
      </c>
    </row>
    <row r="24" ht="24" customHeight="1">
      <c r="B24" s="805" t="inlineStr">
        <is>
          <t>Budget Summary</t>
        </is>
      </c>
      <c r="C24" s="804" t="inlineStr">
        <is>
          <t>D21</t>
        </is>
      </c>
      <c r="D24" s="808" t="inlineStr">
        <is>
          <t>Parking Garage - 260/spaces</t>
        </is>
      </c>
      <c r="E24" s="808" t="inlineStr">
        <is>
          <t>Formula is =86*25000 but the label says 260 spaces. Which is right? And is off-site parking in this deal at all? We carry none.</t>
        </is>
      </c>
    </row>
    <row r="25" ht="36" customHeight="1">
      <c r="B25" s="805" t="inlineStr">
        <is>
          <t>Budget Summary</t>
        </is>
      </c>
      <c r="C25" s="804" t="inlineStr">
        <is>
          <t>D26</t>
        </is>
      </c>
      <c r="D25" s="808" t="inlineStr">
        <is>
          <t>Trade Costs To Be Priced</t>
        </is>
      </c>
      <c r="E25" s="808" t="inlineStr">
        <is>
          <t>What scope is inside the $12,000,000, and when can it be priced? Our measured structure alone is $16,710,249 (997.2 short tons off the RFEM takeoff), and this plug also has to cover millwork, doors, glazing, tile, fireproofing and drywall. We expect it to go UP when priced.</t>
        </is>
      </c>
    </row>
    <row r="26" ht="24" customHeight="1">
      <c r="B26" s="805" t="inlineStr">
        <is>
          <t>Budget Summary</t>
        </is>
      </c>
      <c r="C26" s="804" t="inlineStr">
        <is>
          <t>D27</t>
        </is>
      </c>
      <c r="D26" s="808" t="inlineStr">
        <is>
          <t>General Conditions</t>
        </is>
      </c>
      <c r="E26" s="808" t="inlineStr">
        <is>
          <t>$3,141,000 here PLUS $3,034,000 of division 013000 inside the trade cost = $6,175,000, 12.36% of trade. Schimenti ran 7.80% and 8.90% at 555 Johnson. Which is the one we are paying? We hold 8.5%.</t>
        </is>
      </c>
    </row>
    <row r="27" ht="36" customHeight="1">
      <c r="B27" s="805" t="inlineStr">
        <is>
          <t>Budget Summary</t>
        </is>
      </c>
      <c r="C27" s="804" t="inlineStr">
        <is>
          <t>D28</t>
        </is>
      </c>
      <c r="D27" s="808" t="inlineStr">
        <is>
          <t>OH&amp;P 9%</t>
        </is>
      </c>
      <c r="E27" s="808">
        <f>SUM(D25:D27)*0.09 charges the 9% on trade + the $12M plug + general conditions. Fee on your own GC is $555,750; fee on unpriced scope is $1,080,000. Can the fee be a fixed dollar amount, and come off both?</f>
        <v/>
      </c>
    </row>
    <row r="28" ht="24" customHeight="1">
      <c r="B28" s="805" t="inlineStr">
        <is>
          <t>Budget Summary</t>
        </is>
      </c>
      <c r="C28" s="804" t="inlineStr">
        <is>
          <t>D29</t>
        </is>
      </c>
      <c r="D28" s="808" t="inlineStr">
        <is>
          <t>Contractor Contingency 10%</t>
        </is>
      </c>
      <c r="E28" s="808">
        <f>SUM(D25:D28)*0.1 is 10% on a base that already holds the 9% OH&amp;P. Intentional? We hold ONE owner contingency of $5,000,000 below the line.</f>
        <v/>
      </c>
    </row>
    <row r="29" ht="24" customHeight="1">
      <c r="B29" s="805" t="inlineStr">
        <is>
          <t>Budget Summary</t>
        </is>
      </c>
      <c r="C29" s="804" t="inlineStr">
        <is>
          <t>D30</t>
        </is>
      </c>
      <c r="D29" s="808" t="inlineStr">
        <is>
          <t>Escalation</t>
        </is>
      </c>
      <c r="E29" s="808" t="inlineStr">
        <is>
          <t>Blank in all three versions of this file, while the parking garage gets 5% on D22. On a 20-month programme what should the building carry? We hold 10%.</t>
        </is>
      </c>
    </row>
    <row r="30" ht="15" customHeight="1">
      <c r="B30" s="805" t="inlineStr">
        <is>
          <t>Budget Summary</t>
        </is>
      </c>
      <c r="C30" s="804" t="inlineStr">
        <is>
          <t>I31</t>
        </is>
      </c>
      <c r="D30" s="808" t="inlineStr">
        <is>
          <t>$/SF</t>
        </is>
      </c>
      <c r="E30" s="808" t="inlineStr">
        <is>
          <t>I31 divides by 135,953. On the 74,100 SF footprint this is $859/SF.</t>
        </is>
      </c>
    </row>
    <row r="31" ht="15" customHeight="1">
      <c r="B31" s="805" t="inlineStr">
        <is>
          <t>Budget Summary</t>
        </is>
      </c>
      <c r="C31" s="804" t="inlineStr">
        <is>
          <t>D45</t>
        </is>
      </c>
      <c r="D31" s="808" t="inlineStr">
        <is>
          <t>Project Management (Live Nation)</t>
        </is>
      </c>
      <c r="E31" s="808" t="inlineStr">
        <is>
          <t>This is our own team, not Live Nation. Same $520,000 in our budget - just the label.</t>
        </is>
      </c>
    </row>
    <row r="32" ht="36" customHeight="1">
      <c r="B32" s="805" t="inlineStr">
        <is>
          <t>Budget Summary</t>
        </is>
      </c>
      <c r="C32" s="804" t="inlineStr">
        <is>
          <t>D67</t>
        </is>
      </c>
      <c r="D32" s="808" t="inlineStr">
        <is>
          <t>Soft Costs &amp; FFE Contingency 10%</t>
        </is>
      </c>
      <c r="E32" s="808" t="inlineStr">
        <is>
          <t>Label says Soft Costs &amp; FFE. Formula is =(D23+D31+D47+D65)*0.1 = 10% of the WHOLE PROJECT, on top of the contractor contingency already inside D31. As labelled it would be $1,507,723. $578,648 of it is contingency on contingency. Which is intended?</t>
        </is>
      </c>
    </row>
    <row r="33" ht="24" customHeight="1">
      <c r="B33" s="805" t="inlineStr">
        <is>
          <t>Budget Summary</t>
        </is>
      </c>
      <c r="C33" s="804" t="inlineStr">
        <is>
          <t>D69</t>
        </is>
      </c>
      <c r="D33" s="808" t="inlineStr">
        <is>
          <t>Total Capital</t>
        </is>
      </c>
      <c r="E33" s="808" t="inlineStr">
        <is>
          <t>Ours: V3 $77,897,555 on the same programme, measured steel. Apply only the corrections that survive the takeoff and this cell becomes about $77,247,828 - 0.8% from ours.</t>
        </is>
      </c>
    </row>
    <row r="34" ht="24" customHeight="1">
      <c r="B34" s="805" t="inlineStr">
        <is>
          <t>Budget Summary</t>
        </is>
      </c>
      <c r="C34" s="804" t="inlineStr">
        <is>
          <t>D71</t>
        </is>
      </c>
      <c r="D34" s="808" t="inlineStr">
        <is>
          <t>$ PER SF</t>
        </is>
      </c>
      <c r="E34" s="808" t="inlineStr">
        <is>
          <t>Divides by 135,953 SF. Where does that number come from? We cannot find a schedule or calculation behind it. On 74,100 SF this total is $1,202/SF. Both are true; please label which.</t>
        </is>
      </c>
    </row>
    <row r="35" ht="36" customHeight="1">
      <c r="B35" s="805" t="inlineStr">
        <is>
          <t>Budget Summary</t>
        </is>
      </c>
      <c r="C35" s="804" t="inlineStr">
        <is>
          <t>B8</t>
        </is>
      </c>
      <c r="D35" s="808" t="inlineStr">
        <is>
          <t>SF: 135,953</t>
        </is>
      </c>
      <c r="E35" s="808" t="inlineStr">
        <is>
          <t>135,953 SF appears here and in 6 formula cells. Source? The RFEM model has 146,508 SF gross / 120,119 SF enclosed floor; the test fit governs at 74,100 SF footprint. 555 Johnson at $208.63/SF is 134,993 SF - please rule that out.</t>
        </is>
      </c>
    </row>
    <row r="36" ht="15" customHeight="1">
      <c r="B36" s="805" t="inlineStr">
        <is>
          <t>Budget Summary</t>
        </is>
      </c>
      <c r="C36" s="804" t="inlineStr">
        <is>
          <t>A9</t>
        </is>
      </c>
      <c r="D36" s="808" t="inlineStr"/>
      <c r="E36" s="808" t="inlineStr">
        <is>
          <t>Dated 7 Sep; the Breakdown tab says 16 Sep. Which is current?</t>
        </is>
      </c>
    </row>
    <row r="37" ht="48" customHeight="1">
      <c r="B37" s="805" t="inlineStr">
        <is>
          <t>General Conditions</t>
        </is>
      </c>
      <c r="C37" s="804" t="inlineStr">
        <is>
          <t>E13</t>
        </is>
      </c>
      <c r="D37" s="808" t="inlineStr"/>
      <c r="E37" s="808" t="inlineStr">
        <is>
          <t>This tab is the best-evidenced page in the file and we would rather build on it than argue with it. Is the $3,141,000 the ONLY place general conditions lives? Division 013000 on the Breakdown carries site office, field tech, safety, toilets, protection, clean-up, rubbish and final clean for another $3,034,000.</t>
        </is>
      </c>
    </row>
    <row r="38" ht="24" customHeight="1">
      <c r="B38" s="805" t="inlineStr">
        <is>
          <t>General Conditions</t>
        </is>
      </c>
      <c r="C38" s="804" t="inlineStr">
        <is>
          <t>C4</t>
        </is>
      </c>
      <c r="D38" s="808" t="inlineStr"/>
      <c r="E38" s="808" t="inlineStr">
        <is>
          <t>90 weeks - is that construction only, or does it include pre-con and closeout? Can we see it as a rate x duration so that shortening the programme visibly shortens the cost?</t>
        </is>
      </c>
    </row>
    <row r="39" ht="24" customHeight="1">
      <c r="B39" s="805" t="inlineStr">
        <is>
          <t>General Conditions</t>
        </is>
      </c>
      <c r="C39" s="804" t="inlineStr">
        <is>
          <t>C9</t>
        </is>
      </c>
      <c r="D39" s="808" t="inlineStr"/>
      <c r="E39" s="808" t="inlineStr">
        <is>
          <t>Three superintendents for the full 90 weeks each - all three for the whole period, or overlapping phases?</t>
        </is>
      </c>
    </row>
    <row r="40" ht="24" customHeight="1">
      <c r="B40" s="805" t="inlineStr">
        <is>
          <t>Building &amp; Fit-out Breakdown</t>
        </is>
      </c>
      <c r="C40" s="804" t="inlineStr">
        <is>
          <t>F23</t>
        </is>
      </c>
      <c r="D40" s="808" t="inlineStr">
        <is>
          <t>Project Labor $2,000,000</t>
        </is>
      </c>
      <c r="E40" s="808" t="inlineStr">
        <is>
          <t>Crew, rate and weeks? The General Conditions tab already funds three supers + a general super for 90 weeks. No quantity behind this line.</t>
        </is>
      </c>
    </row>
    <row r="41" ht="15" customHeight="1">
      <c r="B41" s="805" t="inlineStr">
        <is>
          <t>Building &amp; Fit-out Breakdown</t>
        </is>
      </c>
      <c r="C41" s="804" t="inlineStr">
        <is>
          <t>F16</t>
        </is>
      </c>
      <c r="D41" s="808" t="inlineStr"/>
      <c r="E41" s="808" t="inlineStr">
        <is>
          <t>What is included in Field Technology at $200,000?</t>
        </is>
      </c>
    </row>
    <row r="42" ht="24" customHeight="1">
      <c r="B42" s="805" t="inlineStr">
        <is>
          <t>Building &amp; Fit-out Breakdown</t>
        </is>
      </c>
      <c r="C42" s="804" t="inlineStr">
        <is>
          <t>F27</t>
        </is>
      </c>
      <c r="D42" s="808" t="inlineStr">
        <is>
          <t>013000 subtotal $3,034,000</t>
        </is>
      </c>
      <c r="E42" s="808" t="inlineStr">
        <is>
          <t>All of this division reads as general conditions. Is it meant to sit inside trade cost AND under the GC line on the summary? We think it is one function in two places.</t>
        </is>
      </c>
    </row>
    <row r="43" ht="48" customHeight="1">
      <c r="B43" s="805" t="inlineStr">
        <is>
          <t>Building &amp; Fit-out Breakdown</t>
        </is>
      </c>
      <c r="C43" s="804" t="inlineStr">
        <is>
          <t>F30</t>
        </is>
      </c>
      <c r="D43" s="808" t="inlineStr">
        <is>
          <t>Sidewalk bridge $4,000,000</t>
        </is>
      </c>
      <c r="E43" s="808" t="inlineStr">
        <is>
          <t>The lump says $4,000,000. The two rows beneath it - 1,126 LF @ $500 and 27,024 SF @ $75 - foot to $2,589,800. Which is right? And how many LF of PUBLIC sidewalk does the building front? A shed is only required where there is one; the alleys and lot lines have none. We carry 1,089 LF perimeter x $210 erected + 24 months rental.</t>
        </is>
      </c>
    </row>
    <row r="44" ht="36" customHeight="1">
      <c r="B44" s="805" t="inlineStr">
        <is>
          <t>Building &amp; Fit-out Breakdown</t>
        </is>
      </c>
      <c r="C44" s="804" t="inlineStr">
        <is>
          <t>F33</t>
        </is>
      </c>
      <c r="D44" s="808" t="inlineStr">
        <is>
          <t>Interior scaffolding $2,000,000</t>
        </is>
      </c>
      <c r="E44" s="808" t="inlineStr">
        <is>
          <t>What is being staged, at what rate, for how many weeks? The high roof is only 8.65 lb/SF of short-span W12/W6 framing - not a heavy erection. And the ground-supported stage and production towers are erected FIRST; can they carry the access instead of renting it twice?</t>
        </is>
      </c>
    </row>
    <row r="45" ht="36" customHeight="1">
      <c r="B45" s="805" t="inlineStr">
        <is>
          <t>Building &amp; Fit-out Breakdown</t>
        </is>
      </c>
      <c r="C45" s="804" t="inlineStr">
        <is>
          <t>F58</t>
        </is>
      </c>
      <c r="D45" s="808" t="inlineStr">
        <is>
          <t>Demo pre-cast roof 74,000 SF</t>
        </is>
      </c>
      <c r="E45" s="808" t="inlineStr">
        <is>
          <t>Confirms the REBUILD method, which the RFEM model also uses and which we now accept. Separate question: is the existing roof genuinely pre-cast concrete? It decides whether a PARTIAL lift over the 27,393 SF high-roof zone is even possible.</t>
        </is>
      </c>
    </row>
    <row r="46" ht="36" customHeight="1">
      <c r="B46" s="805" t="inlineStr">
        <is>
          <t>Building &amp; Fit-out Breakdown</t>
        </is>
      </c>
      <c r="C46" s="804" t="inlineStr">
        <is>
          <t>F93</t>
        </is>
      </c>
      <c r="D46" s="808" t="inlineStr">
        <is>
          <t>033000 subtotal $177,450</t>
        </is>
      </c>
      <c r="E46" s="808" t="inlineStr">
        <is>
          <t>Nearly every line zero quantity - no footings, no stage slab, no mezzanine deck pour, no base-plate grout. The takeoff gives 124 footing locations (up from 81 in Rev 43). We carry $2,543,000 of foundations.</t>
        </is>
      </c>
    </row>
    <row r="47" ht="48" customHeight="1">
      <c r="B47" s="805" t="inlineStr">
        <is>
          <t>Building &amp; Fit-out Breakdown</t>
        </is>
      </c>
      <c r="C47" s="804" t="inlineStr">
        <is>
          <t>F151</t>
        </is>
      </c>
      <c r="D47" s="808" t="inlineStr">
        <is>
          <t>055100 STRUCTURAL STEEL $0</t>
        </is>
      </c>
      <c r="E47" s="808" t="inlineStr">
        <is>
          <t>ALL 19 LINES ZERO. The RFEM takeoff (VE1) gives 997.2 SHORT TONS: beams/girders 508.4, columns 360.6, trusses 67.7, braces 40.2, CFS 20.3 (11,557 LF). Please price off the lb column - the file's 't' column is metric tonnes (904.6) and using it understates steel by 10.2%. Your own $6,000/TON on line 2 is right for rolled framing.</t>
        </is>
      </c>
    </row>
    <row r="48" ht="24" customHeight="1">
      <c r="B48" s="805" t="inlineStr">
        <is>
          <t>Building &amp; Fit-out Breakdown</t>
        </is>
      </c>
      <c r="C48" s="804" t="inlineStr">
        <is>
          <t>E131</t>
        </is>
      </c>
      <c r="D48" s="808" t="inlineStr">
        <is>
          <t>Trusses/girders/columns @ $6,000/TON</t>
        </is>
      </c>
      <c r="E48" s="808" t="inlineStr">
        <is>
          <t>202.0 tons of the columns are BUILT-UP PLATE GIRDERS (I 48/24 through I 69.023/24, 60 LF each on grids B and E), not rolled shapes. Does $6,000/TON apply to shop-welded plate? We carry $8,400.</t>
        </is>
      </c>
    </row>
    <row r="49" ht="36" customHeight="1">
      <c r="B49" s="805" t="inlineStr">
        <is>
          <t>Building &amp; Fit-out Breakdown</t>
        </is>
      </c>
      <c r="C49" s="804" t="inlineStr">
        <is>
          <t>E140</t>
        </is>
      </c>
      <c r="D49" s="808" t="inlineStr">
        <is>
          <t>Stage lighting &amp; AV support @ $8/LB</t>
        </is>
      </c>
      <c r="E49" s="808" t="inlineStr">
        <is>
          <t>Your $8.00/LB here corroborates our ground-supported rigging grid, which works out to $9.21/LB. Note: the stage carries the rigging, not the roof. Please confirm the roof design loads EXCLUDE production rigging.</t>
        </is>
      </c>
    </row>
    <row r="50" ht="24" customHeight="1">
      <c r="B50" s="805" t="inlineStr">
        <is>
          <t>Building &amp; Fit-out Breakdown</t>
        </is>
      </c>
      <c r="C50" s="804" t="inlineStr">
        <is>
          <t>F182</t>
        </is>
      </c>
      <c r="D50" s="808" t="inlineStr">
        <is>
          <t>064000 MILLWORK $0</t>
        </is>
      </c>
      <c r="E50" s="808" t="inlineStr">
        <is>
          <t>Every bar and back bar at $2,000/LF with no linear feet - but 220000 already carries NINE bars roughed at $30,000 each. Nate can give you the LF off the test fit. We carry $510,500 of millwork.</t>
        </is>
      </c>
    </row>
    <row r="51" ht="24" customHeight="1">
      <c r="B51" s="805" t="inlineStr">
        <is>
          <t>Building &amp; Fit-out Breakdown</t>
        </is>
      </c>
      <c r="C51" s="804" t="inlineStr">
        <is>
          <t>F204</t>
        </is>
      </c>
      <c r="D51" s="808" t="inlineStr">
        <is>
          <t>078100 FIREPROOFING $0</t>
        </is>
      </c>
      <c r="E51" s="808" t="inlineStr">
        <is>
          <t>All three lines zero at $5.00/SF. On ~107,000 SF of new deck and roof that is about $536,000 at your own rate.</t>
        </is>
      </c>
    </row>
    <row r="52" ht="24" customHeight="1">
      <c r="B52" s="805" t="inlineStr">
        <is>
          <t>Building &amp; Fit-out Breakdown</t>
        </is>
      </c>
      <c r="C52" s="804" t="inlineStr">
        <is>
          <t>F213</t>
        </is>
      </c>
      <c r="D52" s="808" t="inlineStr">
        <is>
          <t>081000 DOORS $0</t>
        </is>
      </c>
      <c r="E52" s="808" t="inlineStr">
        <is>
          <t>Zero, including every acoustical door and pair into the music hall at $10,000 / $20,000. We carry $546,800.</t>
        </is>
      </c>
    </row>
    <row r="53" ht="15" customHeight="1">
      <c r="B53" s="805" t="inlineStr">
        <is>
          <t>Building &amp; Fit-out Breakdown</t>
        </is>
      </c>
      <c r="C53" s="804" t="inlineStr">
        <is>
          <t>F229</t>
        </is>
      </c>
      <c r="D53" s="808" t="inlineStr">
        <is>
          <t>084100 STOREFRONT $0</t>
        </is>
      </c>
      <c r="E53" s="808" t="inlineStr">
        <is>
          <t>Zero. We carry $292,000 for storefront and glazing together.</t>
        </is>
      </c>
    </row>
    <row r="54" ht="24" customHeight="1">
      <c r="B54" s="805" t="inlineStr">
        <is>
          <t>Building &amp; Fit-out Breakdown</t>
        </is>
      </c>
      <c r="C54" s="804" t="inlineStr">
        <is>
          <t>F270</t>
        </is>
      </c>
      <c r="D54" s="808" t="inlineStr">
        <is>
          <t>092000 DRYWALL $119,664</t>
        </is>
      </c>
      <c r="E54" s="808" t="inlineStr">
        <is>
          <t>9 of 10 lines zero. $119,664 looks like a fraction of a room needing sound-rated separation between a 7,440-capacity hall and everything else. We carry $1,019,276.</t>
        </is>
      </c>
    </row>
    <row r="55" ht="24" customHeight="1">
      <c r="B55" s="805" t="inlineStr">
        <is>
          <t>Building &amp; Fit-out Breakdown</t>
        </is>
      </c>
      <c r="C55" s="804" t="inlineStr">
        <is>
          <t>F326</t>
        </is>
      </c>
      <c r="D55" s="808" t="inlineStr">
        <is>
          <t>Coat Check Lockers 2,000 @ $500</t>
        </is>
      </c>
      <c r="E55" s="808" t="inlineStr">
        <is>
          <t>2,000 lockers serves 27% of a 7,440 house at once, at a gym-locker rate. Is 2,000 right? 750 @ $350 is a generous January coat check. Worth $737,500 at trade.</t>
        </is>
      </c>
    </row>
    <row r="56" ht="24" customHeight="1">
      <c r="B56" s="805" t="inlineStr">
        <is>
          <t>Building &amp; Fit-out Breakdown</t>
        </is>
      </c>
      <c r="C56" s="804" t="inlineStr">
        <is>
          <t>F334</t>
        </is>
      </c>
      <c r="D56" s="808" t="inlineStr">
        <is>
          <t>100500 ACOUSTICAL $581,802</t>
        </is>
      </c>
      <c r="E56" s="808" t="inlineStr">
        <is>
          <t>$581,802 of K13 against our $1,864,000 of acoustic treatment. Next to residential this is the licence to operate. What is the acoustic performance target this was priced to?</t>
        </is>
      </c>
    </row>
    <row r="57" ht="24" customHeight="1">
      <c r="B57" s="805" t="inlineStr">
        <is>
          <t>Building &amp; Fit-out Breakdown</t>
        </is>
      </c>
      <c r="C57" s="804" t="inlineStr">
        <is>
          <t>F361</t>
        </is>
      </c>
      <c r="D57" s="808" t="inlineStr">
        <is>
          <t>142000 ELEVATOR $480,000</t>
        </is>
      </c>
      <c r="E57" s="808" t="inlineStr">
        <is>
          <t>No question - 4 lobby + 2 stage stops @ $75,000 plus a hydraulic lift is better built than our $300,000 allowance. We are adopting yours.</t>
        </is>
      </c>
    </row>
    <row r="58" ht="24" customHeight="1">
      <c r="B58" s="805" t="inlineStr">
        <is>
          <t>Building &amp; Fit-out Breakdown</t>
        </is>
      </c>
      <c r="C58" s="804" t="inlineStr">
        <is>
          <t>C366</t>
        </is>
      </c>
      <c r="D58" s="808" t="inlineStr">
        <is>
          <t>2nd floor sprinklers 50,000 SF</t>
        </is>
      </c>
      <c r="E58" s="808" t="inlineStr">
        <is>
          <t>50,000 SF. The RFEM model measures the mezzanine at 32,942 SF + 13,077 SF tiered seating = 46,019 SF. Close - can you confirm the basis?</t>
        </is>
      </c>
    </row>
    <row r="59" ht="15" customHeight="1">
      <c r="B59" s="805" t="inlineStr">
        <is>
          <t>Building &amp; Fit-out Breakdown</t>
        </is>
      </c>
      <c r="C59" s="804" t="inlineStr">
        <is>
          <t>C365</t>
        </is>
      </c>
      <c r="D59" s="808" t="inlineStr"/>
      <c r="E59" s="808" t="inlineStr">
        <is>
          <t>69,000 SF - the footprint is 74,100 SF. Should this be higher?</t>
        </is>
      </c>
    </row>
    <row r="60" ht="36" customHeight="1">
      <c r="B60" s="805" t="inlineStr">
        <is>
          <t>Building &amp; Fit-out Breakdown</t>
        </is>
      </c>
      <c r="C60" s="804" t="inlineStr">
        <is>
          <t>C383</t>
        </is>
      </c>
      <c r="D60" s="808" t="inlineStr">
        <is>
          <t>Fixture counts</t>
        </is>
      </c>
      <c r="E60" s="808" t="inlineStr">
        <is>
          <t>178 WC + 154 lavs + 51 urinals across the building at $4,000 each. Can we see the CODE FIXTURE CALCULATION behind the count? We are at $1,757,502 vs your $3,717,250 and one of us is wrong - settleable in an afternoon.</t>
        </is>
      </c>
    </row>
    <row r="61" ht="15" customHeight="1">
      <c r="B61" s="805" t="inlineStr">
        <is>
          <t>Building &amp; Fit-out Breakdown</t>
        </is>
      </c>
      <c r="C61" s="804" t="inlineStr">
        <is>
          <t>C398</t>
        </is>
      </c>
      <c r="D61" s="808" t="inlineStr"/>
      <c r="E61" s="808" t="inlineStr">
        <is>
          <t>Nine bars roughed here - so the building knows it has nine bars, but 064000 prices none of them.</t>
        </is>
      </c>
    </row>
    <row r="62" ht="36" customHeight="1">
      <c r="B62" s="805" t="inlineStr">
        <is>
          <t>Building &amp; Fit-out Breakdown</t>
        </is>
      </c>
      <c r="C62" s="804" t="inlineStr">
        <is>
          <t>F415</t>
        </is>
      </c>
      <c r="D62" s="808" t="inlineStr">
        <is>
          <t>HVAC 132,542 SF @ $45</t>
        </is>
      </c>
      <c r="E62" s="808" t="inlineStr">
        <is>
          <t>ONE LINE, 132,542 SF x $45.00, no tonnage. Was this priced on a LOAD or an AREA? A 64 ft clear room with 7,440 people is a volume and occupancy load. Can we see tons and the basis? Ours is $5,950,650 built from load - almost the same total, which is a coincidence not agreement.</t>
        </is>
      </c>
    </row>
    <row r="63" ht="36" customHeight="1">
      <c r="B63" s="805" t="inlineStr">
        <is>
          <t>Building &amp; Fit-out Breakdown</t>
        </is>
      </c>
      <c r="C63" s="804" t="inlineStr">
        <is>
          <t>F427</t>
        </is>
      </c>
      <c r="D63" s="808" t="inlineStr">
        <is>
          <t>I/O lighting package $1,631,436</t>
        </is>
      </c>
      <c r="E63" s="808" t="inlineStr">
        <is>
          <t>'PROVIDED BY OTHERS' - is this yours or ours? FF&amp;E line 310 separately carries $1,750,000 of Architectural &amp; Exterior Lighting. That is $3,381,436 of architectural lighting in one budget. Keep the conduit and wiring here, delete the fixtures?</t>
        </is>
      </c>
    </row>
    <row r="64" ht="24" customHeight="1">
      <c r="B64" s="805" t="inlineStr">
        <is>
          <t>Building &amp; Fit-out Breakdown</t>
        </is>
      </c>
      <c r="C64" s="804" t="inlineStr">
        <is>
          <t>F447</t>
        </is>
      </c>
      <c r="D64" s="808" t="inlineStr"/>
      <c r="E64" s="808" t="inlineStr">
        <is>
          <t>Two 4,000A boards = 8,000A service, matches our sizing. Is this confirmed with Con Ed - is there a feasibility letter?</t>
        </is>
      </c>
    </row>
    <row r="65" ht="15" customHeight="1">
      <c r="B65" s="805" t="inlineStr">
        <is>
          <t>Building &amp; Fit-out Breakdown</t>
        </is>
      </c>
      <c r="C65" s="804" t="inlineStr">
        <is>
          <t>F451</t>
        </is>
      </c>
      <c r="D65" s="808" t="inlineStr"/>
      <c r="E65" s="808" t="inlineStr">
        <is>
          <t>$250,000 allowance - has Con Ed responded on the 8,000A service and the vault?</t>
        </is>
      </c>
    </row>
    <row r="66" ht="24" customHeight="1">
      <c r="B66" s="805" t="inlineStr">
        <is>
          <t>Building &amp; Fit-out Breakdown</t>
        </is>
      </c>
      <c r="C66" s="804" t="inlineStr">
        <is>
          <t>F478</t>
        </is>
      </c>
      <c r="D66" s="808" t="inlineStr"/>
      <c r="E66" s="808" t="inlineStr">
        <is>
          <t>Adopting this. We had not carried VESDA and you are right that a 64 ft volume with haze and pyro needs it.</t>
        </is>
      </c>
    </row>
    <row r="67" ht="15" customHeight="1">
      <c r="B67" s="805" t="inlineStr">
        <is>
          <t>Building &amp; Fit-out Breakdown</t>
        </is>
      </c>
      <c r="C67" s="804" t="inlineStr">
        <is>
          <t>C477</t>
        </is>
      </c>
      <c r="D67" s="808" t="inlineStr"/>
      <c r="E67" s="808" t="inlineStr">
        <is>
          <t>135,953 SF basis - see the area question on the summary sheet.</t>
        </is>
      </c>
    </row>
    <row r="68" ht="24" customHeight="1">
      <c r="B68" s="805" t="inlineStr">
        <is>
          <t>Soft Cost &amp; FF&amp;E Budget Detail</t>
        </is>
      </c>
      <c r="C68" s="804" t="inlineStr">
        <is>
          <t>E14</t>
        </is>
      </c>
      <c r="D68" s="808" t="inlineStr">
        <is>
          <t>Roof Abatement</t>
        </is>
      </c>
      <c r="E68" s="808" t="inlineStr">
        <is>
          <t>70,000 SF @ $21 = $1,470,000. Where does $21/SF come from, and has anyone SAMPLED the roof? No ACP-5 exists. We carry $7.50/SF. Also: this sits in soft costs; we carry abatement as a trade.</t>
        </is>
      </c>
    </row>
    <row r="69" ht="24" customHeight="1">
      <c r="B69" s="805" t="inlineStr">
        <is>
          <t>Soft Cost &amp; FF&amp;E Budget Detail</t>
        </is>
      </c>
      <c r="C69" s="804" t="inlineStr">
        <is>
          <t>E26</t>
        </is>
      </c>
      <c r="D69" s="808" t="inlineStr">
        <is>
          <t>A&amp;E $3,100,000</t>
        </is>
      </c>
      <c r="E69" s="808" t="inlineStr">
        <is>
          <t>One $3,100,000 lump with architecture, MEP and structural all 'carried in line #3'. Can it be split? We cannot tell whether structural is funded at the level the RFEM model needs.</t>
        </is>
      </c>
    </row>
    <row r="70" ht="24" customHeight="1">
      <c r="B70" s="805" t="inlineStr">
        <is>
          <t>Soft Cost &amp; FF&amp;E Budget Detail</t>
        </is>
      </c>
      <c r="C70" s="804" t="inlineStr">
        <is>
          <t>E54</t>
        </is>
      </c>
      <c r="D70" s="808" t="inlineStr">
        <is>
          <t>Acoustical $15,000</t>
        </is>
      </c>
      <c r="E70" s="808" t="inlineStr">
        <is>
          <t>$15,000 is testing. Is there an acoustic DESIGN fee anywhere? We carry $200,000 - next to residential it is the licence to operate.</t>
        </is>
      </c>
    </row>
    <row r="71" ht="36" customHeight="1">
      <c r="B71" s="805" t="inlineStr">
        <is>
          <t>Soft Cost &amp; FF&amp;E Budget Detail</t>
        </is>
      </c>
      <c r="C71" s="804" t="inlineStr">
        <is>
          <t>E74</t>
        </is>
      </c>
      <c r="D71" s="808" t="inlineStr">
        <is>
          <t>Permit fees 1.3%</t>
        </is>
      </c>
      <c r="E71" s="808" t="inlineStr">
        <is>
          <t>1.3% of trade cost - understood, so this falls automatically as trade moves. Is 1.3% right for a project filing an ST structural permit at +64 ft 6 in? We carry a separate $120,000 for the ST filing and expediting; we cannot find it here.</t>
        </is>
      </c>
    </row>
    <row r="72" ht="36" customHeight="1">
      <c r="B72" s="805" t="inlineStr">
        <is>
          <t>Soft Cost &amp; FF&amp;E Budget Detail</t>
        </is>
      </c>
      <c r="C72" s="804" t="inlineStr">
        <is>
          <t>E93</t>
        </is>
      </c>
      <c r="D72" s="808" t="inlineStr">
        <is>
          <t>Attorney Fees $0</t>
        </is>
      </c>
      <c r="E72" s="808" t="inlineStr">
        <is>
          <t>Attorney fees $0. Is the SLA application, the cabaret question and the theater use-classification filing genuinely inside the $342,000 already spent? On a comparable project the liquor licence was approved at zero and came in at $250,000. We carry $250,000.</t>
        </is>
      </c>
    </row>
    <row r="73" ht="24" customHeight="1">
      <c r="B73" s="805" t="inlineStr">
        <is>
          <t>Soft Cost &amp; FF&amp;E Budget Detail</t>
        </is>
      </c>
      <c r="C73" s="804" t="inlineStr">
        <is>
          <t>E101</t>
        </is>
      </c>
      <c r="D73" s="808" t="inlineStr">
        <is>
          <t>Controlled inspections $50,000</t>
        </is>
      </c>
      <c r="E73" s="808" t="inlineStr">
        <is>
          <t>$50,000 on a job with new structural steel, welding, fireproofing, sprinklers and a new 8,000A service. We carry $140,000. Does this cover NYC special inspections?</t>
        </is>
      </c>
    </row>
    <row r="74" ht="24" customHeight="1">
      <c r="B74" s="805" t="inlineStr">
        <is>
          <t>Soft Cost &amp; FF&amp;E Budget Detail</t>
        </is>
      </c>
      <c r="C74" s="804" t="inlineStr">
        <is>
          <t>E105</t>
        </is>
      </c>
      <c r="D74" s="808" t="inlineStr">
        <is>
          <t>Project Management</t>
        </is>
      </c>
      <c r="E74" s="808" t="inlineStr">
        <is>
          <t>Same $500,000 in our budget - no question on the number. Only the '(Live Nation)' label on the summary sheet; this is our team.</t>
        </is>
      </c>
    </row>
    <row r="75" ht="36" customHeight="1">
      <c r="B75" s="805" t="inlineStr">
        <is>
          <t>Soft Cost &amp; FF&amp;E Budget Detail</t>
        </is>
      </c>
      <c r="C75" s="804" t="inlineStr">
        <is>
          <t>E128</t>
        </is>
      </c>
      <c r="D75" s="808" t="inlineStr">
        <is>
          <t>GA folding chairs</t>
        </is>
      </c>
      <c r="E75" s="808" t="inlineStr">
        <is>
          <t>3,714 @ $125 = $464,250, plus 657 box chairs @ $300 below. HOLDING - seat count is a licensing determination (theater classification drives the liquor licence) and counsel has not ruled. Not a pricing disagreement. We carry 720 removable @ $25.</t>
        </is>
      </c>
    </row>
    <row r="76" ht="36" customHeight="1">
      <c r="B76" s="805" t="inlineStr">
        <is>
          <t>Soft Cost &amp; FF&amp;E Budget Detail</t>
        </is>
      </c>
      <c r="C76" s="804" t="inlineStr">
        <is>
          <t>E156</t>
        </is>
      </c>
      <c r="D76" s="808" t="inlineStr">
        <is>
          <t>Bar &amp; kitchen equipment</t>
        </is>
      </c>
      <c r="E76" s="808" t="inlineStr">
        <is>
          <t>Your note above - '* BPT: 26 POS / Prep Kitchen / 1 Walk-in Cooler $837K' - is the most useful line in the file. Against it, 74 bar positions here at $9,000 = $666,000 looks LIGHT to us, and so do our 53. Is it?</t>
        </is>
      </c>
    </row>
    <row r="77" ht="24" customHeight="1">
      <c r="B77" s="805" t="inlineStr">
        <is>
          <t>Soft Cost &amp; FF&amp;E Budget Detail</t>
        </is>
      </c>
      <c r="C77" s="804" t="inlineStr">
        <is>
          <t>E168</t>
        </is>
      </c>
      <c r="D77" s="808" t="inlineStr">
        <is>
          <t>Freight &amp; Installation $375,000</t>
        </is>
      </c>
      <c r="E77" s="808" t="inlineStr">
        <is>
          <t>$375,000 is 40% of the equipment above it. Freight and install only, or does it carry something else?</t>
        </is>
      </c>
    </row>
    <row r="78" ht="24" customHeight="1">
      <c r="B78" s="805" t="inlineStr">
        <is>
          <t>Soft Cost &amp; FF&amp;E Budget Detail</t>
        </is>
      </c>
      <c r="C78" s="804" t="inlineStr">
        <is>
          <t>E222</t>
        </is>
      </c>
      <c r="D78" s="808" t="inlineStr">
        <is>
          <t>Metal Detectors</t>
        </is>
      </c>
      <c r="E78" s="808" t="inlineStr">
        <is>
          <t>1 allowance, $70,000 - how many screening lanes does that buy? We carry 12 walk-through units for a 7,440 house.</t>
        </is>
      </c>
    </row>
    <row r="79" ht="24" customHeight="1">
      <c r="B79" s="805" t="inlineStr">
        <is>
          <t>Soft Cost &amp; FF&amp;E Budget Detail</t>
        </is>
      </c>
      <c r="C79" s="804" t="inlineStr">
        <is>
          <t>E289</t>
        </is>
      </c>
      <c r="D79" s="808" t="inlineStr">
        <is>
          <t>Soft goods $500,000</t>
        </is>
      </c>
      <c r="E79" s="808" t="inlineStr">
        <is>
          <t>$500,000, and the note excludes the mezzanine-edge cutdown drape. Your own benchmark note on the Production subtotal says Soft Goods $725k. Which is right? We are at $220,000 and think we are light.</t>
        </is>
      </c>
    </row>
    <row r="80" ht="24" customHeight="1">
      <c r="B80" s="805" t="inlineStr">
        <is>
          <t>Soft Cost &amp; FF&amp;E Budget Detail</t>
        </is>
      </c>
      <c r="C80" s="804" t="inlineStr">
        <is>
          <t>B296</t>
        </is>
      </c>
      <c r="D80" s="808" t="inlineStr">
        <is>
          <t>Video walls</t>
        </is>
      </c>
      <c r="E80" s="808" t="inlineStr">
        <is>
          <t>Blank, note $1,400/SF. Confirming you also intend both video walls OUT of this budget (Phase 2, artists bring their own)?</t>
        </is>
      </c>
    </row>
    <row r="81" ht="36" customHeight="1">
      <c r="B81" s="805" t="inlineStr">
        <is>
          <t>Soft Cost &amp; FF&amp;E Budget Detail</t>
        </is>
      </c>
      <c r="C81" s="804" t="inlineStr">
        <is>
          <t>E301</t>
        </is>
      </c>
      <c r="D81" s="808" t="inlineStr">
        <is>
          <t>House Sound System</t>
        </is>
      </c>
      <c r="E81" s="808" t="inlineStr">
        <is>
          <t>$1,400,000 'includes Theater / VIP / Restaurant &amp; Roof'. Your benchmark note says Audio $690k. We carry $2,200,000 and want to be challenged on it - do you have a vendor who will quote a house PA for a 7,440 room?</t>
        </is>
      </c>
    </row>
    <row r="82" ht="15" customHeight="1">
      <c r="B82" s="805" t="inlineStr">
        <is>
          <t>Soft Cost &amp; FF&amp;E Budget Detail</t>
        </is>
      </c>
      <c r="C82" s="804" t="inlineStr">
        <is>
          <t>E305</t>
        </is>
      </c>
      <c r="D82" s="808" t="inlineStr">
        <is>
          <t>Performance Lighting</t>
        </is>
      </c>
      <c r="E82" s="808" t="inlineStr">
        <is>
          <t>$520,000 against your benchmark note of $450k. We are at $340,000 and probably light.</t>
        </is>
      </c>
    </row>
    <row r="83" ht="24" customHeight="1">
      <c r="B83" s="805" t="inlineStr">
        <is>
          <t>Soft Cost &amp; FF&amp;E Budget Detail</t>
        </is>
      </c>
      <c r="C83" s="804" t="inlineStr">
        <is>
          <t>E313</t>
        </is>
      </c>
      <c r="D83" s="808" t="inlineStr">
        <is>
          <t>Architectural lighting $1,750,000</t>
        </is>
      </c>
      <c r="E83" s="808" t="inlineStr">
        <is>
          <t>$1,750,000 here AND $1,631,436 of 'I/O lighting package PROVIDED BY OTHERS' inside the electrical trade (260000). Bought twice? Which one survives?</t>
        </is>
      </c>
    </row>
    <row r="84" ht="36" customHeight="1">
      <c r="B84" s="805" t="inlineStr">
        <is>
          <t>Building &amp; Fit-outBudget Detail</t>
        </is>
      </c>
      <c r="C84" s="804" t="inlineStr">
        <is>
          <t>C50</t>
        </is>
      </c>
      <c r="D84" s="808" t="inlineStr">
        <is>
          <t>GL / Builder's Risk $0</t>
        </is>
      </c>
      <c r="E84" s="808" t="inlineStr">
        <is>
          <t>G.L. $0 and Builder's Risk $0 - both genuinely inside the 9% combined? Schimenti's equivalent line at 555 Johnson says 'Builder's Risk - Excluded' in writing. Can your broker quote both SEPARATELY, and quote an owner-controlled programme? We carry $385,000.</t>
        </is>
      </c>
    </row>
    <row r="85" ht="24" customHeight="1">
      <c r="B85" s="805" t="inlineStr">
        <is>
          <t>Building &amp; Fit-outBudget Detail</t>
        </is>
      </c>
      <c r="C85" s="804" t="inlineStr">
        <is>
          <t>C47</t>
        </is>
      </c>
      <c r="D85" s="808" t="inlineStr"/>
      <c r="E85" s="808" t="inlineStr">
        <is>
          <t>'Carried in budget summary' - and also carried as division 013000 in trade cost. One function, two places.</t>
        </is>
      </c>
    </row>
  </sheetData>
  <mergeCells count="8">
    <mergeCell ref="C16:E16"/>
    <mergeCell ref="C14:E14"/>
    <mergeCell ref="C13:E13"/>
    <mergeCell ref="C19:E19"/>
    <mergeCell ref="C15:E15"/>
    <mergeCell ref="B3:E3"/>
    <mergeCell ref="C20:E20"/>
    <mergeCell ref="C12:E12"/>
  </mergeCells>
  <pageMargins left="0.75" right="0.75" top="1" bottom="1" header="0.5" footer="0.5"/>
</worksheet>
</file>

<file path=xl/worksheets/sheet2.xml><?xml version="1.0" encoding="utf-8"?>
<worksheet xmlns="http://schemas.openxmlformats.org/spreadsheetml/2006/main">
  <sheetPr>
    <tabColor rgb="FFFF0000"/>
    <outlinePr summaryBelow="1" summaryRight="1"/>
    <pageSetUpPr/>
  </sheetPr>
  <dimension ref="A1:L79"/>
  <sheetViews>
    <sheetView tabSelected="1" topLeftCell="A16" zoomScale="131" workbookViewId="0">
      <selection activeCell="B67" sqref="B67"/>
    </sheetView>
  </sheetViews>
  <sheetFormatPr baseColWidth="10" defaultColWidth="12.5" defaultRowHeight="16"/>
  <cols>
    <col width="4.33203125" customWidth="1" style="263" min="1" max="1"/>
    <col width="53" customWidth="1" style="1" min="2" max="2"/>
    <col width="1.6640625" customWidth="1" style="1" min="3" max="3"/>
    <col width="17.83203125" customWidth="1" style="2" min="4" max="4"/>
    <col hidden="1" width="1.83203125" customWidth="1" style="1" min="5" max="5"/>
    <col hidden="1" width="17.83203125" customWidth="1" style="2" min="6" max="6"/>
    <col hidden="1" width="17.83203125" customWidth="1" style="260" min="7" max="8"/>
    <col width="12.5" customWidth="1" style="1" min="9" max="9"/>
    <col width="13.6640625" bestFit="1" customWidth="1" style="1" min="10" max="10"/>
    <col width="12.5" customWidth="1" style="1" min="11" max="16384"/>
    <col width="78" customWidth="1" min="12" max="12"/>
  </cols>
  <sheetData>
    <row r="1" ht="22" customHeight="1">
      <c r="A1" s="755" t="inlineStr">
        <is>
          <t>165 Randolph St. Brooklyn NY</t>
        </is>
      </c>
    </row>
    <row r="2" ht="22" customHeight="1">
      <c r="A2" s="753" t="inlineStr">
        <is>
          <t>Warehouse Conversion / Add Second Level &amp; Roof Deck</t>
        </is>
      </c>
    </row>
    <row r="3" ht="17" customHeight="1">
      <c r="A3" s="753" t="inlineStr">
        <is>
          <t>Theater GA Standing: 7,440</t>
        </is>
      </c>
    </row>
    <row r="4" ht="17" customHeight="1">
      <c r="A4" s="753" t="inlineStr">
        <is>
          <t>Theater GA Seated: 5,954</t>
        </is>
      </c>
    </row>
    <row r="5" ht="17" customHeight="1">
      <c r="A5" s="753" t="inlineStr">
        <is>
          <t>Eating &amp; Drinking : 769</t>
        </is>
      </c>
    </row>
    <row r="6" ht="17" customHeight="1">
      <c r="A6" s="753" t="inlineStr">
        <is>
          <t>VIP Lounge</t>
        </is>
      </c>
    </row>
    <row r="7" ht="17" customHeight="1">
      <c r="A7" s="753" t="n"/>
    </row>
    <row r="8" ht="36" customHeight="1">
      <c r="A8" s="699" t="inlineStr">
        <is>
          <t xml:space="preserve">SF: </t>
        </is>
      </c>
      <c r="B8" s="810" t="inlineStr">
        <is>
          <t>135, 953</t>
        </is>
      </c>
      <c r="C8" s="700" t="n"/>
      <c r="D8" s="700" t="n"/>
      <c r="E8" s="700" t="n"/>
      <c r="F8" s="700" t="n"/>
      <c r="G8" s="700" t="n"/>
      <c r="H8" s="700" t="n"/>
      <c r="J8" s="811">
        <f>130000*600</f>
        <v/>
      </c>
      <c r="K8" s="812" t="n"/>
      <c r="L8" s="808" t="inlineStr">
        <is>
          <t>135,953 SF appears here and in 6 formula cells. Source? The RFEM model has 146,508 SF gross / 120,119 SF enclosed floor; the test fit governs at 74,100 SF footprint. 555 Johnson at $208.63/SF is 134,993 SF - please rule that out.</t>
        </is>
      </c>
    </row>
    <row r="9" ht="17" customHeight="1">
      <c r="A9" s="813" t="n">
        <v>46272</v>
      </c>
      <c r="L9" s="808" t="inlineStr">
        <is>
          <t>Dated 7 Sep; the Breakdown tab says 16 Sep. Which is current?</t>
        </is>
      </c>
    </row>
    <row r="10" ht="17" customHeight="1">
      <c r="A10" s="753" t="inlineStr">
        <is>
          <t>Version #: 1</t>
        </is>
      </c>
    </row>
    <row r="11" ht="7" customHeight="1" thickBot="1">
      <c r="A11" s="747" t="n"/>
      <c r="B11" s="814" t="n"/>
      <c r="C11" s="814" t="n"/>
      <c r="D11" s="814" t="n"/>
      <c r="E11" s="814" t="n"/>
      <c r="F11" s="814" t="n"/>
      <c r="G11" s="814" t="n"/>
      <c r="H11" s="814" t="n"/>
    </row>
    <row r="12" ht="7" customHeight="1">
      <c r="A12" s="749" t="n"/>
      <c r="B12" s="815" t="n"/>
      <c r="C12" s="815" t="n"/>
      <c r="D12" s="815" t="n"/>
      <c r="E12" s="815" t="n"/>
      <c r="F12" s="815" t="n"/>
      <c r="G12" s="815" t="n"/>
      <c r="H12" s="815" t="n"/>
    </row>
    <row r="13" ht="17" customHeight="1">
      <c r="A13" s="786" t="inlineStr">
        <is>
          <t>Construction Duration: 20 Months</t>
        </is>
      </c>
    </row>
    <row r="14" ht="20" customHeight="1">
      <c r="A14" s="787" t="inlineStr">
        <is>
          <t>Expected Certificate of Occupancy: TBD</t>
        </is>
      </c>
    </row>
    <row r="15" ht="20" customHeight="1">
      <c r="A15" s="752" t="inlineStr">
        <is>
          <t>Expected Frist Show:</t>
        </is>
      </c>
    </row>
    <row r="16" ht="20" customHeight="1">
      <c r="A16" s="752" t="inlineStr">
        <is>
          <t xml:space="preserve">Project Completion: </t>
        </is>
      </c>
    </row>
    <row r="17" ht="16" customHeight="1">
      <c r="A17" s="744" t="n"/>
    </row>
    <row r="18" ht="17" customHeight="1" thickBot="1">
      <c r="A18" s="236" t="n"/>
      <c r="B18" s="237" t="n"/>
      <c r="C18" s="237" t="n"/>
      <c r="D18" s="238" t="n"/>
      <c r="E18" s="237" t="n"/>
      <c r="F18" s="238" t="n"/>
      <c r="G18" s="237" t="n"/>
      <c r="H18" s="237" t="n"/>
    </row>
    <row r="19" customFormat="1" s="241" thickBot="1">
      <c r="A19" s="239" t="n"/>
      <c r="B19" s="240" t="n"/>
      <c r="C19" s="240" t="n"/>
      <c r="D19" s="348" t="inlineStr">
        <is>
          <t>Budget Total</t>
        </is>
      </c>
      <c r="E19" s="240" t="n"/>
      <c r="F19" s="349" t="n">
        <v>2023</v>
      </c>
      <c r="G19" s="350" t="n">
        <v>2024</v>
      </c>
      <c r="H19" s="351" t="n">
        <v>2025</v>
      </c>
      <c r="L19" s="816" t="inlineStr">
        <is>
          <t>OUR QUESTION / ANALYSIS  (MT, 17 Sep)</t>
        </is>
      </c>
    </row>
    <row r="20" customFormat="1" s="245" thickBot="1">
      <c r="A20" s="681" t="inlineStr">
        <is>
          <t>000</t>
        </is>
      </c>
      <c r="B20" s="243" t="inlineStr">
        <is>
          <t>OFF SITE COSTS</t>
        </is>
      </c>
      <c r="C20" s="237" t="n"/>
      <c r="D20" s="237" t="n"/>
      <c r="E20" s="237" t="n"/>
      <c r="F20" s="244" t="n"/>
      <c r="G20" s="237" t="n"/>
      <c r="H20" s="237" t="n"/>
    </row>
    <row r="21" ht="24" customFormat="1" customHeight="1" s="245">
      <c r="A21" s="242" t="n"/>
      <c r="B21" s="246" t="inlineStr">
        <is>
          <t>Parking Garage - 260/spaces</t>
        </is>
      </c>
      <c r="C21" s="247" t="n"/>
      <c r="D21" s="817">
        <f>86*25000</f>
        <v/>
      </c>
      <c r="E21" s="248" t="n"/>
      <c r="F21" s="818" t="n">
        <v>0</v>
      </c>
      <c r="G21" s="819" t="n">
        <v>0</v>
      </c>
      <c r="H21" s="820" t="n">
        <v>0</v>
      </c>
      <c r="L21" s="808" t="inlineStr">
        <is>
          <t>Formula is =86*25000 but the label says 260 spaces. Which is right? And is off-site parking in this deal at all? We carry none.</t>
        </is>
      </c>
    </row>
    <row r="22" customFormat="1" s="245" thickBot="1">
      <c r="A22" s="242" t="n"/>
      <c r="B22" s="246" t="inlineStr">
        <is>
          <t>Escalation (Calculated at 5%)</t>
        </is>
      </c>
      <c r="C22" s="246" t="n"/>
      <c r="D22" s="821">
        <f>D21*0.05</f>
        <v/>
      </c>
      <c r="E22" s="248" t="n"/>
      <c r="F22" s="822" t="n">
        <v>0</v>
      </c>
      <c r="G22" s="823" t="n">
        <v>0</v>
      </c>
      <c r="H22" s="824" t="n">
        <v>0</v>
      </c>
    </row>
    <row r="23" customFormat="1" s="245" thickBot="1">
      <c r="A23" s="242" t="n"/>
      <c r="B23" s="246" t="n"/>
      <c r="C23" s="246" t="n"/>
      <c r="D23" s="825">
        <f>SUM(D21:D22)</f>
        <v/>
      </c>
      <c r="E23" s="253" t="n"/>
      <c r="F23" s="826" t="n">
        <v>0</v>
      </c>
      <c r="G23" s="827" t="n">
        <v>0</v>
      </c>
      <c r="H23" s="828" t="n">
        <v>0</v>
      </c>
      <c r="J23" s="250" t="n"/>
    </row>
    <row r="24" customFormat="1" s="245" thickBot="1">
      <c r="A24" s="242" t="n">
        <v>100</v>
      </c>
      <c r="B24" s="243" t="inlineStr">
        <is>
          <t>Building &amp; Fit-Out Costs</t>
        </is>
      </c>
      <c r="C24" s="237" t="n"/>
      <c r="D24" s="237" t="n"/>
      <c r="E24" s="237" t="n"/>
      <c r="F24" s="244" t="n"/>
      <c r="G24" s="237" t="n"/>
      <c r="H24" s="237" t="n"/>
    </row>
    <row r="25" ht="15" customFormat="1" customHeight="1" s="245">
      <c r="A25" s="242" t="n"/>
      <c r="B25" s="246" t="inlineStr">
        <is>
          <t>Trade Costs</t>
        </is>
      </c>
      <c r="C25" s="247" t="n"/>
      <c r="D25" s="829">
        <f>'Building &amp; Fit-outBudget Detail'!C49-'Building &amp; Fit-outBudget Detail'!C47</f>
        <v/>
      </c>
      <c r="E25" s="248" t="n"/>
      <c r="F25" s="818" t="n">
        <v>0</v>
      </c>
      <c r="G25" s="819" t="n">
        <v>0</v>
      </c>
      <c r="H25" s="820" t="n">
        <v>0</v>
      </c>
    </row>
    <row r="26" ht="36" customFormat="1" customHeight="1" s="245">
      <c r="A26" s="242" t="n"/>
      <c r="B26" s="246" t="inlineStr">
        <is>
          <t>Trade Costs To Be Priced</t>
        </is>
      </c>
      <c r="C26" s="247" t="n"/>
      <c r="D26" s="830" t="n">
        <v>12000000</v>
      </c>
      <c r="E26" s="248" t="n"/>
      <c r="F26" s="831" t="n"/>
      <c r="G26" s="832" t="n"/>
      <c r="H26" s="833" t="n"/>
      <c r="L26" s="808" t="inlineStr">
        <is>
          <t>What scope is inside the $12,000,000, and when can it be priced? Our measured structure alone is $16,710,249 (997.2 short tons off the RFEM takeoff), and this plug also has to cover millwork, doors, glazing, tile, fireproofing and drywall. We expect it to go UP when priced.</t>
        </is>
      </c>
    </row>
    <row r="27" ht="36" customFormat="1" customHeight="1" s="245">
      <c r="A27" s="242" t="n"/>
      <c r="B27" s="246" t="inlineStr">
        <is>
          <t>General Conditions and General Requirements</t>
        </is>
      </c>
      <c r="C27" s="246" t="n"/>
      <c r="D27" s="834" t="n">
        <v>3141000</v>
      </c>
      <c r="E27" s="248" t="n"/>
      <c r="F27" s="835" t="n">
        <v>0</v>
      </c>
      <c r="G27" s="836" t="n">
        <v>0</v>
      </c>
      <c r="H27" s="837" t="n">
        <v>0</v>
      </c>
      <c r="I27" s="245" t="inlineStr">
        <is>
          <t>90 wks</t>
        </is>
      </c>
      <c r="L27" s="808" t="inlineStr">
        <is>
          <t>$3,141,000 here PLUS $3,034,000 of division 013000 inside the trade cost = $6,175,000, 12.36% of trade. Schimenti ran 7.80% and 8.90% at 555 Johnson. Which is the one we are paying? We hold 8.5%.</t>
        </is>
      </c>
    </row>
    <row r="28" ht="36" customFormat="1" customHeight="1" s="245">
      <c r="A28" s="242" t="n"/>
      <c r="B28" s="246" t="inlineStr">
        <is>
          <t>Overhead, Profit &amp; Insurance (9% Combined)</t>
        </is>
      </c>
      <c r="C28" s="246" t="n"/>
      <c r="D28" s="834">
        <f>SUM(D25:D27)*0.09</f>
        <v/>
      </c>
      <c r="E28" s="248" t="n"/>
      <c r="F28" s="835" t="n">
        <v>0</v>
      </c>
      <c r="G28" s="836" t="n">
        <v>0</v>
      </c>
      <c r="H28" s="837" t="n">
        <v>0</v>
      </c>
      <c r="L28" s="808">
        <f>SUM(D25:D27)*0.09 charges the 9% on trade + the $12M plug + general conditions. Fee on your own GC is $555,750; fee on unpriced scope is $1,080,000. Can the fee be a fixed dollar amount, and come off both?</f>
        <v/>
      </c>
    </row>
    <row r="29" ht="24" customFormat="1" customHeight="1" s="245" thickBot="1">
      <c r="A29" s="242" t="n"/>
      <c r="B29" s="795" t="inlineStr">
        <is>
          <t>Contractor Contingency 10%</t>
        </is>
      </c>
      <c r="C29" s="246" t="n"/>
      <c r="D29" s="834">
        <f>SUM(D25:D28)*0.1</f>
        <v/>
      </c>
      <c r="E29" s="248" t="n"/>
      <c r="F29" s="835" t="n">
        <v>0</v>
      </c>
      <c r="G29" s="836" t="n">
        <v>0</v>
      </c>
      <c r="H29" s="837" t="n">
        <v>0</v>
      </c>
      <c r="L29" s="808">
        <f>SUM(D25:D28)*0.1 is 10% on a base that already holds the 9% OH&amp;P. Intentional? We hold ONE owner contingency of $5,000,000 below the line.</f>
        <v/>
      </c>
    </row>
    <row r="30" hidden="1" ht="24" customFormat="1" customHeight="1" s="245" thickBot="1">
      <c r="A30" s="242" t="n"/>
      <c r="B30" s="246" t="inlineStr">
        <is>
          <t>Escalation (Calculated at 5%)</t>
        </is>
      </c>
      <c r="C30" s="246" t="n"/>
      <c r="D30" s="838" t="n"/>
      <c r="E30" s="248" t="n"/>
      <c r="F30" s="822" t="n">
        <v>0</v>
      </c>
      <c r="G30" s="823" t="n">
        <v>0</v>
      </c>
      <c r="H30" s="824" t="n">
        <v>0</v>
      </c>
      <c r="L30" s="808" t="inlineStr">
        <is>
          <t>Blank in all three versions of this file, while the parking garage gets 5% on D22. On a 20-month programme what should the building carry? We hold 10%.</t>
        </is>
      </c>
    </row>
    <row r="31" ht="15" customFormat="1" customHeight="1" s="245" thickBot="1">
      <c r="A31" s="242" t="n"/>
      <c r="B31" s="711" t="n"/>
      <c r="C31" s="246" t="n"/>
      <c r="D31" s="825">
        <f>SUM(D25:D30)</f>
        <v/>
      </c>
      <c r="E31" s="253" t="n"/>
      <c r="F31" s="826" t="n">
        <v>0</v>
      </c>
      <c r="G31" s="827" t="n">
        <v>0</v>
      </c>
      <c r="H31" s="828" t="n">
        <v>0</v>
      </c>
      <c r="I31" s="839">
        <f>D31/135953</f>
        <v/>
      </c>
      <c r="J31" s="250" t="n"/>
      <c r="L31" s="808" t="inlineStr">
        <is>
          <t>I31 divides by 135,953. On the 74,100 SF footprint this is $859/SF.</t>
        </is>
      </c>
    </row>
    <row r="32" customFormat="1" s="245" thickBot="1">
      <c r="A32" s="242" t="n">
        <v>200</v>
      </c>
      <c r="B32" s="251" t="inlineStr">
        <is>
          <t>Soft Costs</t>
        </is>
      </c>
      <c r="C32" s="246" t="n"/>
      <c r="D32" s="252" t="n"/>
      <c r="E32" s="248" t="n"/>
      <c r="F32" s="252" t="n"/>
      <c r="G32" s="252" t="n"/>
      <c r="H32" s="252" t="n"/>
    </row>
    <row r="33" ht="15" customFormat="1" customHeight="1" s="245">
      <c r="A33" s="242" t="n"/>
      <c r="B33" s="246" t="inlineStr">
        <is>
          <t>Abatement</t>
        </is>
      </c>
      <c r="C33" s="246" t="n"/>
      <c r="D33" s="840">
        <f>'Soft Cost &amp; FF&amp;E Budget Detail'!E16</f>
        <v/>
      </c>
      <c r="E33" s="248" t="n"/>
      <c r="F33" s="841" t="n">
        <v>0</v>
      </c>
      <c r="G33" s="842" t="n">
        <v>0</v>
      </c>
      <c r="H33" s="843" t="n">
        <v>0</v>
      </c>
    </row>
    <row r="34" ht="15" customFormat="1" customHeight="1" s="245">
      <c r="A34" s="242" t="n"/>
      <c r="B34" s="246" t="inlineStr">
        <is>
          <t>Feasibility Study</t>
        </is>
      </c>
      <c r="C34" s="246" t="n"/>
      <c r="D34" s="844">
        <f>'Soft Cost &amp; FF&amp;E Budget Detail'!E21</f>
        <v/>
      </c>
      <c r="E34" s="248" t="n"/>
      <c r="F34" s="845" t="n"/>
      <c r="G34" s="846" t="n"/>
      <c r="H34" s="847" t="n"/>
    </row>
    <row r="35" ht="15" customFormat="1" customHeight="1" s="245">
      <c r="A35" s="242" t="n"/>
      <c r="B35" s="237" t="inlineStr">
        <is>
          <t>Architectural / Engineering / Consultant Fees</t>
        </is>
      </c>
      <c r="C35" s="246" t="n"/>
      <c r="D35" s="848">
        <f>'Soft Cost &amp; FF&amp;E Budget Detail'!E38</f>
        <v/>
      </c>
      <c r="E35" s="248" t="n"/>
      <c r="F35" s="835" t="n">
        <v>0</v>
      </c>
      <c r="G35" s="836" t="n">
        <v>0</v>
      </c>
      <c r="H35" s="837" t="n">
        <v>0</v>
      </c>
    </row>
    <row r="36" ht="15" customFormat="1" customHeight="1" s="245">
      <c r="A36" s="242" t="n"/>
      <c r="B36" s="237" t="inlineStr">
        <is>
          <t>Site &amp; Civil</t>
        </is>
      </c>
      <c r="C36" s="246" t="n"/>
      <c r="D36" s="849">
        <f>'Soft Cost &amp; FF&amp;E Budget Detail'!E43</f>
        <v/>
      </c>
      <c r="E36" s="248" t="n"/>
      <c r="F36" s="835" t="n">
        <v>0</v>
      </c>
      <c r="G36" s="836" t="n">
        <v>0</v>
      </c>
      <c r="H36" s="837" t="n">
        <v>0</v>
      </c>
    </row>
    <row r="37" ht="15" customFormat="1" customHeight="1" s="245">
      <c r="A37" s="242" t="n"/>
      <c r="B37" s="237" t="inlineStr">
        <is>
          <t>Traffic Engineering</t>
        </is>
      </c>
      <c r="C37" s="246" t="n"/>
      <c r="D37" s="849">
        <f>'Soft Cost &amp; FF&amp;E Budget Detail'!E51</f>
        <v/>
      </c>
      <c r="E37" s="248" t="n"/>
      <c r="F37" s="835" t="n"/>
      <c r="G37" s="836" t="n"/>
      <c r="H37" s="837" t="n"/>
    </row>
    <row r="38" ht="15" customFormat="1" customHeight="1" s="245">
      <c r="A38" s="242" t="n"/>
      <c r="B38" s="237" t="inlineStr">
        <is>
          <t>Acousticsl Engineering</t>
        </is>
      </c>
      <c r="C38" s="246" t="n"/>
      <c r="D38" s="849">
        <f>'Soft Cost &amp; FF&amp;E Budget Detail'!E58</f>
        <v/>
      </c>
      <c r="E38" s="248" t="n"/>
      <c r="F38" s="835" t="n"/>
      <c r="G38" s="836" t="n"/>
      <c r="H38" s="837" t="n"/>
    </row>
    <row r="39" ht="15" customFormat="1" customHeight="1" s="245">
      <c r="A39" s="242" t="n"/>
      <c r="B39" s="237" t="inlineStr">
        <is>
          <t>Geotechnical Engineering</t>
        </is>
      </c>
      <c r="C39" s="246" t="n"/>
      <c r="D39" s="849">
        <f>'Soft Cost &amp; FF&amp;E Budget Detail'!E66</f>
        <v/>
      </c>
      <c r="E39" s="248" t="n"/>
      <c r="F39" s="835" t="n"/>
      <c r="G39" s="836" t="n"/>
      <c r="H39" s="837" t="n"/>
    </row>
    <row r="40" ht="15" customFormat="1" customHeight="1" s="245">
      <c r="A40" s="242" t="n"/>
      <c r="B40" s="237" t="inlineStr">
        <is>
          <t>Enviromental Studies</t>
        </is>
      </c>
      <c r="C40" s="246" t="n"/>
      <c r="D40" s="849">
        <f>'Soft Cost &amp; FF&amp;E Budget Detail'!E71</f>
        <v/>
      </c>
      <c r="E40" s="248" t="n"/>
      <c r="F40" s="835" t="n"/>
      <c r="G40" s="836" t="n"/>
      <c r="H40" s="837" t="n"/>
    </row>
    <row r="41" ht="15" customFormat="1" customHeight="1" s="245">
      <c r="A41" s="242" t="n"/>
      <c r="B41" s="246" t="inlineStr">
        <is>
          <t>Zoning/Permit Fees</t>
        </is>
      </c>
      <c r="C41" s="246" t="n"/>
      <c r="D41" s="848">
        <f>'Soft Cost &amp; FF&amp;E Budget Detail'!E82</f>
        <v/>
      </c>
      <c r="E41" s="248" t="n"/>
      <c r="F41" s="835" t="n">
        <v>0</v>
      </c>
      <c r="G41" s="836" t="n">
        <v>0</v>
      </c>
      <c r="H41" s="837" t="n">
        <v>0</v>
      </c>
    </row>
    <row r="42" ht="15" customFormat="1" customHeight="1" s="245">
      <c r="A42" s="242" t="n"/>
      <c r="B42" s="246" t="inlineStr">
        <is>
          <t>Utility Connection Fees</t>
        </is>
      </c>
      <c r="C42" s="246" t="n"/>
      <c r="D42" s="849">
        <f>'Soft Cost &amp; FF&amp;E Budget Detail'!E90</f>
        <v/>
      </c>
      <c r="E42" s="248" t="n"/>
      <c r="F42" s="835" t="n"/>
      <c r="G42" s="836" t="n"/>
      <c r="H42" s="837" t="n"/>
    </row>
    <row r="43" ht="15" customFormat="1" customHeight="1" s="245">
      <c r="A43" s="242" t="n"/>
      <c r="B43" s="246" t="inlineStr">
        <is>
          <t>Attorney Fees</t>
        </is>
      </c>
      <c r="C43" s="246" t="n"/>
      <c r="D43" s="849">
        <f>'Soft Cost &amp; FF&amp;E Budget Detail'!E98</f>
        <v/>
      </c>
      <c r="E43" s="248" t="n"/>
      <c r="F43" s="835" t="n"/>
      <c r="G43" s="836" t="n"/>
      <c r="H43" s="837" t="n"/>
    </row>
    <row r="44" ht="15" customFormat="1" customHeight="1" s="245">
      <c r="A44" s="242" t="n"/>
      <c r="B44" s="246" t="inlineStr">
        <is>
          <t>Testing / Quality Control</t>
        </is>
      </c>
      <c r="C44" s="246" t="n"/>
      <c r="D44" s="849">
        <f>'Soft Cost &amp; FF&amp;E Budget Detail'!E103</f>
        <v/>
      </c>
      <c r="E44" s="248" t="n"/>
      <c r="F44" s="397">
        <f>'Soft Cost &amp; FF&amp;E Budget Detail'!E103</f>
        <v/>
      </c>
      <c r="G44" s="836" t="n">
        <v>0</v>
      </c>
      <c r="H44" s="837" t="n">
        <v>0</v>
      </c>
    </row>
    <row r="45" ht="15" customFormat="1" customHeight="1" s="245">
      <c r="A45" s="242" t="n"/>
      <c r="B45" s="246" t="inlineStr">
        <is>
          <t>Project Management (Live Nation)</t>
        </is>
      </c>
      <c r="C45" s="246" t="n"/>
      <c r="D45" s="850">
        <f>'Soft Cost &amp; FF&amp;E Budget Detail'!E109</f>
        <v/>
      </c>
      <c r="E45" s="248" t="n"/>
      <c r="F45" s="835" t="n">
        <v>0</v>
      </c>
      <c r="G45" s="836" t="n">
        <v>0</v>
      </c>
      <c r="H45" s="837" t="n">
        <v>0</v>
      </c>
      <c r="L45" s="808" t="inlineStr">
        <is>
          <t>This is our own team, not Live Nation. Same $520,000 in our budget - just the label.</t>
        </is>
      </c>
    </row>
    <row r="46" customFormat="1" s="245" thickBot="1">
      <c r="A46" s="242" t="n"/>
      <c r="B46" s="246" t="inlineStr">
        <is>
          <t>Reimbursable Expenses</t>
        </is>
      </c>
      <c r="C46" s="246" t="n"/>
      <c r="D46" s="851">
        <f>'Soft Cost &amp; FF&amp;E Budget Detail'!E118</f>
        <v/>
      </c>
      <c r="E46" s="248" t="n"/>
      <c r="F46" s="822" t="n">
        <v>0</v>
      </c>
      <c r="G46" s="823" t="n">
        <v>0</v>
      </c>
      <c r="H46" s="824" t="n">
        <v>0</v>
      </c>
    </row>
    <row r="47" customFormat="1" s="9" thickBot="1">
      <c r="A47" s="242" t="n"/>
      <c r="B47" s="247" t="n"/>
      <c r="C47" s="247" t="n"/>
      <c r="D47" s="852">
        <f>SUM(D33:D46)</f>
        <v/>
      </c>
      <c r="E47" s="253" t="n"/>
      <c r="F47" s="853">
        <f>SUM(F33:F46)</f>
        <v/>
      </c>
      <c r="G47" s="854">
        <f>SUM(G33:G46)</f>
        <v/>
      </c>
      <c r="H47" s="855">
        <f>SUM(H33:H46)</f>
        <v/>
      </c>
      <c r="I47" s="856">
        <f>D47/135953</f>
        <v/>
      </c>
    </row>
    <row r="48" customFormat="1" s="245" thickBot="1">
      <c r="A48" s="242" t="n">
        <v>300</v>
      </c>
      <c r="B48" s="251" t="inlineStr">
        <is>
          <t>FF&amp;E Costs</t>
        </is>
      </c>
      <c r="C48" s="246" t="n"/>
      <c r="D48" s="252" t="n"/>
      <c r="E48" s="248" t="n"/>
      <c r="F48" s="252" t="n"/>
      <c r="G48" s="252" t="n"/>
      <c r="H48" s="252" t="n"/>
    </row>
    <row r="49" ht="15" customFormat="1" customHeight="1" s="245">
      <c r="A49" s="242" t="n"/>
      <c r="B49" s="246" t="inlineStr">
        <is>
          <t>Seating &amp; Furniture</t>
        </is>
      </c>
      <c r="C49" s="246" t="n"/>
      <c r="D49" s="857">
        <f>'Soft Cost &amp; FF&amp;E Budget Detail'!E152</f>
        <v/>
      </c>
      <c r="E49" s="248" t="n"/>
      <c r="F49" s="841" t="n">
        <v>0</v>
      </c>
      <c r="G49" s="842" t="n">
        <v>0</v>
      </c>
      <c r="H49" s="843" t="n">
        <v>0</v>
      </c>
    </row>
    <row r="50" ht="15" customFormat="1" customHeight="1" s="245">
      <c r="A50" s="242" t="n"/>
      <c r="B50" s="246" t="inlineStr">
        <is>
          <t>Kitchen &amp; Bar Equipment</t>
        </is>
      </c>
      <c r="C50" s="246" t="n"/>
      <c r="D50" s="858">
        <f>'Soft Cost &amp; FF&amp;E Budget Detail'!E174-'Soft Cost &amp; FF&amp;E Budget Detail'!E171</f>
        <v/>
      </c>
      <c r="E50" s="248" t="n"/>
      <c r="F50" s="835" t="n">
        <v>0</v>
      </c>
      <c r="G50" s="836" t="n">
        <v>0</v>
      </c>
      <c r="H50" s="837" t="n">
        <v>0</v>
      </c>
    </row>
    <row r="51" ht="15" customFormat="1" customHeight="1" s="245">
      <c r="A51" s="242" t="n"/>
      <c r="B51" s="246" t="inlineStr">
        <is>
          <t>POS</t>
        </is>
      </c>
      <c r="C51" s="246" t="n"/>
      <c r="D51" s="858">
        <f>'Soft Cost &amp; FF&amp;E Budget Detail'!E171</f>
        <v/>
      </c>
      <c r="E51" s="248" t="n"/>
      <c r="F51" s="835" t="n">
        <v>0</v>
      </c>
      <c r="G51" s="836" t="n">
        <v>0</v>
      </c>
      <c r="H51" s="837" t="n">
        <v>0</v>
      </c>
    </row>
    <row r="52" ht="15" customFormat="1" customHeight="1" s="245">
      <c r="A52" s="242" t="n"/>
      <c r="B52" s="246" t="inlineStr">
        <is>
          <t>CCTV</t>
        </is>
      </c>
      <c r="C52" s="246" t="n"/>
      <c r="D52" s="858">
        <f>'Soft Cost &amp; FF&amp;E Budget Detail'!E180</f>
        <v/>
      </c>
      <c r="E52" s="248" t="n"/>
      <c r="F52" s="835" t="n">
        <v>0</v>
      </c>
      <c r="G52" s="836" t="n">
        <v>0</v>
      </c>
      <c r="H52" s="837" t="n">
        <v>0</v>
      </c>
    </row>
    <row r="53" ht="15" customFormat="1" customHeight="1" s="245">
      <c r="A53" s="242" t="n"/>
      <c r="B53" s="246" t="inlineStr">
        <is>
          <t>Data (Wifi &amp; Network) Systems</t>
        </is>
      </c>
      <c r="C53" s="246" t="n"/>
      <c r="D53" s="858">
        <f>'Soft Cost &amp; FF&amp;E Budget Detail'!E181-'Soft Cost &amp; FF&amp;E Budget Detail'!E180</f>
        <v/>
      </c>
      <c r="E53" s="248" t="n"/>
      <c r="F53" s="835" t="n">
        <v>0</v>
      </c>
      <c r="G53" s="836" t="n">
        <v>0</v>
      </c>
      <c r="H53" s="837" t="n">
        <v>0</v>
      </c>
    </row>
    <row r="54" ht="15" customFormat="1" customHeight="1" s="245">
      <c r="A54" s="242" t="n"/>
      <c r="B54" s="246" t="inlineStr">
        <is>
          <t>Office Furniture</t>
        </is>
      </c>
      <c r="C54" s="246" t="n"/>
      <c r="D54" s="858">
        <f>'Soft Cost &amp; FF&amp;E Budget Detail'!E195</f>
        <v/>
      </c>
      <c r="E54" s="248" t="n"/>
      <c r="F54" s="835" t="n">
        <v>0</v>
      </c>
      <c r="G54" s="836" t="n">
        <v>0</v>
      </c>
      <c r="H54" s="837" t="n">
        <v>0</v>
      </c>
    </row>
    <row r="55" ht="15" customFormat="1" customHeight="1" s="245">
      <c r="A55" s="242" t="n"/>
      <c r="B55" s="246" t="inlineStr">
        <is>
          <t>Exterior Signage / Wayfinding</t>
        </is>
      </c>
      <c r="C55" s="246" t="n"/>
      <c r="D55" s="858">
        <f>'Soft Cost &amp; FF&amp;E Budget Detail'!E206+'Soft Cost &amp; FF&amp;E Budget Detail'!E201</f>
        <v/>
      </c>
      <c r="E55" s="248" t="n"/>
      <c r="F55" s="835" t="n">
        <v>0</v>
      </c>
      <c r="G55" s="836" t="n">
        <v>0</v>
      </c>
      <c r="H55" s="837" t="n">
        <v>0</v>
      </c>
    </row>
    <row r="56" ht="15" customFormat="1" customHeight="1" s="245">
      <c r="A56" s="242" t="n"/>
      <c r="B56" s="246" t="inlineStr">
        <is>
          <t>Interior Art &amp; Décor "Warehouse Scope"</t>
        </is>
      </c>
      <c r="C56" s="246" t="n"/>
      <c r="D56" s="858">
        <f>'Soft Cost &amp; FF&amp;E Budget Detail'!E210</f>
        <v/>
      </c>
      <c r="E56" s="248" t="n"/>
      <c r="F56" s="835" t="n">
        <v>0</v>
      </c>
      <c r="G56" s="836" t="n">
        <v>0</v>
      </c>
      <c r="H56" s="837" t="n">
        <v>0</v>
      </c>
    </row>
    <row r="57" ht="15" customFormat="1" customHeight="1" s="245">
      <c r="A57" s="242" t="n"/>
      <c r="B57" s="246" t="inlineStr">
        <is>
          <t>Administration</t>
        </is>
      </c>
      <c r="C57" s="246" t="n"/>
      <c r="D57" s="858">
        <f>'Soft Cost &amp; FF&amp;E Budget Detail'!E226</f>
        <v/>
      </c>
      <c r="E57" s="248" t="n"/>
      <c r="F57" s="835" t="n">
        <v>0</v>
      </c>
      <c r="G57" s="836" t="n">
        <v>0</v>
      </c>
      <c r="H57" s="837" t="n">
        <v>0</v>
      </c>
    </row>
    <row r="58" ht="15" customFormat="1" customHeight="1" s="245">
      <c r="A58" s="242" t="n"/>
      <c r="B58" s="246" t="inlineStr">
        <is>
          <t>Facility</t>
        </is>
      </c>
      <c r="C58" s="246" t="n"/>
      <c r="D58" s="858">
        <f>'Soft Cost &amp; FF&amp;E Budget Detail'!E241</f>
        <v/>
      </c>
      <c r="E58" s="248" t="n"/>
      <c r="F58" s="835" t="n"/>
      <c r="G58" s="836" t="n"/>
      <c r="H58" s="837" t="n"/>
    </row>
    <row r="59" ht="15" customFormat="1" customHeight="1" s="245">
      <c r="A59" s="242" t="n"/>
      <c r="B59" s="246" t="inlineStr">
        <is>
          <t>Operations</t>
        </is>
      </c>
      <c r="C59" s="246" t="n"/>
      <c r="D59" s="859">
        <f>'Soft Cost &amp; FF&amp;E Budget Detail'!E271</f>
        <v/>
      </c>
      <c r="E59" s="248" t="n"/>
      <c r="F59" s="835" t="n"/>
      <c r="G59" s="836" t="n"/>
      <c r="H59" s="837" t="n"/>
    </row>
    <row r="60" ht="15" customFormat="1" customHeight="1" s="245">
      <c r="A60" s="242" t="n"/>
      <c r="B60" s="246" t="inlineStr">
        <is>
          <t>Production - FF&amp;E</t>
        </is>
      </c>
      <c r="C60" s="246" t="n"/>
      <c r="D60" s="860">
        <f>'Soft Cost &amp; FF&amp;E Budget Detail'!E286</f>
        <v/>
      </c>
      <c r="E60" s="248" t="n"/>
      <c r="F60" s="835" t="n">
        <v>0</v>
      </c>
      <c r="G60" s="836" t="n">
        <v>0</v>
      </c>
      <c r="H60" s="837" t="n">
        <v>0</v>
      </c>
    </row>
    <row r="61" ht="15" customFormat="1" customHeight="1" s="245">
      <c r="A61" s="242" t="n"/>
      <c r="B61" s="246" t="inlineStr">
        <is>
          <t>Production - Soft Goods</t>
        </is>
      </c>
      <c r="C61" s="246" t="n"/>
      <c r="D61" s="860">
        <f>'Soft Cost &amp; FF&amp;E Budget Detail'!E290</f>
        <v/>
      </c>
      <c r="E61" s="248" t="n"/>
      <c r="F61" s="835" t="n">
        <v>0</v>
      </c>
      <c r="G61" s="836" t="n">
        <v>0</v>
      </c>
      <c r="H61" s="837" t="n">
        <v>0</v>
      </c>
    </row>
    <row r="62" ht="15" customFormat="1" customHeight="1" s="245">
      <c r="A62" s="242" t="n"/>
      <c r="B62" s="246" t="inlineStr">
        <is>
          <t>Production - Audio &amp; Video System</t>
        </is>
      </c>
      <c r="C62" s="246" t="n"/>
      <c r="D62" s="858">
        <f>'Soft Cost &amp; FF&amp;E Budget Detail'!E302+'Soft Cost &amp; FF&amp;E Budget Detail'!E298</f>
        <v/>
      </c>
      <c r="E62" s="248" t="n"/>
      <c r="F62" s="835" t="n">
        <v>0</v>
      </c>
      <c r="G62" s="836" t="n">
        <v>0</v>
      </c>
      <c r="H62" s="837" t="n">
        <v>0</v>
      </c>
    </row>
    <row r="63" ht="15" customFormat="1" customHeight="1" s="245">
      <c r="A63" s="242" t="n"/>
      <c r="B63" s="246" t="inlineStr">
        <is>
          <t>Production - Performance Lighting</t>
        </is>
      </c>
      <c r="C63" s="246" t="n"/>
      <c r="D63" s="861">
        <f>'Soft Cost &amp; FF&amp;E Budget Detail'!E307</f>
        <v/>
      </c>
      <c r="E63" s="248" t="n"/>
      <c r="F63" s="862" t="n"/>
      <c r="G63" s="863" t="n"/>
      <c r="H63" s="864" t="n"/>
    </row>
    <row r="64" customFormat="1" s="245" thickBot="1">
      <c r="A64" s="242" t="n"/>
      <c r="B64" s="246" t="inlineStr">
        <is>
          <t>Architectural Lighting</t>
        </is>
      </c>
      <c r="C64" s="246" t="n"/>
      <c r="D64" s="861">
        <f>'Soft Cost &amp; FF&amp;E Budget Detail'!E316</f>
        <v/>
      </c>
      <c r="E64" s="248" t="n"/>
      <c r="F64" s="822" t="n">
        <v>0</v>
      </c>
      <c r="G64" s="823" t="n">
        <v>0</v>
      </c>
      <c r="H64" s="824" t="n">
        <v>0</v>
      </c>
    </row>
    <row r="65" customFormat="1" s="245" thickBot="1">
      <c r="A65" s="242" t="n"/>
      <c r="B65" s="246" t="n"/>
      <c r="C65" s="246" t="n"/>
      <c r="D65" s="825">
        <f>SUM(D49:D64)</f>
        <v/>
      </c>
      <c r="E65" s="253" t="n"/>
      <c r="F65" s="853">
        <f>SUM(F49:F64)</f>
        <v/>
      </c>
      <c r="G65" s="854">
        <f>SUM(G49:G64)</f>
        <v/>
      </c>
      <c r="H65" s="855">
        <f>SUM(H49:H64)</f>
        <v/>
      </c>
      <c r="I65" s="865">
        <f>D65/135953</f>
        <v/>
      </c>
    </row>
    <row r="66" customFormat="1" s="245" thickBot="1">
      <c r="A66" s="242" t="n"/>
      <c r="B66" s="237" t="n"/>
      <c r="C66" s="237" t="n"/>
      <c r="D66" s="248" t="n"/>
      <c r="E66" s="248" t="n"/>
      <c r="F66" s="248" t="n"/>
      <c r="G66" s="248" t="n"/>
      <c r="H66" s="248" t="n"/>
      <c r="I66" s="865" t="n"/>
    </row>
    <row r="67" ht="36" customFormat="1" customHeight="1" s="9" thickBot="1">
      <c r="A67" s="242" t="n">
        <v>400</v>
      </c>
      <c r="B67" s="254" t="inlineStr">
        <is>
          <t>Soft Costs &amp; FFE Contingency 10%</t>
        </is>
      </c>
      <c r="C67" s="255" t="n"/>
      <c r="D67" s="866">
        <f>(D23+D31+D47+D65)*0.1</f>
        <v/>
      </c>
      <c r="E67" s="253" t="n"/>
      <c r="F67" s="826" t="n">
        <v>0</v>
      </c>
      <c r="G67" s="827" t="n">
        <v>0</v>
      </c>
      <c r="H67" s="828" t="n">
        <v>0</v>
      </c>
      <c r="I67" s="865">
        <f>D67/135953</f>
        <v/>
      </c>
      <c r="L67" s="808" t="inlineStr">
        <is>
          <t>Label says Soft Costs &amp; FFE. Formula is =(D23+D31+D47+D65)*0.1 = 10% of the WHOLE PROJECT, on top of the contractor contingency already inside D31. As labelled it would be $1,507,723. $578,648 of it is contingency on contingency. Which is intended?</t>
        </is>
      </c>
    </row>
    <row r="68" customFormat="1" s="245" thickBot="1">
      <c r="A68" s="249" t="n"/>
      <c r="B68" s="242" t="inlineStr">
        <is>
          <t>\</t>
        </is>
      </c>
      <c r="C68" s="237" t="n"/>
      <c r="D68" s="248" t="n"/>
      <c r="E68" s="248" t="n"/>
      <c r="F68" s="248" t="n"/>
      <c r="G68" s="248" t="n"/>
      <c r="H68" s="248" t="n"/>
    </row>
    <row r="69" ht="24" customFormat="1" customHeight="1" s="245" thickBot="1">
      <c r="A69" s="249" t="n"/>
      <c r="B69" s="254" t="inlineStr">
        <is>
          <t>Total Capital</t>
        </is>
      </c>
      <c r="C69" s="237" t="n"/>
      <c r="D69" s="867">
        <f>D23+D67+D65+D47+D31</f>
        <v/>
      </c>
      <c r="E69" s="253" t="n"/>
      <c r="F69" s="826">
        <f>F67+F65+F47+F31</f>
        <v/>
      </c>
      <c r="G69" s="827">
        <f>G67+G65+G47+G31</f>
        <v/>
      </c>
      <c r="H69" s="828">
        <f>H67+H65+H47+H31</f>
        <v/>
      </c>
      <c r="J69" s="868" t="n"/>
      <c r="L69" s="808" t="inlineStr">
        <is>
          <t>Ours: V3 $77,897,555 on the same programme, measured steel. Apply only the corrections that survive the takeoff and this cell becomes about $77,247,828 - 0.8% from ours.</t>
        </is>
      </c>
    </row>
    <row r="70" customFormat="1" s="245" thickBot="1">
      <c r="A70" s="249" t="n"/>
      <c r="B70" s="242" t="n"/>
      <c r="C70" s="237" t="n"/>
      <c r="D70" s="248" t="n"/>
      <c r="E70" s="248" t="n"/>
      <c r="F70" s="869" t="n"/>
      <c r="G70" s="869" t="n"/>
      <c r="H70" s="869" t="n"/>
    </row>
    <row r="71" ht="24" customFormat="1" customHeight="1" s="259" thickBot="1">
      <c r="A71" s="258" t="n"/>
      <c r="B71" s="251" t="inlineStr">
        <is>
          <t>$ PER SF</t>
        </is>
      </c>
      <c r="C71" s="258" t="n"/>
      <c r="D71" s="867">
        <f>D69/135953</f>
        <v/>
      </c>
      <c r="E71" s="258" t="n"/>
      <c r="F71" s="258" t="n"/>
      <c r="G71" s="258" t="n"/>
      <c r="H71" s="258" t="n"/>
      <c r="I71" s="870">
        <f>SUM(I67+I65+I47+I31)</f>
        <v/>
      </c>
      <c r="L71" s="808" t="inlineStr">
        <is>
          <t>Divides by 135,953 SF. Where does that number come from? We cannot find a schedule or calculation behind it. On 74,100 SF this total is $1,202/SF. Both are true; please label which.</t>
        </is>
      </c>
    </row>
    <row r="72" ht="15" customFormat="1" customHeight="1" s="245">
      <c r="A72" s="249" t="n"/>
      <c r="B72" s="249" t="n"/>
      <c r="C72" s="249" t="n"/>
      <c r="D72" s="249" t="n"/>
      <c r="E72" s="249" t="n"/>
      <c r="F72" s="249" t="n"/>
      <c r="G72" s="249" t="n"/>
      <c r="H72" s="249" t="n"/>
    </row>
    <row r="73" ht="15" customFormat="1" customHeight="1" s="245"/>
    <row r="74" ht="15" customFormat="1" customHeight="1" s="245"/>
    <row r="75" ht="15" customFormat="1" customHeight="1" s="245"/>
    <row r="76" ht="15" customFormat="1" customHeight="1" s="245"/>
    <row r="77" ht="15" customFormat="1" customHeight="1" s="245"/>
    <row r="78" ht="15" customFormat="1" customHeight="1" s="245">
      <c r="A78" s="54" t="n"/>
      <c r="B78" s="260" t="n"/>
      <c r="C78" s="260" t="n"/>
      <c r="D78" s="261" t="n"/>
      <c r="E78" s="260" t="n"/>
      <c r="F78" s="261" t="n"/>
      <c r="G78" s="260" t="n"/>
      <c r="H78" s="260" t="n"/>
    </row>
    <row r="79" ht="15" customFormat="1" customHeight="1" s="245">
      <c r="A79" s="54" t="n"/>
      <c r="D79" s="262" t="n"/>
      <c r="F79" s="262" t="n"/>
      <c r="G79" s="260" t="n"/>
      <c r="H79" s="260" t="n"/>
    </row>
  </sheetData>
  <mergeCells count="16">
    <mergeCell ref="A9:H9"/>
    <mergeCell ref="A4:H4"/>
    <mergeCell ref="A12:H12"/>
    <mergeCell ref="A3:H3"/>
    <mergeCell ref="A1:H1"/>
    <mergeCell ref="A15:H15"/>
    <mergeCell ref="A7:H7"/>
    <mergeCell ref="A2:H2"/>
    <mergeCell ref="A16:H16"/>
    <mergeCell ref="A10:H10"/>
    <mergeCell ref="A13:H13"/>
    <mergeCell ref="A11:H11"/>
    <mergeCell ref="A14:H14"/>
    <mergeCell ref="A5:H5"/>
    <mergeCell ref="A6:H6"/>
    <mergeCell ref="A17:H17"/>
  </mergeCells>
  <pageMargins left="0.7" right="0.7" top="0.75" bottom="0.75" header="0.3" footer="0.3"/>
  <pageSetup orientation="portrait"/>
</worksheet>
</file>

<file path=xl/worksheets/sheet3.xml><?xml version="1.0" encoding="utf-8"?>
<worksheet xmlns="http://schemas.openxmlformats.org/spreadsheetml/2006/main">
  <sheetPr>
    <tabColor rgb="FFFF0000"/>
    <outlinePr summaryBelow="1" summaryRight="1"/>
    <pageSetUpPr/>
  </sheetPr>
  <dimension ref="A1:CE320"/>
  <sheetViews>
    <sheetView topLeftCell="A36" zoomScale="113" zoomScaleNormal="120" workbookViewId="0">
      <selection activeCell="B77" sqref="B77"/>
    </sheetView>
  </sheetViews>
  <sheetFormatPr baseColWidth="10" defaultColWidth="8.83203125" defaultRowHeight="15"/>
  <cols>
    <col width="6" customWidth="1" style="499" min="1" max="1"/>
    <col width="34.83203125" customWidth="1" min="2" max="2"/>
    <col width="10.1640625" bestFit="1" customWidth="1" min="3" max="3"/>
    <col width="15.1640625" customWidth="1" min="4" max="4"/>
    <col width="16.5" customWidth="1" min="5" max="5"/>
    <col width="41.33203125" customWidth="1" min="6" max="6"/>
    <col width="78" customWidth="1" min="7" max="7"/>
    <col width="8.83203125" customWidth="1" style="1" min="8" max="83"/>
  </cols>
  <sheetData>
    <row r="1" hidden="1" ht="21" customFormat="1" customHeight="1" s="70">
      <c r="A1" s="755" t="inlineStr">
        <is>
          <t>165 Randolph St Brooklyn NY</t>
        </is>
      </c>
    </row>
    <row r="2" hidden="1" ht="16" customFormat="1" customHeight="1" s="70">
      <c r="A2" s="500" t="inlineStr">
        <is>
          <t>Scope :</t>
        </is>
      </c>
      <c r="B2" s="756" t="inlineStr">
        <is>
          <t xml:space="preserve">Warehouse Conversion / Add Second Level &amp; Roof Decks							</t>
        </is>
      </c>
      <c r="C2" s="756" t="n"/>
      <c r="D2" s="756" t="n"/>
      <c r="E2" s="756" t="n"/>
    </row>
    <row r="3" hidden="1" ht="16" customFormat="1" customHeight="1" s="70">
      <c r="A3" s="500" t="inlineStr">
        <is>
          <t>Capacity:</t>
        </is>
      </c>
      <c r="B3" s="756" t="inlineStr">
        <is>
          <t>##</t>
        </is>
      </c>
      <c r="C3" s="756" t="n"/>
      <c r="D3" s="756" t="n"/>
      <c r="E3" s="756" t="n"/>
    </row>
    <row r="4" hidden="1" ht="16" customFormat="1" customHeight="1" s="70">
      <c r="A4" s="500" t="inlineStr">
        <is>
          <t>SF:</t>
        </is>
      </c>
      <c r="B4" s="501" t="n">
        <v>135953</v>
      </c>
      <c r="C4" s="756" t="n"/>
      <c r="D4" s="756" t="n"/>
      <c r="E4" s="756" t="n"/>
    </row>
    <row r="5" hidden="1" ht="16" customFormat="1" customHeight="1" s="70">
      <c r="A5" s="500" t="inlineStr">
        <is>
          <t>Date:</t>
        </is>
      </c>
      <c r="B5" s="502" t="n"/>
      <c r="C5" s="502" t="n"/>
      <c r="D5" s="502" t="n"/>
      <c r="E5" s="502" t="n"/>
      <c r="F5" s="502" t="n"/>
      <c r="G5" s="502" t="n"/>
      <c r="H5" s="502" t="n"/>
      <c r="I5" s="502" t="n"/>
      <c r="J5" s="502" t="n"/>
    </row>
    <row r="6" hidden="1" ht="16" customFormat="1" customHeight="1" s="70">
      <c r="A6" s="500" t="inlineStr">
        <is>
          <t xml:space="preserve">Version: </t>
        </is>
      </c>
      <c r="B6" s="756" t="n">
        <v>1</v>
      </c>
      <c r="C6" s="756" t="n"/>
      <c r="D6" s="756" t="n"/>
      <c r="E6" s="756" t="n"/>
    </row>
    <row r="7" hidden="1" ht="7" customFormat="1" customHeight="1" s="1" thickBot="1">
      <c r="A7" s="747" t="n"/>
      <c r="B7" s="814" t="n"/>
      <c r="C7" s="814" t="n"/>
      <c r="D7" s="814" t="n"/>
      <c r="E7" s="814" t="n"/>
      <c r="F7" s="295" t="n"/>
    </row>
    <row r="8" customFormat="1" s="1">
      <c r="A8" s="2" t="n"/>
    </row>
    <row r="9" ht="16" customFormat="1" customHeight="1" s="1" thickBot="1">
      <c r="A9" s="2" t="n"/>
    </row>
    <row r="10" ht="17" customFormat="1" customHeight="1" s="408" thickBot="1">
      <c r="A10" s="404" t="n">
        <v>200</v>
      </c>
      <c r="B10" s="405" t="inlineStr">
        <is>
          <t>SOFT COSTS</t>
        </is>
      </c>
      <c r="C10" s="406" t="n"/>
      <c r="D10" s="406" t="n"/>
      <c r="E10" s="406" t="n"/>
      <c r="F10" s="407" t="n"/>
      <c r="G10" s="45" t="n"/>
    </row>
    <row r="11" ht="16" customFormat="1" customHeight="1" s="411" thickBot="1">
      <c r="A11" s="409" t="n">
        <v>201</v>
      </c>
      <c r="B11" s="409" t="inlineStr">
        <is>
          <t>DESCRIPTION</t>
        </is>
      </c>
      <c r="C11" s="409" t="inlineStr">
        <is>
          <t>QTY</t>
        </is>
      </c>
      <c r="D11" s="409" t="inlineStr">
        <is>
          <t>UNIT PRICE</t>
        </is>
      </c>
      <c r="E11" s="871" t="inlineStr">
        <is>
          <t>BUDGET TOTAL</t>
        </is>
      </c>
      <c r="F11" s="409" t="inlineStr">
        <is>
          <t>NOTES</t>
        </is>
      </c>
      <c r="G11" s="816" t="inlineStr">
        <is>
          <t>OUR QUESTION / ANALYSIS  (MT, 17 Sep)</t>
        </is>
      </c>
    </row>
    <row r="12" customFormat="1" s="245">
      <c r="A12" s="417" t="n"/>
      <c r="B12" s="418" t="inlineStr">
        <is>
          <t>Abatement</t>
        </is>
      </c>
      <c r="C12" s="476" t="n"/>
      <c r="D12" s="872" t="n"/>
      <c r="E12" s="872" t="n"/>
      <c r="F12" s="419" t="n"/>
    </row>
    <row r="13" ht="14" customFormat="1" customHeight="1" s="441">
      <c r="A13" s="493" t="n">
        <v>1</v>
      </c>
      <c r="B13" s="438" t="inlineStr">
        <is>
          <t>Pipe Insulation Abatement</t>
        </is>
      </c>
      <c r="C13" s="492" t="n">
        <v>190</v>
      </c>
      <c r="D13" s="873" t="n">
        <v>72</v>
      </c>
      <c r="E13" s="874">
        <f>C13*D13</f>
        <v/>
      </c>
      <c r="F13" s="440" t="n"/>
    </row>
    <row r="14" ht="24" customFormat="1" customHeight="1" s="441">
      <c r="A14" s="493" t="n">
        <v>2</v>
      </c>
      <c r="B14" s="438" t="inlineStr">
        <is>
          <t>Roof Abatement</t>
        </is>
      </c>
      <c r="C14" s="705" t="n">
        <v>70000</v>
      </c>
      <c r="D14" s="875" t="n">
        <v>21</v>
      </c>
      <c r="E14" s="876">
        <f>C14*D14</f>
        <v/>
      </c>
      <c r="F14" s="440" t="n"/>
      <c r="G14" s="808" t="inlineStr">
        <is>
          <t>70,000 SF @ $21 = $1,470,000. Where does $21/SF come from, and has anyone SAMPLED the roof? No ACP-5 exists. We carry $7.50/SF. Also: this sits in soft costs; we carry abatement as a trade.</t>
        </is>
      </c>
    </row>
    <row r="15" ht="14" customFormat="1" customHeight="1" s="441">
      <c r="A15" s="493" t="n"/>
      <c r="B15" s="438" t="n"/>
      <c r="C15" s="492" t="n"/>
      <c r="D15" s="877" t="n"/>
      <c r="E15" s="874" t="n"/>
      <c r="F15" s="440" t="n"/>
    </row>
    <row r="16" ht="16" customFormat="1" customHeight="1" s="1" thickBot="1">
      <c r="A16" s="412" t="n"/>
      <c r="B16" s="478" t="inlineStr">
        <is>
          <t>Total Abatement</t>
        </is>
      </c>
      <c r="C16" s="878" t="n"/>
      <c r="D16" s="879" t="n"/>
      <c r="E16" s="880">
        <f>SUM(E13:E15)</f>
        <v/>
      </c>
      <c r="F16" s="414" t="n"/>
    </row>
    <row r="17" ht="16" customFormat="1" customHeight="1" s="411" thickBot="1">
      <c r="A17" s="409" t="n">
        <v>202</v>
      </c>
      <c r="B17" s="409" t="inlineStr">
        <is>
          <t>DESCRIPTION</t>
        </is>
      </c>
      <c r="C17" s="409" t="inlineStr">
        <is>
          <t>QTY</t>
        </is>
      </c>
      <c r="D17" s="409" t="inlineStr">
        <is>
          <t>UNIT PRICE</t>
        </is>
      </c>
      <c r="E17" s="871" t="inlineStr">
        <is>
          <t>BUDGET TOTAL</t>
        </is>
      </c>
      <c r="F17" s="409" t="inlineStr">
        <is>
          <t>NOTES</t>
        </is>
      </c>
    </row>
    <row r="18" customFormat="1" s="411">
      <c r="A18" s="494" t="n"/>
      <c r="B18" s="420" t="inlineStr">
        <is>
          <t>Feasibility Study</t>
        </is>
      </c>
      <c r="C18" s="881" t="n"/>
      <c r="D18" s="872" t="n"/>
      <c r="E18" s="872" t="n"/>
      <c r="F18" s="423" t="n"/>
    </row>
    <row r="19" ht="14" customFormat="1" customHeight="1" s="260">
      <c r="A19" s="495" t="n">
        <v>1</v>
      </c>
      <c r="B19" s="434" t="inlineStr">
        <is>
          <t>Due Diligence &amp; Feasibility Study</t>
        </is>
      </c>
      <c r="C19" s="709" t="n">
        <v>1</v>
      </c>
      <c r="D19" s="474" t="n">
        <v>342000</v>
      </c>
      <c r="E19" s="874">
        <f>C19*D19</f>
        <v/>
      </c>
      <c r="F19" s="436" t="n"/>
    </row>
    <row r="20" ht="14" customFormat="1" customHeight="1" s="260">
      <c r="A20" s="495" t="n"/>
      <c r="B20" s="455" t="n"/>
      <c r="C20" s="482" t="n"/>
      <c r="D20" s="483" t="n"/>
      <c r="E20" s="874" t="n"/>
      <c r="F20" s="481" t="n"/>
    </row>
    <row r="21" ht="16" customFormat="1" customHeight="1" s="427" thickBot="1">
      <c r="A21" s="496" t="n"/>
      <c r="B21" s="479" t="inlineStr">
        <is>
          <t>Total Feasibility Study</t>
        </is>
      </c>
      <c r="C21" s="882" t="n"/>
      <c r="D21" s="883" t="n"/>
      <c r="E21" s="884">
        <f>E19</f>
        <v/>
      </c>
      <c r="F21" s="444" t="n"/>
      <c r="G21" s="428" t="n"/>
      <c r="H21" s="428" t="n"/>
      <c r="I21" s="428" t="n"/>
      <c r="J21" s="428" t="n"/>
      <c r="K21" s="428" t="n"/>
      <c r="L21" s="428" t="n"/>
      <c r="M21" s="428" t="n"/>
      <c r="N21" s="428" t="n"/>
      <c r="O21" s="428" t="n"/>
      <c r="P21" s="428" t="n"/>
      <c r="Q21" s="428" t="n"/>
      <c r="R21" s="428" t="n"/>
      <c r="S21" s="428" t="n"/>
      <c r="T21" s="428" t="n"/>
      <c r="U21" s="428" t="n"/>
      <c r="V21" s="428" t="n"/>
      <c r="W21" s="428" t="n"/>
      <c r="X21" s="428" t="n"/>
      <c r="Y21" s="428" t="n"/>
      <c r="Z21" s="428" t="n"/>
      <c r="AA21" s="428" t="n"/>
      <c r="AB21" s="428" t="n"/>
      <c r="AC21" s="428" t="n"/>
      <c r="AD21" s="428" t="n"/>
      <c r="AE21" s="428" t="n"/>
      <c r="AF21" s="428" t="n"/>
      <c r="AG21" s="428" t="n"/>
      <c r="AH21" s="428" t="n"/>
      <c r="AI21" s="428" t="n"/>
      <c r="AJ21" s="428" t="n"/>
      <c r="AK21" s="428" t="n"/>
      <c r="AL21" s="428" t="n"/>
      <c r="AM21" s="428" t="n"/>
      <c r="AN21" s="428" t="n"/>
      <c r="AO21" s="428" t="n"/>
      <c r="AP21" s="428" t="n"/>
      <c r="AQ21" s="428" t="n"/>
      <c r="AR21" s="428" t="n"/>
      <c r="AS21" s="428" t="n"/>
      <c r="AT21" s="428" t="n"/>
      <c r="AU21" s="428" t="n"/>
      <c r="AV21" s="428" t="n"/>
      <c r="AW21" s="428" t="n"/>
      <c r="AX21" s="428" t="n"/>
      <c r="AY21" s="428" t="n"/>
      <c r="AZ21" s="428" t="n"/>
      <c r="BA21" s="428" t="n"/>
      <c r="BB21" s="428" t="n"/>
      <c r="BC21" s="428" t="n"/>
      <c r="BD21" s="428" t="n"/>
      <c r="BE21" s="428" t="n"/>
      <c r="BF21" s="428" t="n"/>
      <c r="BG21" s="428" t="n"/>
      <c r="BH21" s="428" t="n"/>
      <c r="BI21" s="428" t="n"/>
      <c r="BJ21" s="428" t="n"/>
      <c r="BK21" s="428" t="n"/>
      <c r="BL21" s="428" t="n"/>
      <c r="BM21" s="428" t="n"/>
      <c r="BN21" s="428" t="n"/>
      <c r="BO21" s="428" t="n"/>
      <c r="BP21" s="428" t="n"/>
      <c r="BQ21" s="428" t="n"/>
      <c r="BR21" s="428" t="n"/>
      <c r="BS21" s="428" t="n"/>
      <c r="BT21" s="428" t="n"/>
      <c r="BU21" s="428" t="n"/>
      <c r="BV21" s="428" t="n"/>
      <c r="BW21" s="428" t="n"/>
      <c r="BX21" s="428" t="n"/>
      <c r="BY21" s="428" t="n"/>
      <c r="BZ21" s="428" t="n"/>
      <c r="CA21" s="428" t="n"/>
      <c r="CB21" s="428" t="n"/>
      <c r="CC21" s="428" t="n"/>
      <c r="CD21" s="428" t="n"/>
      <c r="CE21" s="428" t="n"/>
    </row>
    <row r="22" ht="16" customFormat="1" customHeight="1" s="411" thickBot="1">
      <c r="A22" s="409" t="n">
        <v>203</v>
      </c>
      <c r="B22" s="409" t="inlineStr">
        <is>
          <t>DESCRIPTION</t>
        </is>
      </c>
      <c r="C22" s="409" t="inlineStr">
        <is>
          <t>QTY</t>
        </is>
      </c>
      <c r="D22" s="409" t="inlineStr">
        <is>
          <t>UNIT PRICE</t>
        </is>
      </c>
      <c r="E22" s="871" t="inlineStr">
        <is>
          <t>BUDGET TOTAL</t>
        </is>
      </c>
      <c r="F22" s="409" t="inlineStr">
        <is>
          <t>NOTES</t>
        </is>
      </c>
    </row>
    <row r="23" customFormat="1" s="411">
      <c r="A23" s="494" t="n"/>
      <c r="B23" s="424" t="inlineStr">
        <is>
          <t>Architectural Fees</t>
        </is>
      </c>
      <c r="C23" s="885" t="n"/>
      <c r="D23" s="872" t="n"/>
      <c r="E23" s="872" t="n"/>
      <c r="F23" s="423" t="n"/>
    </row>
    <row r="24" ht="14" customFormat="1" customHeight="1" s="260">
      <c r="A24" s="495" t="n">
        <v>1</v>
      </c>
      <c r="B24" s="446" t="inlineStr">
        <is>
          <t>Conceptual &amp; Brand Development</t>
        </is>
      </c>
      <c r="C24" s="492" t="n">
        <v>1</v>
      </c>
      <c r="D24" s="873" t="n">
        <v>45000</v>
      </c>
      <c r="E24" s="874">
        <f>C24*D24</f>
        <v/>
      </c>
      <c r="F24" s="416" t="n"/>
    </row>
    <row r="25" ht="14" customFormat="1" customHeight="1" s="260">
      <c r="A25" s="495">
        <f>A24+1</f>
        <v/>
      </c>
      <c r="B25" s="461" t="inlineStr">
        <is>
          <t>Interior Design</t>
        </is>
      </c>
      <c r="C25" s="492" t="n">
        <v>1</v>
      </c>
      <c r="D25" s="873" t="n">
        <v>90000</v>
      </c>
      <c r="E25" s="874">
        <f>C25*D25</f>
        <v/>
      </c>
      <c r="F25" s="416" t="n"/>
    </row>
    <row r="26" ht="24" customFormat="1" customHeight="1" s="260">
      <c r="A26" s="495">
        <f>A25+1</f>
        <v/>
      </c>
      <c r="B26" s="461" t="inlineStr">
        <is>
          <t>Architecture &amp; Engineering</t>
        </is>
      </c>
      <c r="C26" s="492" t="n">
        <v>1</v>
      </c>
      <c r="D26" s="873" t="n">
        <v>3100000</v>
      </c>
      <c r="E26" s="886">
        <f>C26*D26</f>
        <v/>
      </c>
      <c r="F26" s="416" t="n"/>
      <c r="G26" s="808" t="inlineStr">
        <is>
          <t>One $3,100,000 lump with architecture, MEP and structural all 'carried in line #3'. Can it be split? We cannot tell whether structural is funded at the level the RFEM model needs.</t>
        </is>
      </c>
    </row>
    <row r="27" ht="14" customFormat="1" customHeight="1" s="260">
      <c r="A27" s="495">
        <f>A26+1</f>
        <v/>
      </c>
      <c r="B27" s="461" t="inlineStr">
        <is>
          <t>Architecture</t>
        </is>
      </c>
      <c r="C27" s="492" t="n"/>
      <c r="D27" s="873" t="n">
        <v>0</v>
      </c>
      <c r="E27" s="874">
        <f>C27*D27</f>
        <v/>
      </c>
      <c r="F27" s="416" t="inlineStr">
        <is>
          <t>Carried in line #3</t>
        </is>
      </c>
    </row>
    <row r="28" ht="14" customFormat="1" customHeight="1" s="260">
      <c r="A28" s="495">
        <f>A27+1</f>
        <v/>
      </c>
      <c r="B28" s="461" t="inlineStr">
        <is>
          <t>MEP Engineering</t>
        </is>
      </c>
      <c r="C28" s="492" t="n"/>
      <c r="D28" s="873" t="n">
        <v>0</v>
      </c>
      <c r="E28" s="874">
        <f>C28*D28</f>
        <v/>
      </c>
      <c r="F28" s="416" t="inlineStr">
        <is>
          <t>Carried in line #3</t>
        </is>
      </c>
    </row>
    <row r="29" ht="14" customFormat="1" customHeight="1" s="260">
      <c r="A29" s="495">
        <f>A28+1</f>
        <v/>
      </c>
      <c r="B29" s="461" t="inlineStr">
        <is>
          <t>Structural Engineering</t>
        </is>
      </c>
      <c r="C29" s="492" t="n"/>
      <c r="D29" s="873" t="n">
        <v>0</v>
      </c>
      <c r="E29" s="874">
        <f>C29*D29</f>
        <v/>
      </c>
      <c r="F29" s="416" t="inlineStr">
        <is>
          <t>Carried in line #3</t>
        </is>
      </c>
    </row>
    <row r="30" ht="14" customFormat="1" customHeight="1" s="260">
      <c r="A30" s="495">
        <f>A29+1</f>
        <v/>
      </c>
      <c r="B30" s="461" t="inlineStr">
        <is>
          <t>MEP Consultant</t>
        </is>
      </c>
      <c r="C30" s="492" t="n">
        <v>1</v>
      </c>
      <c r="D30" s="873" t="n">
        <v>30000</v>
      </c>
      <c r="E30" s="874">
        <f>C30*D30</f>
        <v/>
      </c>
      <c r="F30" s="416" t="n"/>
    </row>
    <row r="31" ht="14" customFormat="1" customHeight="1" s="260">
      <c r="A31" s="495">
        <f>A30+1</f>
        <v/>
      </c>
      <c r="B31" s="447" t="inlineStr">
        <is>
          <t>Lighting Design (Bandit)</t>
        </is>
      </c>
      <c r="C31" s="492" t="n">
        <v>1</v>
      </c>
      <c r="D31" s="873" t="n">
        <v>51000</v>
      </c>
      <c r="E31" s="874">
        <f>C31*D31</f>
        <v/>
      </c>
      <c r="F31" s="887" t="n"/>
    </row>
    <row r="32" ht="14" customFormat="1" customHeight="1" s="260">
      <c r="A32" s="495">
        <f>A31+1</f>
        <v/>
      </c>
      <c r="B32" s="447" t="inlineStr">
        <is>
          <t>Kitchen Equipment Design (TriMark)</t>
        </is>
      </c>
      <c r="C32" s="492" t="n">
        <v>1</v>
      </c>
      <c r="D32" s="873" t="n">
        <v>20000</v>
      </c>
      <c r="E32" s="874">
        <f>C32*D32</f>
        <v/>
      </c>
      <c r="F32" s="887" t="n"/>
    </row>
    <row r="33" ht="14" customFormat="1" customHeight="1" s="260">
      <c r="A33" s="495">
        <f>A32+1</f>
        <v/>
      </c>
      <c r="B33" s="447" t="inlineStr">
        <is>
          <t xml:space="preserve">LV/AV Design </t>
        </is>
      </c>
      <c r="C33" s="492" t="n">
        <v>1</v>
      </c>
      <c r="D33" s="873" t="n">
        <v>35000</v>
      </c>
      <c r="E33" s="874">
        <f>C33*D33</f>
        <v/>
      </c>
      <c r="F33" s="888" t="n"/>
    </row>
    <row r="34" ht="14" customFormat="1" customHeight="1" s="260">
      <c r="A34" s="495">
        <f>A33+1</f>
        <v/>
      </c>
      <c r="B34" s="447" t="inlineStr">
        <is>
          <t>Signage &amp; Way Finding Design</t>
        </is>
      </c>
      <c r="C34" s="492" t="n">
        <v>1</v>
      </c>
      <c r="D34" s="873" t="n">
        <v>75000</v>
      </c>
      <c r="E34" s="874">
        <f>C34*D34</f>
        <v/>
      </c>
      <c r="F34" s="888" t="n"/>
    </row>
    <row r="35" ht="14" customFormat="1" customHeight="1" s="260">
      <c r="A35" s="495">
        <f>A34+1</f>
        <v/>
      </c>
      <c r="B35" s="447" t="inlineStr">
        <is>
          <t>Renderings</t>
        </is>
      </c>
      <c r="C35" s="492" t="n">
        <v>1</v>
      </c>
      <c r="D35" s="873" t="n">
        <v>50000</v>
      </c>
      <c r="E35" s="874">
        <f>C35*D35</f>
        <v/>
      </c>
      <c r="F35" s="888" t="n"/>
    </row>
    <row r="36" ht="14" customFormat="1" customHeight="1" s="260">
      <c r="A36" s="495">
        <f>A35+1</f>
        <v/>
      </c>
      <c r="B36" s="447" t="inlineStr">
        <is>
          <t>Reimbursables</t>
        </is>
      </c>
      <c r="C36" s="492" t="n">
        <v>1</v>
      </c>
      <c r="D36" s="873" t="n">
        <v>30000</v>
      </c>
      <c r="E36" s="874">
        <f>C36*D36</f>
        <v/>
      </c>
      <c r="F36" s="887" t="n"/>
    </row>
    <row r="37" ht="14" customFormat="1" customHeight="1" s="260">
      <c r="A37" s="495" t="n"/>
      <c r="B37" s="450" t="n"/>
      <c r="C37" s="889" t="n"/>
      <c r="D37" s="877" t="n"/>
      <c r="E37" s="874" t="n"/>
      <c r="F37" s="890" t="n"/>
    </row>
    <row r="38" ht="16" customFormat="1" customHeight="1" s="427" thickBot="1">
      <c r="A38" s="496" t="n"/>
      <c r="B38" s="480" t="inlineStr">
        <is>
          <t>Total Architectural Fees</t>
        </is>
      </c>
      <c r="C38" s="882" t="n"/>
      <c r="D38" s="883" t="n"/>
      <c r="E38" s="884">
        <f>SUM(E24:E37)</f>
        <v/>
      </c>
      <c r="F38" s="444" t="n"/>
      <c r="G38" s="428" t="n"/>
      <c r="H38" s="428" t="n"/>
      <c r="I38" s="428" t="n"/>
      <c r="J38" s="428" t="n"/>
      <c r="K38" s="428" t="n"/>
      <c r="L38" s="428" t="n"/>
      <c r="M38" s="428" t="n"/>
      <c r="N38" s="428" t="n"/>
      <c r="O38" s="428" t="n"/>
      <c r="P38" s="428" t="n"/>
      <c r="Q38" s="428" t="n"/>
      <c r="R38" s="428" t="n"/>
      <c r="S38" s="428" t="n"/>
      <c r="T38" s="428" t="n"/>
      <c r="U38" s="428" t="n"/>
      <c r="V38" s="428" t="n"/>
      <c r="W38" s="428" t="n"/>
      <c r="X38" s="428" t="n"/>
      <c r="Y38" s="428" t="n"/>
      <c r="Z38" s="428" t="n"/>
      <c r="AA38" s="428" t="n"/>
      <c r="AB38" s="428" t="n"/>
      <c r="AC38" s="428" t="n"/>
      <c r="AD38" s="428" t="n"/>
      <c r="AE38" s="428" t="n"/>
      <c r="AF38" s="428" t="n"/>
      <c r="AG38" s="428" t="n"/>
      <c r="AH38" s="428" t="n"/>
      <c r="AI38" s="428" t="n"/>
      <c r="AJ38" s="428" t="n"/>
      <c r="AK38" s="428" t="n"/>
      <c r="AL38" s="428" t="n"/>
      <c r="AM38" s="428" t="n"/>
      <c r="AN38" s="428" t="n"/>
      <c r="AO38" s="428" t="n"/>
      <c r="AP38" s="428" t="n"/>
      <c r="AQ38" s="428" t="n"/>
      <c r="AR38" s="428" t="n"/>
      <c r="AS38" s="428" t="n"/>
      <c r="AT38" s="428" t="n"/>
      <c r="AU38" s="428" t="n"/>
      <c r="AV38" s="428" t="n"/>
      <c r="AW38" s="428" t="n"/>
      <c r="AX38" s="428" t="n"/>
      <c r="AY38" s="428" t="n"/>
      <c r="AZ38" s="428" t="n"/>
      <c r="BA38" s="428" t="n"/>
      <c r="BB38" s="428" t="n"/>
      <c r="BC38" s="428" t="n"/>
      <c r="BD38" s="428" t="n"/>
      <c r="BE38" s="428" t="n"/>
      <c r="BF38" s="428" t="n"/>
      <c r="BG38" s="428" t="n"/>
      <c r="BH38" s="428" t="n"/>
      <c r="BI38" s="428" t="n"/>
      <c r="BJ38" s="428" t="n"/>
      <c r="BK38" s="428" t="n"/>
      <c r="BL38" s="428" t="n"/>
      <c r="BM38" s="428" t="n"/>
      <c r="BN38" s="428" t="n"/>
      <c r="BO38" s="428" t="n"/>
      <c r="BP38" s="428" t="n"/>
      <c r="BQ38" s="428" t="n"/>
      <c r="BR38" s="428" t="n"/>
      <c r="BS38" s="428" t="n"/>
      <c r="BT38" s="428" t="n"/>
      <c r="BU38" s="428" t="n"/>
      <c r="BV38" s="428" t="n"/>
      <c r="BW38" s="428" t="n"/>
      <c r="BX38" s="428" t="n"/>
      <c r="BY38" s="428" t="n"/>
      <c r="BZ38" s="428" t="n"/>
      <c r="CA38" s="428" t="n"/>
      <c r="CB38" s="428" t="n"/>
      <c r="CC38" s="428" t="n"/>
      <c r="CD38" s="428" t="n"/>
      <c r="CE38" s="428" t="n"/>
    </row>
    <row r="39" ht="16" customFormat="1" customHeight="1" s="411" thickBot="1">
      <c r="A39" s="409" t="n">
        <v>204</v>
      </c>
      <c r="B39" s="409" t="inlineStr">
        <is>
          <t>DESCRIPTION</t>
        </is>
      </c>
      <c r="C39" s="409" t="inlineStr">
        <is>
          <t>QTY</t>
        </is>
      </c>
      <c r="D39" s="409" t="inlineStr">
        <is>
          <t>UNIT PRICE</t>
        </is>
      </c>
      <c r="E39" s="871" t="inlineStr">
        <is>
          <t>BUDGET TOTAL</t>
        </is>
      </c>
      <c r="F39" s="409" t="inlineStr">
        <is>
          <t>NOTES</t>
        </is>
      </c>
    </row>
    <row r="40" customFormat="1" s="411">
      <c r="A40" s="494" t="n"/>
      <c r="B40" s="420" t="inlineStr">
        <is>
          <t>Civil Engineering</t>
        </is>
      </c>
      <c r="C40" s="491" t="n"/>
      <c r="D40" s="872" t="n"/>
      <c r="E40" s="891" t="n"/>
      <c r="F40" s="423" t="n"/>
    </row>
    <row r="41" ht="14" customFormat="1" customHeight="1" s="260">
      <c r="A41" s="495" t="n">
        <v>1</v>
      </c>
      <c r="B41" s="434" t="inlineStr">
        <is>
          <t xml:space="preserve">Civil Engineering </t>
        </is>
      </c>
      <c r="C41" s="709" t="n">
        <v>1</v>
      </c>
      <c r="D41" s="874" t="n">
        <v>10000</v>
      </c>
      <c r="E41" s="874">
        <f>C41*D41</f>
        <v/>
      </c>
      <c r="F41" s="436" t="inlineStr">
        <is>
          <t>Exterior work: New Sidewalks, Street Work</t>
        </is>
      </c>
    </row>
    <row r="42" ht="14" customFormat="1" customHeight="1" s="260">
      <c r="A42" s="495" t="n"/>
      <c r="B42" s="455" t="n"/>
      <c r="C42" s="482" t="n"/>
      <c r="D42" s="877" t="n"/>
      <c r="E42" s="874" t="n"/>
      <c r="F42" s="481" t="n"/>
    </row>
    <row r="43" ht="16" customFormat="1" customHeight="1" s="427" thickBot="1">
      <c r="A43" s="496" t="n"/>
      <c r="B43" s="479" t="inlineStr">
        <is>
          <t>Total Civil Engineering</t>
        </is>
      </c>
      <c r="C43" s="882" t="n"/>
      <c r="D43" s="883" t="n"/>
      <c r="E43" s="884">
        <f>SUM(E41:E41)</f>
        <v/>
      </c>
      <c r="F43" s="444" t="n"/>
      <c r="G43" s="428" t="n"/>
      <c r="H43" s="428" t="n"/>
      <c r="I43" s="428" t="n"/>
      <c r="J43" s="428" t="n"/>
      <c r="K43" s="428" t="n"/>
      <c r="L43" s="428" t="n"/>
      <c r="M43" s="428" t="n"/>
      <c r="N43" s="428" t="n"/>
      <c r="O43" s="428" t="n"/>
      <c r="P43" s="428" t="n"/>
      <c r="Q43" s="428" t="n"/>
      <c r="R43" s="428" t="n"/>
      <c r="S43" s="428" t="n"/>
      <c r="T43" s="428" t="n"/>
      <c r="U43" s="428" t="n"/>
      <c r="V43" s="428" t="n"/>
      <c r="W43" s="428" t="n"/>
      <c r="X43" s="428" t="n"/>
      <c r="Y43" s="428" t="n"/>
      <c r="Z43" s="428" t="n"/>
      <c r="AA43" s="428" t="n"/>
      <c r="AB43" s="428" t="n"/>
      <c r="AC43" s="428" t="n"/>
      <c r="AD43" s="428" t="n"/>
      <c r="AE43" s="428" t="n"/>
      <c r="AF43" s="428" t="n"/>
      <c r="AG43" s="428" t="n"/>
      <c r="AH43" s="428" t="n"/>
      <c r="AI43" s="428" t="n"/>
      <c r="AJ43" s="428" t="n"/>
      <c r="AK43" s="428" t="n"/>
      <c r="AL43" s="428" t="n"/>
      <c r="AM43" s="428" t="n"/>
      <c r="AN43" s="428" t="n"/>
      <c r="AO43" s="428" t="n"/>
      <c r="AP43" s="428" t="n"/>
      <c r="AQ43" s="428" t="n"/>
      <c r="AR43" s="428" t="n"/>
      <c r="AS43" s="428" t="n"/>
      <c r="AT43" s="428" t="n"/>
      <c r="AU43" s="428" t="n"/>
      <c r="AV43" s="428" t="n"/>
      <c r="AW43" s="428" t="n"/>
      <c r="AX43" s="428" t="n"/>
      <c r="AY43" s="428" t="n"/>
      <c r="AZ43" s="428" t="n"/>
      <c r="BA43" s="428" t="n"/>
      <c r="BB43" s="428" t="n"/>
      <c r="BC43" s="428" t="n"/>
      <c r="BD43" s="428" t="n"/>
      <c r="BE43" s="428" t="n"/>
      <c r="BF43" s="428" t="n"/>
      <c r="BG43" s="428" t="n"/>
      <c r="BH43" s="428" t="n"/>
      <c r="BI43" s="428" t="n"/>
      <c r="BJ43" s="428" t="n"/>
      <c r="BK43" s="428" t="n"/>
      <c r="BL43" s="428" t="n"/>
      <c r="BM43" s="428" t="n"/>
      <c r="BN43" s="428" t="n"/>
      <c r="BO43" s="428" t="n"/>
      <c r="BP43" s="428" t="n"/>
      <c r="BQ43" s="428" t="n"/>
      <c r="BR43" s="428" t="n"/>
      <c r="BS43" s="428" t="n"/>
      <c r="BT43" s="428" t="n"/>
      <c r="BU43" s="428" t="n"/>
      <c r="BV43" s="428" t="n"/>
      <c r="BW43" s="428" t="n"/>
      <c r="BX43" s="428" t="n"/>
      <c r="BY43" s="428" t="n"/>
      <c r="BZ43" s="428" t="n"/>
      <c r="CA43" s="428" t="n"/>
      <c r="CB43" s="428" t="n"/>
      <c r="CC43" s="428" t="n"/>
      <c r="CD43" s="428" t="n"/>
      <c r="CE43" s="428" t="n"/>
    </row>
    <row r="44" ht="16" customFormat="1" customHeight="1" s="411" thickBot="1">
      <c r="A44" s="409" t="n">
        <v>205</v>
      </c>
      <c r="B44" s="409" t="inlineStr">
        <is>
          <t>DESCRIPTION</t>
        </is>
      </c>
      <c r="C44" s="409" t="inlineStr">
        <is>
          <t>QTY</t>
        </is>
      </c>
      <c r="D44" s="409" t="inlineStr">
        <is>
          <t>UNIT PRICE</t>
        </is>
      </c>
      <c r="E44" s="871" t="inlineStr">
        <is>
          <t>BUDGET TOTAL</t>
        </is>
      </c>
      <c r="F44" s="409" t="inlineStr">
        <is>
          <t>NOTES</t>
        </is>
      </c>
    </row>
    <row r="45" customFormat="1" s="411">
      <c r="A45" s="494" t="n"/>
      <c r="B45" s="420" t="inlineStr">
        <is>
          <t>Traffic Engineering</t>
        </is>
      </c>
      <c r="C45" s="491" t="n"/>
      <c r="D45" s="872" t="n"/>
      <c r="E45" s="872" t="n"/>
      <c r="F45" s="423" t="n"/>
    </row>
    <row r="46" ht="14" customFormat="1" customHeight="1" s="260">
      <c r="A46" s="495" t="n">
        <v>1</v>
      </c>
      <c r="B46" s="434" t="inlineStr">
        <is>
          <t>Traffic Engineering</t>
        </is>
      </c>
      <c r="C46" s="709" t="n">
        <v>1</v>
      </c>
      <c r="D46" s="892" t="n">
        <v>10000</v>
      </c>
      <c r="E46" s="874">
        <f>C46*D46</f>
        <v/>
      </c>
      <c r="F46" s="710" t="inlineStr">
        <is>
          <t>Verify w/ Traffic Consultant Report</t>
        </is>
      </c>
    </row>
    <row r="47" ht="14" customFormat="1" customHeight="1" s="260">
      <c r="A47" s="495" t="n">
        <v>2</v>
      </c>
      <c r="B47" s="434" t="n"/>
      <c r="C47" s="709" t="n"/>
      <c r="D47" s="892" t="n">
        <v>0</v>
      </c>
      <c r="E47" s="874">
        <f>C47*D47</f>
        <v/>
      </c>
      <c r="F47" s="416" t="n"/>
    </row>
    <row r="48" hidden="1" ht="14" customFormat="1" customHeight="1" s="260">
      <c r="A48" s="495" t="n"/>
      <c r="B48" s="434" t="n"/>
      <c r="C48" s="893" t="n"/>
      <c r="D48" s="892" t="n"/>
      <c r="E48" s="874" t="n"/>
      <c r="F48" s="416" t="n"/>
    </row>
    <row r="49" hidden="1" ht="14" customFormat="1" customHeight="1" s="260">
      <c r="A49" s="495" t="n"/>
      <c r="B49" s="452" t="n"/>
      <c r="C49" s="894" t="n"/>
      <c r="D49" s="895" t="n"/>
      <c r="E49" s="874" t="n"/>
      <c r="F49" s="454" t="n"/>
    </row>
    <row r="50" hidden="1" ht="14" customFormat="1" customHeight="1" s="260">
      <c r="A50" s="495" t="n"/>
      <c r="B50" s="455" t="n"/>
      <c r="C50" s="889" t="n"/>
      <c r="D50" s="877" t="n"/>
      <c r="E50" s="874" t="n"/>
      <c r="F50" s="890" t="n"/>
    </row>
    <row r="51" ht="16" customFormat="1" customHeight="1" s="427" thickBot="1">
      <c r="A51" s="496" t="n"/>
      <c r="B51" s="479" t="inlineStr">
        <is>
          <t>Total Traffic Engineering</t>
        </is>
      </c>
      <c r="C51" s="882" t="n"/>
      <c r="D51" s="883" t="n"/>
      <c r="E51" s="884">
        <f>SUM(E46:E50)</f>
        <v/>
      </c>
      <c r="F51" s="444" t="n"/>
      <c r="G51" s="428" t="n"/>
      <c r="H51" s="428" t="n"/>
      <c r="I51" s="428" t="n"/>
      <c r="J51" s="428" t="n"/>
      <c r="K51" s="428" t="n"/>
      <c r="L51" s="428" t="n"/>
      <c r="M51" s="428" t="n"/>
      <c r="N51" s="428" t="n"/>
      <c r="O51" s="428" t="n"/>
      <c r="P51" s="428" t="n"/>
      <c r="Q51" s="428" t="n"/>
      <c r="R51" s="428" t="n"/>
      <c r="S51" s="428" t="n"/>
      <c r="T51" s="428" t="n"/>
      <c r="U51" s="428" t="n"/>
      <c r="V51" s="428" t="n"/>
      <c r="W51" s="428" t="n"/>
      <c r="X51" s="428" t="n"/>
      <c r="Y51" s="428" t="n"/>
      <c r="Z51" s="428" t="n"/>
      <c r="AA51" s="428" t="n"/>
      <c r="AB51" s="428" t="n"/>
      <c r="AC51" s="428" t="n"/>
      <c r="AD51" s="428" t="n"/>
      <c r="AE51" s="428" t="n"/>
      <c r="AF51" s="428" t="n"/>
      <c r="AG51" s="428" t="n"/>
      <c r="AH51" s="428" t="n"/>
      <c r="AI51" s="428" t="n"/>
      <c r="AJ51" s="428" t="n"/>
      <c r="AK51" s="428" t="n"/>
      <c r="AL51" s="428" t="n"/>
      <c r="AM51" s="428" t="n"/>
      <c r="AN51" s="428" t="n"/>
      <c r="AO51" s="428" t="n"/>
      <c r="AP51" s="428" t="n"/>
      <c r="AQ51" s="428" t="n"/>
      <c r="AR51" s="428" t="n"/>
      <c r="AS51" s="428" t="n"/>
      <c r="AT51" s="428" t="n"/>
      <c r="AU51" s="428" t="n"/>
      <c r="AV51" s="428" t="n"/>
      <c r="AW51" s="428" t="n"/>
      <c r="AX51" s="428" t="n"/>
      <c r="AY51" s="428" t="n"/>
      <c r="AZ51" s="428" t="n"/>
      <c r="BA51" s="428" t="n"/>
      <c r="BB51" s="428" t="n"/>
      <c r="BC51" s="428" t="n"/>
      <c r="BD51" s="428" t="n"/>
      <c r="BE51" s="428" t="n"/>
      <c r="BF51" s="428" t="n"/>
      <c r="BG51" s="428" t="n"/>
      <c r="BH51" s="428" t="n"/>
      <c r="BI51" s="428" t="n"/>
      <c r="BJ51" s="428" t="n"/>
      <c r="BK51" s="428" t="n"/>
      <c r="BL51" s="428" t="n"/>
      <c r="BM51" s="428" t="n"/>
      <c r="BN51" s="428" t="n"/>
      <c r="BO51" s="428" t="n"/>
      <c r="BP51" s="428" t="n"/>
      <c r="BQ51" s="428" t="n"/>
      <c r="BR51" s="428" t="n"/>
      <c r="BS51" s="428" t="n"/>
      <c r="BT51" s="428" t="n"/>
      <c r="BU51" s="428" t="n"/>
      <c r="BV51" s="428" t="n"/>
      <c r="BW51" s="428" t="n"/>
      <c r="BX51" s="428" t="n"/>
      <c r="BY51" s="428" t="n"/>
      <c r="BZ51" s="428" t="n"/>
      <c r="CA51" s="428" t="n"/>
      <c r="CB51" s="428" t="n"/>
      <c r="CC51" s="428" t="n"/>
      <c r="CD51" s="428" t="n"/>
      <c r="CE51" s="428" t="n"/>
    </row>
    <row r="52" ht="16" customFormat="1" customHeight="1" s="411" thickBot="1">
      <c r="A52" s="409" t="n">
        <v>206</v>
      </c>
      <c r="B52" s="409" t="inlineStr">
        <is>
          <t>DESCRIPTION</t>
        </is>
      </c>
      <c r="C52" s="409" t="inlineStr">
        <is>
          <t>QTY</t>
        </is>
      </c>
      <c r="D52" s="409" t="inlineStr">
        <is>
          <t>UNIT PRICE</t>
        </is>
      </c>
      <c r="E52" s="871" t="inlineStr">
        <is>
          <t>BUDGET TOTAL</t>
        </is>
      </c>
      <c r="F52" s="409" t="inlineStr">
        <is>
          <t>NOTES</t>
        </is>
      </c>
    </row>
    <row r="53" customFormat="1" s="411">
      <c r="A53" s="494" t="n"/>
      <c r="B53" s="426" t="inlineStr">
        <is>
          <t>Acoustical Engineering</t>
        </is>
      </c>
      <c r="C53" s="491" t="n"/>
      <c r="D53" s="872" t="n"/>
      <c r="E53" s="872" t="n"/>
      <c r="F53" s="423" t="n"/>
    </row>
    <row r="54" ht="24" customFormat="1" customHeight="1" s="260">
      <c r="A54" s="495" t="n">
        <v>1</v>
      </c>
      <c r="B54" s="434" t="inlineStr">
        <is>
          <t>Sound and Vibration Testing</t>
        </is>
      </c>
      <c r="C54" s="709" t="n">
        <v>1</v>
      </c>
      <c r="D54" s="874" t="n">
        <v>15000</v>
      </c>
      <c r="E54" s="886">
        <f>C54*D54</f>
        <v/>
      </c>
      <c r="F54" s="436" t="inlineStr">
        <is>
          <t>Sound &amp; Vibration Testing / Design Documentation &amp; Consulting</t>
        </is>
      </c>
      <c r="G54" s="808" t="inlineStr">
        <is>
          <t>$15,000 is testing. Is there an acoustic DESIGN fee anywhere? We carry $200,000 - next to residential it is the licence to operate.</t>
        </is>
      </c>
    </row>
    <row r="55" ht="14" customFormat="1" customHeight="1" s="260">
      <c r="A55" s="495" t="n"/>
      <c r="B55" s="434" t="n"/>
      <c r="C55" s="709" t="n"/>
      <c r="D55" s="874" t="n"/>
      <c r="E55" s="874" t="n"/>
      <c r="F55" s="436" t="n"/>
    </row>
    <row r="56" hidden="1" ht="14" customFormat="1" customHeight="1" s="260">
      <c r="A56" s="495" t="n">
        <v>4</v>
      </c>
      <c r="B56" s="434" t="n"/>
      <c r="C56" s="893" t="n"/>
      <c r="D56" s="874" t="n">
        <v>0</v>
      </c>
      <c r="E56" s="874">
        <f>C56*D56</f>
        <v/>
      </c>
      <c r="F56" s="436" t="n"/>
    </row>
    <row r="57" hidden="1" ht="14" customFormat="1" customHeight="1" s="260">
      <c r="A57" s="495" t="n">
        <v>5</v>
      </c>
      <c r="B57" s="434" t="n"/>
      <c r="C57" s="893" t="n"/>
      <c r="D57" s="874" t="n">
        <v>0</v>
      </c>
      <c r="E57" s="874">
        <f>C57*D57</f>
        <v/>
      </c>
      <c r="F57" s="436" t="n"/>
    </row>
    <row r="58" ht="16" customFormat="1" customHeight="1" s="427" thickBot="1">
      <c r="A58" s="412" t="n"/>
      <c r="B58" s="478" t="inlineStr">
        <is>
          <t>Total Acoustical Engineering</t>
        </is>
      </c>
      <c r="C58" s="878" t="n"/>
      <c r="D58" s="879" t="n"/>
      <c r="E58" s="884">
        <f>SUM(E54:E57)</f>
        <v/>
      </c>
      <c r="F58" s="414" t="n"/>
      <c r="G58" s="428" t="n"/>
      <c r="H58" s="428" t="n"/>
      <c r="I58" s="428" t="n"/>
      <c r="J58" s="428" t="n"/>
      <c r="K58" s="428" t="n"/>
      <c r="L58" s="428" t="n"/>
      <c r="M58" s="428" t="n"/>
      <c r="N58" s="428" t="n"/>
      <c r="O58" s="428" t="n"/>
      <c r="P58" s="428" t="n"/>
      <c r="Q58" s="428" t="n"/>
      <c r="R58" s="428" t="n"/>
      <c r="S58" s="428" t="n"/>
      <c r="T58" s="428" t="n"/>
      <c r="U58" s="428" t="n"/>
      <c r="V58" s="428" t="n"/>
      <c r="W58" s="428" t="n"/>
      <c r="X58" s="428" t="n"/>
      <c r="Y58" s="428" t="n"/>
      <c r="Z58" s="428" t="n"/>
      <c r="AA58" s="428" t="n"/>
      <c r="AB58" s="428" t="n"/>
      <c r="AC58" s="428" t="n"/>
      <c r="AD58" s="428" t="n"/>
      <c r="AE58" s="428" t="n"/>
      <c r="AF58" s="428" t="n"/>
      <c r="AG58" s="428" t="n"/>
      <c r="AH58" s="428" t="n"/>
      <c r="AI58" s="428" t="n"/>
      <c r="AJ58" s="428" t="n"/>
      <c r="AK58" s="428" t="n"/>
      <c r="AL58" s="428" t="n"/>
      <c r="AM58" s="428" t="n"/>
      <c r="AN58" s="428" t="n"/>
      <c r="AO58" s="428" t="n"/>
      <c r="AP58" s="428" t="n"/>
      <c r="AQ58" s="428" t="n"/>
      <c r="AR58" s="428" t="n"/>
      <c r="AS58" s="428" t="n"/>
      <c r="AT58" s="428" t="n"/>
      <c r="AU58" s="428" t="n"/>
      <c r="AV58" s="428" t="n"/>
      <c r="AW58" s="428" t="n"/>
      <c r="AX58" s="428" t="n"/>
      <c r="AY58" s="428" t="n"/>
      <c r="AZ58" s="428" t="n"/>
      <c r="BA58" s="428" t="n"/>
      <c r="BB58" s="428" t="n"/>
      <c r="BC58" s="428" t="n"/>
      <c r="BD58" s="428" t="n"/>
      <c r="BE58" s="428" t="n"/>
      <c r="BF58" s="428" t="n"/>
      <c r="BG58" s="428" t="n"/>
      <c r="BH58" s="428" t="n"/>
      <c r="BI58" s="428" t="n"/>
      <c r="BJ58" s="428" t="n"/>
      <c r="BK58" s="428" t="n"/>
      <c r="BL58" s="428" t="n"/>
      <c r="BM58" s="428" t="n"/>
      <c r="BN58" s="428" t="n"/>
      <c r="BO58" s="428" t="n"/>
      <c r="BP58" s="428" t="n"/>
      <c r="BQ58" s="428" t="n"/>
      <c r="BR58" s="428" t="n"/>
      <c r="BS58" s="428" t="n"/>
      <c r="BT58" s="428" t="n"/>
      <c r="BU58" s="428" t="n"/>
      <c r="BV58" s="428" t="n"/>
      <c r="BW58" s="428" t="n"/>
      <c r="BX58" s="428" t="n"/>
      <c r="BY58" s="428" t="n"/>
      <c r="BZ58" s="428" t="n"/>
      <c r="CA58" s="428" t="n"/>
      <c r="CB58" s="428" t="n"/>
      <c r="CC58" s="428" t="n"/>
      <c r="CD58" s="428" t="n"/>
      <c r="CE58" s="428" t="n"/>
    </row>
    <row r="59" ht="16" customFormat="1" customHeight="1" s="411" thickBot="1">
      <c r="A59" s="409" t="n">
        <v>207</v>
      </c>
      <c r="B59" s="409" t="inlineStr">
        <is>
          <t>DESCRIPTION</t>
        </is>
      </c>
      <c r="C59" s="409" t="inlineStr">
        <is>
          <t>QTY</t>
        </is>
      </c>
      <c r="D59" s="409" t="inlineStr">
        <is>
          <t>UNIT PRICE</t>
        </is>
      </c>
      <c r="E59" s="871" t="inlineStr">
        <is>
          <t>BUDGET TOTAL</t>
        </is>
      </c>
      <c r="F59" s="409" t="inlineStr">
        <is>
          <t>NOTES</t>
        </is>
      </c>
    </row>
    <row r="60" customFormat="1" s="411">
      <c r="A60" s="494" t="n"/>
      <c r="B60" s="426" t="inlineStr">
        <is>
          <t>Geotechnical Engineering</t>
        </is>
      </c>
      <c r="C60" s="491" t="n"/>
      <c r="D60" s="872" t="n"/>
      <c r="E60" s="872" t="n"/>
      <c r="F60" s="423" t="n"/>
    </row>
    <row r="61" ht="14" customFormat="1" customHeight="1" s="260">
      <c r="A61" s="495" t="n">
        <v>1</v>
      </c>
      <c r="B61" s="456" t="inlineStr">
        <is>
          <t>Geotechnical Engineering</t>
        </is>
      </c>
      <c r="C61" s="492" t="n">
        <v>1</v>
      </c>
      <c r="D61" s="892" t="n">
        <v>150000</v>
      </c>
      <c r="E61" s="874">
        <f>C61*D61</f>
        <v/>
      </c>
      <c r="F61" s="458" t="inlineStr">
        <is>
          <t>13 Borings 50' deep required for ST Permit</t>
        </is>
      </c>
    </row>
    <row r="62" ht="14" customFormat="1" customHeight="1" s="260">
      <c r="A62" s="495" t="n"/>
      <c r="B62" s="434" t="n"/>
      <c r="C62" s="709" t="n"/>
      <c r="D62" s="874" t="n"/>
      <c r="E62" s="874" t="n"/>
      <c r="F62" s="436" t="n"/>
    </row>
    <row r="63" hidden="1" ht="14" customFormat="1" customHeight="1" s="260">
      <c r="A63" s="495" t="n"/>
      <c r="B63" s="434" t="n"/>
      <c r="C63" s="893" t="n"/>
      <c r="D63" s="877" t="n"/>
      <c r="E63" s="874" t="n"/>
      <c r="F63" s="436" t="n"/>
    </row>
    <row r="64" hidden="1" ht="14" customFormat="1" customHeight="1" s="260">
      <c r="A64" s="495" t="n"/>
      <c r="B64" s="434" t="n"/>
      <c r="C64" s="893" t="n"/>
      <c r="D64" s="874" t="n"/>
      <c r="E64" s="874" t="n"/>
      <c r="F64" s="887" t="n"/>
    </row>
    <row r="65" hidden="1" ht="14" customFormat="1" customHeight="1" s="260">
      <c r="A65" s="495" t="n"/>
      <c r="B65" s="434" t="n"/>
      <c r="C65" s="893" t="n"/>
      <c r="D65" s="874" t="n"/>
      <c r="E65" s="874" t="n"/>
      <c r="F65" s="887" t="n"/>
    </row>
    <row r="66" ht="16" customFormat="1" customHeight="1" s="427" thickBot="1">
      <c r="A66" s="412" t="n"/>
      <c r="B66" s="478" t="inlineStr">
        <is>
          <t>Total Geotechnical Engineering</t>
        </is>
      </c>
      <c r="C66" s="878" t="n"/>
      <c r="D66" s="879" t="n"/>
      <c r="E66" s="884">
        <f>SUM(E61:E65)</f>
        <v/>
      </c>
      <c r="F66" s="414" t="n"/>
      <c r="G66" s="428" t="n"/>
      <c r="H66" s="428" t="n"/>
      <c r="I66" s="428" t="n"/>
      <c r="J66" s="428" t="n"/>
      <c r="K66" s="428" t="n"/>
      <c r="L66" s="428" t="n"/>
      <c r="M66" s="428" t="n"/>
      <c r="N66" s="428" t="n"/>
      <c r="O66" s="428" t="n"/>
      <c r="P66" s="428" t="n"/>
      <c r="Q66" s="428" t="n"/>
      <c r="R66" s="428" t="n"/>
      <c r="S66" s="428" t="n"/>
      <c r="T66" s="428" t="n"/>
      <c r="U66" s="428" t="n"/>
      <c r="V66" s="428" t="n"/>
      <c r="W66" s="428" t="n"/>
      <c r="X66" s="428" t="n"/>
      <c r="Y66" s="428" t="n"/>
      <c r="Z66" s="428" t="n"/>
      <c r="AA66" s="428" t="n"/>
      <c r="AB66" s="428" t="n"/>
      <c r="AC66" s="428" t="n"/>
      <c r="AD66" s="428" t="n"/>
      <c r="AE66" s="428" t="n"/>
      <c r="AF66" s="428" t="n"/>
      <c r="AG66" s="428" t="n"/>
      <c r="AH66" s="428" t="n"/>
      <c r="AI66" s="428" t="n"/>
      <c r="AJ66" s="428" t="n"/>
      <c r="AK66" s="428" t="n"/>
      <c r="AL66" s="428" t="n"/>
      <c r="AM66" s="428" t="n"/>
      <c r="AN66" s="428" t="n"/>
      <c r="AO66" s="428" t="n"/>
      <c r="AP66" s="428" t="n"/>
      <c r="AQ66" s="428" t="n"/>
      <c r="AR66" s="428" t="n"/>
      <c r="AS66" s="428" t="n"/>
      <c r="AT66" s="428" t="n"/>
      <c r="AU66" s="428" t="n"/>
      <c r="AV66" s="428" t="n"/>
      <c r="AW66" s="428" t="n"/>
      <c r="AX66" s="428" t="n"/>
      <c r="AY66" s="428" t="n"/>
      <c r="AZ66" s="428" t="n"/>
      <c r="BA66" s="428" t="n"/>
      <c r="BB66" s="428" t="n"/>
      <c r="BC66" s="428" t="n"/>
      <c r="BD66" s="428" t="n"/>
      <c r="BE66" s="428" t="n"/>
      <c r="BF66" s="428" t="n"/>
      <c r="BG66" s="428" t="n"/>
      <c r="BH66" s="428" t="n"/>
      <c r="BI66" s="428" t="n"/>
      <c r="BJ66" s="428" t="n"/>
      <c r="BK66" s="428" t="n"/>
      <c r="BL66" s="428" t="n"/>
      <c r="BM66" s="428" t="n"/>
      <c r="BN66" s="428" t="n"/>
      <c r="BO66" s="428" t="n"/>
      <c r="BP66" s="428" t="n"/>
      <c r="BQ66" s="428" t="n"/>
      <c r="BR66" s="428" t="n"/>
      <c r="BS66" s="428" t="n"/>
      <c r="BT66" s="428" t="n"/>
      <c r="BU66" s="428" t="n"/>
      <c r="BV66" s="428" t="n"/>
      <c r="BW66" s="428" t="n"/>
      <c r="BX66" s="428" t="n"/>
      <c r="BY66" s="428" t="n"/>
      <c r="BZ66" s="428" t="n"/>
      <c r="CA66" s="428" t="n"/>
      <c r="CB66" s="428" t="n"/>
      <c r="CC66" s="428" t="n"/>
      <c r="CD66" s="428" t="n"/>
      <c r="CE66" s="428" t="n"/>
    </row>
    <row r="67" ht="16" customFormat="1" customHeight="1" s="411" thickBot="1">
      <c r="A67" s="409" t="n">
        <v>208</v>
      </c>
      <c r="B67" s="409" t="inlineStr">
        <is>
          <t>DESCRIPTION</t>
        </is>
      </c>
      <c r="C67" s="409" t="inlineStr">
        <is>
          <t>QTY</t>
        </is>
      </c>
      <c r="D67" s="409" t="inlineStr">
        <is>
          <t>UNIT PRICE</t>
        </is>
      </c>
      <c r="E67" s="871" t="inlineStr">
        <is>
          <t>BUDGET TOTAL</t>
        </is>
      </c>
      <c r="F67" s="409" t="inlineStr">
        <is>
          <t>NOTES</t>
        </is>
      </c>
    </row>
    <row r="68" customFormat="1" s="411">
      <c r="A68" s="494" t="n"/>
      <c r="B68" s="420" t="inlineStr">
        <is>
          <t>Environmental Studies</t>
        </is>
      </c>
      <c r="C68" s="491" t="n"/>
      <c r="D68" s="872" t="n"/>
      <c r="E68" s="872" t="n"/>
      <c r="F68" s="423" t="n"/>
    </row>
    <row r="69" ht="14" customFormat="1" customHeight="1" s="260">
      <c r="A69" s="495" t="n">
        <v>1</v>
      </c>
      <c r="B69" s="434" t="inlineStr">
        <is>
          <t>Carried in Feasibility Study</t>
        </is>
      </c>
      <c r="C69" s="709" t="n"/>
      <c r="D69" s="874" t="n"/>
      <c r="E69" s="874">
        <f>C69*D69</f>
        <v/>
      </c>
      <c r="F69" s="436" t="n"/>
    </row>
    <row r="70" ht="14" customFormat="1" customHeight="1" s="260">
      <c r="A70" s="495" t="n"/>
      <c r="B70" s="434" t="n"/>
      <c r="C70" s="709" t="n"/>
      <c r="D70" s="874" t="n"/>
      <c r="E70" s="874" t="n"/>
      <c r="F70" s="887" t="n"/>
    </row>
    <row r="71" ht="16" customFormat="1" customHeight="1" s="427" thickBot="1">
      <c r="A71" s="412" t="n"/>
      <c r="B71" s="478" t="inlineStr">
        <is>
          <t>Total Environmental Studies</t>
        </is>
      </c>
      <c r="C71" s="878" t="n"/>
      <c r="D71" s="879" t="n"/>
      <c r="E71" s="884">
        <f>SUM(E69:E70)</f>
        <v/>
      </c>
      <c r="F71" s="414" t="n"/>
      <c r="G71" s="428" t="n"/>
      <c r="H71" s="428" t="n"/>
      <c r="I71" s="428" t="n"/>
      <c r="J71" s="428" t="n"/>
      <c r="K71" s="428" t="n"/>
      <c r="L71" s="428" t="n"/>
      <c r="M71" s="428" t="n"/>
      <c r="N71" s="428" t="n"/>
      <c r="O71" s="428" t="n"/>
      <c r="P71" s="428" t="n"/>
      <c r="Q71" s="428" t="n"/>
      <c r="R71" s="428" t="n"/>
      <c r="S71" s="428" t="n"/>
      <c r="T71" s="428" t="n"/>
      <c r="U71" s="428" t="n"/>
      <c r="V71" s="428" t="n"/>
      <c r="W71" s="428" t="n"/>
      <c r="X71" s="428" t="n"/>
      <c r="Y71" s="428" t="n"/>
      <c r="Z71" s="428" t="n"/>
      <c r="AA71" s="428" t="n"/>
      <c r="AB71" s="428" t="n"/>
      <c r="AC71" s="428" t="n"/>
      <c r="AD71" s="428" t="n"/>
      <c r="AE71" s="428" t="n"/>
      <c r="AF71" s="428" t="n"/>
      <c r="AG71" s="428" t="n"/>
      <c r="AH71" s="428" t="n"/>
      <c r="AI71" s="428" t="n"/>
      <c r="AJ71" s="428" t="n"/>
      <c r="AK71" s="428" t="n"/>
      <c r="AL71" s="428" t="n"/>
      <c r="AM71" s="428" t="n"/>
      <c r="AN71" s="428" t="n"/>
      <c r="AO71" s="428" t="n"/>
      <c r="AP71" s="428" t="n"/>
      <c r="AQ71" s="428" t="n"/>
      <c r="AR71" s="428" t="n"/>
      <c r="AS71" s="428" t="n"/>
      <c r="AT71" s="428" t="n"/>
      <c r="AU71" s="428" t="n"/>
      <c r="AV71" s="428" t="n"/>
      <c r="AW71" s="428" t="n"/>
      <c r="AX71" s="428" t="n"/>
      <c r="AY71" s="428" t="n"/>
      <c r="AZ71" s="428" t="n"/>
      <c r="BA71" s="428" t="n"/>
      <c r="BB71" s="428" t="n"/>
      <c r="BC71" s="428" t="n"/>
      <c r="BD71" s="428" t="n"/>
      <c r="BE71" s="428" t="n"/>
      <c r="BF71" s="428" t="n"/>
      <c r="BG71" s="428" t="n"/>
      <c r="BH71" s="428" t="n"/>
      <c r="BI71" s="428" t="n"/>
      <c r="BJ71" s="428" t="n"/>
      <c r="BK71" s="428" t="n"/>
      <c r="BL71" s="428" t="n"/>
      <c r="BM71" s="428" t="n"/>
      <c r="BN71" s="428" t="n"/>
      <c r="BO71" s="428" t="n"/>
      <c r="BP71" s="428" t="n"/>
      <c r="BQ71" s="428" t="n"/>
      <c r="BR71" s="428" t="n"/>
      <c r="BS71" s="428" t="n"/>
      <c r="BT71" s="428" t="n"/>
      <c r="BU71" s="428" t="n"/>
      <c r="BV71" s="428" t="n"/>
      <c r="BW71" s="428" t="n"/>
      <c r="BX71" s="428" t="n"/>
      <c r="BY71" s="428" t="n"/>
      <c r="BZ71" s="428" t="n"/>
      <c r="CA71" s="428" t="n"/>
      <c r="CB71" s="428" t="n"/>
      <c r="CC71" s="428" t="n"/>
      <c r="CD71" s="428" t="n"/>
      <c r="CE71" s="428" t="n"/>
    </row>
    <row r="72" ht="16" customFormat="1" customHeight="1" s="411" thickBot="1">
      <c r="A72" s="409" t="n">
        <v>209</v>
      </c>
      <c r="B72" s="409" t="inlineStr">
        <is>
          <t>DESCRIPTION</t>
        </is>
      </c>
      <c r="C72" s="409" t="inlineStr">
        <is>
          <t>QTY</t>
        </is>
      </c>
      <c r="D72" s="409" t="inlineStr">
        <is>
          <t>UNIT PRICE</t>
        </is>
      </c>
      <c r="E72" s="871" t="inlineStr">
        <is>
          <t>BUDGET TOTAL</t>
        </is>
      </c>
      <c r="F72" s="409" t="inlineStr">
        <is>
          <t>NOTES</t>
        </is>
      </c>
    </row>
    <row r="73" customFormat="1" s="411">
      <c r="A73" s="494" t="n"/>
      <c r="B73" s="420" t="inlineStr">
        <is>
          <t>Zoning / Permit Fees</t>
        </is>
      </c>
      <c r="C73" s="881" t="n"/>
      <c r="D73" s="872" t="n"/>
      <c r="E73" s="872" t="n"/>
      <c r="F73" s="423" t="n"/>
    </row>
    <row r="74" ht="36" customFormat="1" customHeight="1" s="441">
      <c r="A74" s="493" t="n">
        <v>1</v>
      </c>
      <c r="B74" s="484" t="inlineStr">
        <is>
          <t>Permit fees &amp; plan review fees</t>
        </is>
      </c>
      <c r="C74" s="492" t="n">
        <v>1</v>
      </c>
      <c r="D74" s="892">
        <f>'Budget Summary'!D25*0.013</f>
        <v/>
      </c>
      <c r="E74" s="886">
        <f>C74*D74</f>
        <v/>
      </c>
      <c r="F74" s="485" t="inlineStr">
        <is>
          <t>1.3% Trade Costs</t>
        </is>
      </c>
      <c r="G74" s="808" t="inlineStr">
        <is>
          <t>1.3% of trade cost - understood, so this falls automatically as trade moves. Is 1.3% right for a project filing an ST structural permit at +64 ft 6 in? We carry a separate $120,000 for the ST filing and expediting; we cannot find it here.</t>
        </is>
      </c>
    </row>
    <row r="75" ht="14" customFormat="1" customHeight="1" s="441">
      <c r="A75" s="493">
        <f>A74+1</f>
        <v/>
      </c>
      <c r="B75" s="484" t="inlineStr">
        <is>
          <t>Special Projects Program</t>
        </is>
      </c>
      <c r="C75" s="492" t="n">
        <v>1</v>
      </c>
      <c r="D75" s="892" t="n">
        <v>50000</v>
      </c>
      <c r="E75" s="874">
        <f>C75*D75</f>
        <v/>
      </c>
      <c r="F75" s="485" t="n"/>
    </row>
    <row r="76" ht="14" customFormat="1" customHeight="1" s="441">
      <c r="A76" s="493" t="n">
        <v>3</v>
      </c>
      <c r="B76" s="484" t="inlineStr">
        <is>
          <t>MEP and misc. permit fees</t>
        </is>
      </c>
      <c r="C76" s="492" t="n">
        <v>1</v>
      </c>
      <c r="D76" s="892" t="n">
        <v>10000</v>
      </c>
      <c r="E76" s="874">
        <f>C76*D76</f>
        <v/>
      </c>
      <c r="F76" s="485" t="n"/>
    </row>
    <row r="77" ht="14" customFormat="1" customHeight="1" s="441">
      <c r="A77" s="493" t="n">
        <v>4</v>
      </c>
      <c r="B77" s="484" t="inlineStr">
        <is>
          <t>Expeditor (allowance for Addt'l services)</t>
        </is>
      </c>
      <c r="C77" s="492" t="n">
        <v>0</v>
      </c>
      <c r="D77" s="892" t="n"/>
      <c r="E77" s="874">
        <f>C77*D77</f>
        <v/>
      </c>
      <c r="F77" s="440" t="n"/>
    </row>
    <row r="78" ht="28" customFormat="1" customHeight="1" s="441">
      <c r="A78" s="493" t="n">
        <v>5</v>
      </c>
      <c r="B78" s="484" t="inlineStr">
        <is>
          <t>FA Consultant &amp; Expediting Services</t>
        </is>
      </c>
      <c r="C78" s="492" t="n">
        <v>1</v>
      </c>
      <c r="D78" s="892" t="n">
        <v>35000</v>
      </c>
      <c r="E78" s="874">
        <f>C78*D78</f>
        <v/>
      </c>
      <c r="F78" s="458" t="inlineStr">
        <is>
          <t>Consulting/ Filing/ FA Inspection Filing &amp; Inspection Scheduling/ TCO Affidavit/ FDNY NOD</t>
        </is>
      </c>
    </row>
    <row r="79" ht="14" customFormat="1" customHeight="1" s="441">
      <c r="A79" s="493" t="n">
        <v>6</v>
      </c>
      <c r="B79" s="484" t="inlineStr">
        <is>
          <t>Fire Safety &amp; Emergency Action Plan</t>
        </is>
      </c>
      <c r="C79" s="492" t="n">
        <v>1</v>
      </c>
      <c r="D79" s="892" t="n">
        <v>21500</v>
      </c>
      <c r="E79" s="874">
        <f>C79*D79</f>
        <v/>
      </c>
      <c r="F79" s="486" t="n"/>
    </row>
    <row r="80" ht="14" customFormat="1" customHeight="1" s="441">
      <c r="A80" s="493" t="n">
        <v>7</v>
      </c>
      <c r="B80" s="438" t="inlineStr">
        <is>
          <t>Fire Protection Plan &amp; Filing with FDNY</t>
        </is>
      </c>
      <c r="C80" s="492" t="n">
        <v>1</v>
      </c>
      <c r="D80" s="892" t="n">
        <v>18500</v>
      </c>
      <c r="E80" s="874">
        <f>C80*D80</f>
        <v/>
      </c>
      <c r="F80" s="896" t="n"/>
    </row>
    <row r="81" ht="14" customFormat="1" customHeight="1" s="441">
      <c r="A81" s="497" t="n"/>
      <c r="B81" s="489" t="n"/>
      <c r="C81" s="897" t="n"/>
      <c r="D81" s="895" t="n"/>
      <c r="E81" s="874" t="n"/>
      <c r="F81" s="898" t="n"/>
    </row>
    <row r="82" ht="16" customFormat="1" customHeight="1" s="427" thickBot="1">
      <c r="A82" s="412" t="n"/>
      <c r="B82" s="478" t="inlineStr">
        <is>
          <t>Total Zoning / Permit Fees</t>
        </is>
      </c>
      <c r="C82" s="878" t="n"/>
      <c r="D82" s="879" t="n"/>
      <c r="E82" s="884">
        <f>SUM(E74:E80)</f>
        <v/>
      </c>
      <c r="F82" s="414" t="n"/>
      <c r="G82" s="428" t="n"/>
      <c r="H82" s="428" t="n"/>
      <c r="I82" s="428" t="n"/>
      <c r="J82" s="428" t="n"/>
      <c r="K82" s="428" t="n"/>
      <c r="L82" s="428" t="n"/>
      <c r="M82" s="428" t="n"/>
      <c r="N82" s="428" t="n"/>
      <c r="O82" s="428" t="n"/>
      <c r="P82" s="428" t="n"/>
      <c r="Q82" s="428" t="n"/>
      <c r="R82" s="428" t="n"/>
      <c r="S82" s="428" t="n"/>
      <c r="T82" s="428" t="n"/>
      <c r="U82" s="428" t="n"/>
      <c r="V82" s="428" t="n"/>
      <c r="W82" s="428" t="n"/>
      <c r="X82" s="428" t="n"/>
      <c r="Y82" s="428" t="n"/>
      <c r="Z82" s="428" t="n"/>
      <c r="AA82" s="428" t="n"/>
      <c r="AB82" s="428" t="n"/>
      <c r="AC82" s="428" t="n"/>
      <c r="AD82" s="428" t="n"/>
      <c r="AE82" s="428" t="n"/>
      <c r="AF82" s="428" t="n"/>
      <c r="AG82" s="428" t="n"/>
      <c r="AH82" s="428" t="n"/>
      <c r="AI82" s="428" t="n"/>
      <c r="AJ82" s="428" t="n"/>
      <c r="AK82" s="428" t="n"/>
      <c r="AL82" s="428" t="n"/>
      <c r="AM82" s="428" t="n"/>
      <c r="AN82" s="428" t="n"/>
      <c r="AO82" s="428" t="n"/>
      <c r="AP82" s="428" t="n"/>
      <c r="AQ82" s="428" t="n"/>
      <c r="AR82" s="428" t="n"/>
      <c r="AS82" s="428" t="n"/>
      <c r="AT82" s="428" t="n"/>
      <c r="AU82" s="428" t="n"/>
      <c r="AV82" s="428" t="n"/>
      <c r="AW82" s="428" t="n"/>
      <c r="AX82" s="428" t="n"/>
      <c r="AY82" s="428" t="n"/>
      <c r="AZ82" s="428" t="n"/>
      <c r="BA82" s="428" t="n"/>
      <c r="BB82" s="428" t="n"/>
      <c r="BC82" s="428" t="n"/>
      <c r="BD82" s="428" t="n"/>
      <c r="BE82" s="428" t="n"/>
      <c r="BF82" s="428" t="n"/>
      <c r="BG82" s="428" t="n"/>
      <c r="BH82" s="428" t="n"/>
      <c r="BI82" s="428" t="n"/>
      <c r="BJ82" s="428" t="n"/>
      <c r="BK82" s="428" t="n"/>
      <c r="BL82" s="428" t="n"/>
      <c r="BM82" s="428" t="n"/>
      <c r="BN82" s="428" t="n"/>
      <c r="BO82" s="428" t="n"/>
      <c r="BP82" s="428" t="n"/>
      <c r="BQ82" s="428" t="n"/>
      <c r="BR82" s="428" t="n"/>
      <c r="BS82" s="428" t="n"/>
      <c r="BT82" s="428" t="n"/>
      <c r="BU82" s="428" t="n"/>
      <c r="BV82" s="428" t="n"/>
      <c r="BW82" s="428" t="n"/>
      <c r="BX82" s="428" t="n"/>
      <c r="BY82" s="428" t="n"/>
      <c r="BZ82" s="428" t="n"/>
      <c r="CA82" s="428" t="n"/>
      <c r="CB82" s="428" t="n"/>
      <c r="CC82" s="428" t="n"/>
      <c r="CD82" s="428" t="n"/>
      <c r="CE82" s="428" t="n"/>
    </row>
    <row r="83" ht="16" customFormat="1" customHeight="1" s="411" thickBot="1">
      <c r="A83" s="409" t="n">
        <v>210</v>
      </c>
      <c r="B83" s="409" t="inlineStr">
        <is>
          <t>DESCRIPTION</t>
        </is>
      </c>
      <c r="C83" s="409" t="inlineStr">
        <is>
          <t>QTY</t>
        </is>
      </c>
      <c r="D83" s="409" t="inlineStr">
        <is>
          <t>UNIT PRICE</t>
        </is>
      </c>
      <c r="E83" s="871" t="inlineStr">
        <is>
          <t>BUDGET TOTAL</t>
        </is>
      </c>
      <c r="F83" s="409" t="inlineStr">
        <is>
          <t>NOTES</t>
        </is>
      </c>
    </row>
    <row r="84" customFormat="1" s="411">
      <c r="A84" s="494" t="n"/>
      <c r="B84" s="426" t="inlineStr">
        <is>
          <t>Utility Connection Fees</t>
        </is>
      </c>
      <c r="C84" s="881" t="n"/>
      <c r="D84" s="872" t="n"/>
      <c r="E84" s="891" t="n"/>
      <c r="F84" s="423" t="n"/>
    </row>
    <row r="85" ht="42" customFormat="1" customHeight="1" s="441">
      <c r="A85" s="493" t="n">
        <v>1</v>
      </c>
      <c r="B85" s="438" t="inlineStr">
        <is>
          <t>Electrical Service Upgrade</t>
        </is>
      </c>
      <c r="C85" s="899" t="n">
        <v>1</v>
      </c>
      <c r="D85" s="874" t="n">
        <v>50000</v>
      </c>
      <c r="E85" s="874">
        <f>C85*D85</f>
        <v/>
      </c>
      <c r="F85" s="708" t="inlineStr">
        <is>
          <t>Service upgrade required. Vault located in street, new conduit and feeders from vault into MPOE electrical room. Only Con Ed costs carried.</t>
        </is>
      </c>
    </row>
    <row r="86" ht="14" customFormat="1" customHeight="1" s="260">
      <c r="A86" s="495" t="n"/>
      <c r="B86" s="434" t="n"/>
      <c r="C86" s="893" t="n"/>
      <c r="D86" s="874" t="n"/>
      <c r="E86" s="874" t="n"/>
      <c r="F86" s="436" t="n"/>
    </row>
    <row r="87" hidden="1" ht="14" customFormat="1" customHeight="1" s="260">
      <c r="A87" s="495" t="n"/>
      <c r="B87" s="434" t="n"/>
      <c r="C87" s="893" t="n"/>
      <c r="D87" s="874" t="n"/>
      <c r="E87" s="874" t="n"/>
      <c r="F87" s="436" t="n"/>
    </row>
    <row r="88" hidden="1" ht="14" customFormat="1" customHeight="1" s="260">
      <c r="A88" s="495" t="n"/>
      <c r="B88" s="434" t="n"/>
      <c r="C88" s="893" t="n"/>
      <c r="D88" s="874" t="n"/>
      <c r="E88" s="874" t="n"/>
      <c r="F88" s="436" t="n"/>
    </row>
    <row r="89" hidden="1" ht="14" customFormat="1" customHeight="1" s="260">
      <c r="A89" s="495" t="n"/>
      <c r="B89" s="434" t="n"/>
      <c r="C89" s="893" t="n"/>
      <c r="D89" s="874" t="n"/>
      <c r="E89" s="874" t="n"/>
      <c r="F89" s="436" t="n"/>
    </row>
    <row r="90" ht="16" customFormat="1" customHeight="1" s="427" thickBot="1">
      <c r="A90" s="412" t="n"/>
      <c r="B90" s="478" t="inlineStr">
        <is>
          <t>Total Utility Connection Fees</t>
        </is>
      </c>
      <c r="C90" s="878" t="n"/>
      <c r="D90" s="879" t="n"/>
      <c r="E90" s="884">
        <f>SUM(E85:E89)</f>
        <v/>
      </c>
      <c r="F90" s="414" t="n"/>
      <c r="G90" s="428" t="n"/>
      <c r="H90" s="428" t="n"/>
      <c r="I90" s="428" t="n"/>
      <c r="J90" s="428" t="n"/>
      <c r="K90" s="428" t="n"/>
      <c r="L90" s="428" t="n"/>
      <c r="M90" s="428" t="n"/>
      <c r="N90" s="428" t="n"/>
      <c r="O90" s="428" t="n"/>
      <c r="P90" s="428" t="n"/>
      <c r="Q90" s="428" t="n"/>
      <c r="R90" s="428" t="n"/>
      <c r="S90" s="428" t="n"/>
      <c r="T90" s="428" t="n"/>
      <c r="U90" s="428" t="n"/>
      <c r="V90" s="428" t="n"/>
      <c r="W90" s="428" t="n"/>
      <c r="X90" s="428" t="n"/>
      <c r="Y90" s="428" t="n"/>
      <c r="Z90" s="428" t="n"/>
      <c r="AA90" s="428" t="n"/>
      <c r="AB90" s="428" t="n"/>
      <c r="AC90" s="428" t="n"/>
      <c r="AD90" s="428" t="n"/>
      <c r="AE90" s="428" t="n"/>
      <c r="AF90" s="428" t="n"/>
      <c r="AG90" s="428" t="n"/>
      <c r="AH90" s="428" t="n"/>
      <c r="AI90" s="428" t="n"/>
      <c r="AJ90" s="428" t="n"/>
      <c r="AK90" s="428" t="n"/>
      <c r="AL90" s="428" t="n"/>
      <c r="AM90" s="428" t="n"/>
      <c r="AN90" s="428" t="n"/>
      <c r="AO90" s="428" t="n"/>
      <c r="AP90" s="428" t="n"/>
      <c r="AQ90" s="428" t="n"/>
      <c r="AR90" s="428" t="n"/>
      <c r="AS90" s="428" t="n"/>
      <c r="AT90" s="428" t="n"/>
      <c r="AU90" s="428" t="n"/>
      <c r="AV90" s="428" t="n"/>
      <c r="AW90" s="428" t="n"/>
      <c r="AX90" s="428" t="n"/>
      <c r="AY90" s="428" t="n"/>
      <c r="AZ90" s="428" t="n"/>
      <c r="BA90" s="428" t="n"/>
      <c r="BB90" s="428" t="n"/>
      <c r="BC90" s="428" t="n"/>
      <c r="BD90" s="428" t="n"/>
      <c r="BE90" s="428" t="n"/>
      <c r="BF90" s="428" t="n"/>
      <c r="BG90" s="428" t="n"/>
      <c r="BH90" s="428" t="n"/>
      <c r="BI90" s="428" t="n"/>
      <c r="BJ90" s="428" t="n"/>
      <c r="BK90" s="428" t="n"/>
      <c r="BL90" s="428" t="n"/>
      <c r="BM90" s="428" t="n"/>
      <c r="BN90" s="428" t="n"/>
      <c r="BO90" s="428" t="n"/>
      <c r="BP90" s="428" t="n"/>
      <c r="BQ90" s="428" t="n"/>
      <c r="BR90" s="428" t="n"/>
      <c r="BS90" s="428" t="n"/>
      <c r="BT90" s="428" t="n"/>
      <c r="BU90" s="428" t="n"/>
      <c r="BV90" s="428" t="n"/>
      <c r="BW90" s="428" t="n"/>
      <c r="BX90" s="428" t="n"/>
      <c r="BY90" s="428" t="n"/>
      <c r="BZ90" s="428" t="n"/>
      <c r="CA90" s="428" t="n"/>
      <c r="CB90" s="428" t="n"/>
      <c r="CC90" s="428" t="n"/>
      <c r="CD90" s="428" t="n"/>
      <c r="CE90" s="428" t="n"/>
    </row>
    <row r="91" ht="16" customFormat="1" customHeight="1" s="411" thickBot="1">
      <c r="A91" s="409" t="n">
        <v>211</v>
      </c>
      <c r="B91" s="409" t="inlineStr">
        <is>
          <t>DESCRIPTION</t>
        </is>
      </c>
      <c r="C91" s="409" t="inlineStr">
        <is>
          <t>QTY</t>
        </is>
      </c>
      <c r="D91" s="409" t="inlineStr">
        <is>
          <t>UNIT PRICE</t>
        </is>
      </c>
      <c r="E91" s="871" t="inlineStr">
        <is>
          <t>BUDGET TOTAL</t>
        </is>
      </c>
      <c r="F91" s="409" t="inlineStr">
        <is>
          <t>NOTES</t>
        </is>
      </c>
    </row>
    <row r="92" customFormat="1" s="411">
      <c r="A92" s="494" t="n"/>
      <c r="B92" s="426" t="inlineStr">
        <is>
          <t>Attorney Fees</t>
        </is>
      </c>
      <c r="C92" s="881" t="n"/>
      <c r="D92" s="872" t="n"/>
      <c r="E92" s="872" t="n"/>
      <c r="F92" s="423" t="n"/>
    </row>
    <row r="93" ht="36" customFormat="1" customHeight="1" s="260">
      <c r="A93" s="495" t="n">
        <v>1</v>
      </c>
      <c r="B93" s="434" t="inlineStr">
        <is>
          <t>SLA Legal Fees carried in Feasibility DD</t>
        </is>
      </c>
      <c r="C93" s="893" t="n">
        <v>0</v>
      </c>
      <c r="D93" s="874" t="n">
        <v>0</v>
      </c>
      <c r="E93" s="876">
        <f>C93*D93</f>
        <v/>
      </c>
      <c r="F93" s="436" t="n"/>
      <c r="G93" s="808" t="inlineStr">
        <is>
          <t>Attorney fees $0. Is the SLA application, the cabaret question and the theater use-classification filing genuinely inside the $342,000 already spent? On a comparable project the liquor licence was approved at zero and came in at $250,000. We carry $250,000.</t>
        </is>
      </c>
    </row>
    <row r="94" ht="14" customFormat="1" customHeight="1" s="260">
      <c r="A94" s="495" t="n"/>
      <c r="B94" s="434" t="n"/>
      <c r="C94" s="893" t="n"/>
      <c r="D94" s="874" t="n"/>
      <c r="E94" s="874" t="n"/>
      <c r="F94" s="436" t="n"/>
    </row>
    <row r="95" hidden="1" ht="14" customFormat="1" customHeight="1" s="260">
      <c r="A95" s="495" t="n"/>
      <c r="B95" s="434" t="n"/>
      <c r="C95" s="893" t="n"/>
      <c r="D95" s="874" t="n"/>
      <c r="E95" s="874" t="n"/>
      <c r="F95" s="436" t="n"/>
    </row>
    <row r="96" hidden="1" ht="14" customFormat="1" customHeight="1" s="260">
      <c r="A96" s="495" t="n"/>
      <c r="B96" s="434" t="n"/>
      <c r="C96" s="893" t="n"/>
      <c r="D96" s="874" t="n"/>
      <c r="E96" s="874" t="n"/>
      <c r="F96" s="436" t="n"/>
    </row>
    <row r="97" hidden="1" ht="14" customFormat="1" customHeight="1" s="260">
      <c r="A97" s="495" t="n"/>
      <c r="B97" s="434" t="n"/>
      <c r="C97" s="893" t="n"/>
      <c r="D97" s="874" t="n"/>
      <c r="E97" s="874" t="n"/>
      <c r="F97" s="436" t="n"/>
    </row>
    <row r="98" ht="16" customFormat="1" customHeight="1" s="427" thickBot="1">
      <c r="A98" s="412" t="n"/>
      <c r="B98" s="478" t="inlineStr">
        <is>
          <t>Total Attorney Fees</t>
        </is>
      </c>
      <c r="C98" s="878" t="n"/>
      <c r="D98" s="879" t="n"/>
      <c r="E98" s="884">
        <f>SUM(E93:E97)</f>
        <v/>
      </c>
      <c r="F98" s="414" t="n"/>
      <c r="G98" s="428" t="n"/>
      <c r="H98" s="428" t="n"/>
      <c r="I98" s="428" t="n"/>
      <c r="J98" s="428" t="n"/>
      <c r="K98" s="428" t="n"/>
      <c r="L98" s="428" t="n"/>
      <c r="M98" s="428" t="n"/>
      <c r="N98" s="428" t="n"/>
      <c r="O98" s="428" t="n"/>
      <c r="P98" s="428" t="n"/>
      <c r="Q98" s="428" t="n"/>
      <c r="R98" s="428" t="n"/>
      <c r="S98" s="428" t="n"/>
      <c r="T98" s="428" t="n"/>
      <c r="U98" s="428" t="n"/>
      <c r="V98" s="428" t="n"/>
      <c r="W98" s="428" t="n"/>
      <c r="X98" s="428" t="n"/>
      <c r="Y98" s="428" t="n"/>
      <c r="Z98" s="428" t="n"/>
      <c r="AA98" s="428" t="n"/>
      <c r="AB98" s="428" t="n"/>
      <c r="AC98" s="428" t="n"/>
      <c r="AD98" s="428" t="n"/>
      <c r="AE98" s="428" t="n"/>
      <c r="AF98" s="428" t="n"/>
      <c r="AG98" s="428" t="n"/>
      <c r="AH98" s="428" t="n"/>
      <c r="AI98" s="428" t="n"/>
      <c r="AJ98" s="428" t="n"/>
      <c r="AK98" s="428" t="n"/>
      <c r="AL98" s="428" t="n"/>
      <c r="AM98" s="428" t="n"/>
      <c r="AN98" s="428" t="n"/>
      <c r="AO98" s="428" t="n"/>
      <c r="AP98" s="428" t="n"/>
      <c r="AQ98" s="428" t="n"/>
      <c r="AR98" s="428" t="n"/>
      <c r="AS98" s="428" t="n"/>
      <c r="AT98" s="428" t="n"/>
      <c r="AU98" s="428" t="n"/>
      <c r="AV98" s="428" t="n"/>
      <c r="AW98" s="428" t="n"/>
      <c r="AX98" s="428" t="n"/>
      <c r="AY98" s="428" t="n"/>
      <c r="AZ98" s="428" t="n"/>
      <c r="BA98" s="428" t="n"/>
      <c r="BB98" s="428" t="n"/>
      <c r="BC98" s="428" t="n"/>
      <c r="BD98" s="428" t="n"/>
      <c r="BE98" s="428" t="n"/>
      <c r="BF98" s="428" t="n"/>
      <c r="BG98" s="428" t="n"/>
      <c r="BH98" s="428" t="n"/>
      <c r="BI98" s="428" t="n"/>
      <c r="BJ98" s="428" t="n"/>
      <c r="BK98" s="428" t="n"/>
      <c r="BL98" s="428" t="n"/>
      <c r="BM98" s="428" t="n"/>
      <c r="BN98" s="428" t="n"/>
      <c r="BO98" s="428" t="n"/>
      <c r="BP98" s="428" t="n"/>
      <c r="BQ98" s="428" t="n"/>
      <c r="BR98" s="428" t="n"/>
      <c r="BS98" s="428" t="n"/>
      <c r="BT98" s="428" t="n"/>
      <c r="BU98" s="428" t="n"/>
      <c r="BV98" s="428" t="n"/>
      <c r="BW98" s="428" t="n"/>
      <c r="BX98" s="428" t="n"/>
      <c r="BY98" s="428" t="n"/>
      <c r="BZ98" s="428" t="n"/>
      <c r="CA98" s="428" t="n"/>
      <c r="CB98" s="428" t="n"/>
      <c r="CC98" s="428" t="n"/>
      <c r="CD98" s="428" t="n"/>
      <c r="CE98" s="428" t="n"/>
    </row>
    <row r="99" ht="16" customFormat="1" customHeight="1" s="411" thickBot="1">
      <c r="A99" s="409" t="n">
        <v>212</v>
      </c>
      <c r="B99" s="409" t="inlineStr">
        <is>
          <t>DESCRIPTION</t>
        </is>
      </c>
      <c r="C99" s="409" t="inlineStr">
        <is>
          <t>QTY</t>
        </is>
      </c>
      <c r="D99" s="409" t="inlineStr">
        <is>
          <t>UNIT PRICE</t>
        </is>
      </c>
      <c r="E99" s="871" t="inlineStr">
        <is>
          <t>BUDGET TOTAL</t>
        </is>
      </c>
      <c r="F99" s="409" t="inlineStr">
        <is>
          <t>NOTES</t>
        </is>
      </c>
    </row>
    <row r="100" customFormat="1" s="411">
      <c r="A100" s="494" t="n"/>
      <c r="B100" s="426" t="inlineStr">
        <is>
          <t>Testing / Quality Control</t>
        </is>
      </c>
      <c r="C100" s="881" t="n"/>
      <c r="D100" s="872" t="n"/>
      <c r="E100" s="872" t="n"/>
      <c r="F100" s="423" t="n"/>
    </row>
    <row r="101" ht="24" customFormat="1" customHeight="1" s="260">
      <c r="A101" s="495" t="n">
        <v>1</v>
      </c>
      <c r="B101" s="434" t="inlineStr">
        <is>
          <t>Controlled inspections</t>
        </is>
      </c>
      <c r="C101" s="893" t="n">
        <v>1</v>
      </c>
      <c r="D101" s="874" t="n">
        <v>50000</v>
      </c>
      <c r="E101" s="886">
        <f>C101*D101</f>
        <v/>
      </c>
      <c r="F101" s="436" t="n"/>
      <c r="G101" s="808" t="inlineStr">
        <is>
          <t>$50,000 on a job with new structural steel, welding, fireproofing, sprinklers and a new 8,000A service. We carry $140,000. Does this cover NYC special inspections?</t>
        </is>
      </c>
    </row>
    <row r="102" ht="14" customFormat="1" customHeight="1" s="260">
      <c r="A102" s="495" t="n">
        <v>2</v>
      </c>
      <c r="B102" s="434" t="n"/>
      <c r="C102" s="893" t="n"/>
      <c r="D102" s="874" t="n"/>
      <c r="E102" s="874" t="n"/>
      <c r="F102" s="436" t="n"/>
    </row>
    <row r="103" ht="16" customFormat="1" customHeight="1" s="427" thickBot="1">
      <c r="A103" s="412" t="n"/>
      <c r="B103" s="478" t="inlineStr">
        <is>
          <t>Total Testing / Quality Control</t>
        </is>
      </c>
      <c r="C103" s="878" t="n"/>
      <c r="D103" s="879" t="n"/>
      <c r="E103" s="880">
        <f>SUM(E101:E102)</f>
        <v/>
      </c>
      <c r="F103" s="414" t="n"/>
      <c r="G103" s="428" t="n"/>
      <c r="H103" s="428" t="n"/>
      <c r="I103" s="428" t="n"/>
      <c r="J103" s="428" t="n"/>
      <c r="K103" s="428" t="n"/>
      <c r="L103" s="428" t="n"/>
      <c r="M103" s="428" t="n"/>
      <c r="N103" s="428" t="n"/>
      <c r="O103" s="428" t="n"/>
      <c r="P103" s="428" t="n"/>
      <c r="Q103" s="428" t="n"/>
      <c r="R103" s="428" t="n"/>
      <c r="S103" s="428" t="n"/>
      <c r="T103" s="428" t="n"/>
      <c r="U103" s="428" t="n"/>
      <c r="V103" s="428" t="n"/>
      <c r="W103" s="428" t="n"/>
      <c r="X103" s="428" t="n"/>
      <c r="Y103" s="428" t="n"/>
      <c r="Z103" s="428" t="n"/>
      <c r="AA103" s="428" t="n"/>
      <c r="AB103" s="428" t="n"/>
      <c r="AC103" s="428" t="n"/>
      <c r="AD103" s="428" t="n"/>
      <c r="AE103" s="428" t="n"/>
      <c r="AF103" s="428" t="n"/>
      <c r="AG103" s="428" t="n"/>
      <c r="AH103" s="428" t="n"/>
      <c r="AI103" s="428" t="n"/>
      <c r="AJ103" s="428" t="n"/>
      <c r="AK103" s="428" t="n"/>
      <c r="AL103" s="428" t="n"/>
      <c r="AM103" s="428" t="n"/>
      <c r="AN103" s="428" t="n"/>
      <c r="AO103" s="428" t="n"/>
      <c r="AP103" s="428" t="n"/>
      <c r="AQ103" s="428" t="n"/>
      <c r="AR103" s="428" t="n"/>
      <c r="AS103" s="428" t="n"/>
      <c r="AT103" s="428" t="n"/>
      <c r="AU103" s="428" t="n"/>
      <c r="AV103" s="428" t="n"/>
      <c r="AW103" s="428" t="n"/>
      <c r="AX103" s="428" t="n"/>
      <c r="AY103" s="428" t="n"/>
      <c r="AZ103" s="428" t="n"/>
      <c r="BA103" s="428" t="n"/>
      <c r="BB103" s="428" t="n"/>
      <c r="BC103" s="428" t="n"/>
      <c r="BD103" s="428" t="n"/>
      <c r="BE103" s="428" t="n"/>
      <c r="BF103" s="428" t="n"/>
      <c r="BG103" s="428" t="n"/>
      <c r="BH103" s="428" t="n"/>
      <c r="BI103" s="428" t="n"/>
      <c r="BJ103" s="428" t="n"/>
      <c r="BK103" s="428" t="n"/>
      <c r="BL103" s="428" t="n"/>
      <c r="BM103" s="428" t="n"/>
      <c r="BN103" s="428" t="n"/>
      <c r="BO103" s="428" t="n"/>
      <c r="BP103" s="428" t="n"/>
      <c r="BQ103" s="428" t="n"/>
      <c r="BR103" s="428" t="n"/>
      <c r="BS103" s="428" t="n"/>
      <c r="BT103" s="428" t="n"/>
      <c r="BU103" s="428" t="n"/>
      <c r="BV103" s="428" t="n"/>
      <c r="BW103" s="428" t="n"/>
      <c r="BX103" s="428" t="n"/>
      <c r="BY103" s="428" t="n"/>
      <c r="BZ103" s="428" t="n"/>
      <c r="CA103" s="428" t="n"/>
      <c r="CB103" s="428" t="n"/>
      <c r="CC103" s="428" t="n"/>
      <c r="CD103" s="428" t="n"/>
      <c r="CE103" s="428" t="n"/>
    </row>
    <row r="104" ht="16" customFormat="1" customHeight="1" s="411" thickBot="1">
      <c r="A104" s="409" t="n">
        <v>213</v>
      </c>
      <c r="B104" s="409" t="inlineStr">
        <is>
          <t>DESCRIPTION</t>
        </is>
      </c>
      <c r="C104" s="409" t="inlineStr">
        <is>
          <t>QTY</t>
        </is>
      </c>
      <c r="D104" s="409" t="inlineStr">
        <is>
          <t>UNIT PRICE</t>
        </is>
      </c>
      <c r="E104" s="871" t="inlineStr">
        <is>
          <t>BUDGET TOTAL</t>
        </is>
      </c>
      <c r="F104" s="409" t="inlineStr">
        <is>
          <t>NOTES</t>
        </is>
      </c>
    </row>
    <row r="105" ht="24" customFormat="1" customHeight="1" s="411">
      <c r="A105" s="494" t="n"/>
      <c r="B105" s="426" t="inlineStr">
        <is>
          <t>Project Management</t>
        </is>
      </c>
      <c r="C105" s="881" t="n"/>
      <c r="D105" s="872" t="n"/>
      <c r="E105" s="900" t="n"/>
      <c r="F105" s="423" t="n"/>
      <c r="G105" s="808" t="inlineStr">
        <is>
          <t>Same $500,000 in our budget - no question on the number. Only the '(Live Nation)' label on the summary sheet; this is our team.</t>
        </is>
      </c>
    </row>
    <row r="106" ht="14" customFormat="1" customHeight="1" s="260">
      <c r="A106" s="495" t="n">
        <v>1</v>
      </c>
      <c r="B106" s="434" t="inlineStr">
        <is>
          <t>Project Management</t>
        </is>
      </c>
      <c r="C106" s="893" t="n">
        <v>1</v>
      </c>
      <c r="D106" s="874" t="n">
        <v>500000</v>
      </c>
      <c r="E106" s="874">
        <f>C106*D106</f>
        <v/>
      </c>
      <c r="F106" s="459" t="n"/>
    </row>
    <row r="107" ht="14" customFormat="1" customHeight="1" s="260">
      <c r="A107" s="495">
        <f>A106+1</f>
        <v/>
      </c>
      <c r="B107" s="434" t="inlineStr">
        <is>
          <t>Estimating Services</t>
        </is>
      </c>
      <c r="C107" s="901" t="n">
        <v>1</v>
      </c>
      <c r="D107" s="892" t="n">
        <v>20000</v>
      </c>
      <c r="E107" s="874">
        <f>C107*D107</f>
        <v/>
      </c>
      <c r="F107" s="460" t="n"/>
    </row>
    <row r="108" ht="14" customFormat="1" customHeight="1" s="260">
      <c r="A108" s="495">
        <f>A107+1</f>
        <v/>
      </c>
      <c r="B108" s="434" t="n"/>
      <c r="C108" s="901" t="n"/>
      <c r="D108" s="892" t="n">
        <v>0</v>
      </c>
      <c r="E108" s="874">
        <f>C108*D108</f>
        <v/>
      </c>
      <c r="F108" s="888" t="n"/>
    </row>
    <row r="109" ht="16" customFormat="1" customHeight="1" s="427" thickBot="1">
      <c r="A109" s="412" t="n"/>
      <c r="B109" s="478" t="inlineStr">
        <is>
          <t>Total Miscellaneous</t>
        </is>
      </c>
      <c r="C109" s="878" t="n"/>
      <c r="D109" s="879" t="n"/>
      <c r="E109" s="880">
        <f>SUM(E106:E108)</f>
        <v/>
      </c>
      <c r="F109" s="414" t="n"/>
      <c r="G109" s="428" t="n"/>
      <c r="H109" s="428" t="n"/>
      <c r="I109" s="428" t="n"/>
      <c r="J109" s="428" t="n"/>
      <c r="K109" s="428" t="n"/>
      <c r="L109" s="428" t="n"/>
      <c r="M109" s="428" t="n"/>
      <c r="N109" s="428" t="n"/>
      <c r="O109" s="428" t="n"/>
      <c r="P109" s="428" t="n"/>
      <c r="Q109" s="428" t="n"/>
      <c r="R109" s="428" t="n"/>
      <c r="S109" s="428" t="n"/>
      <c r="T109" s="428" t="n"/>
      <c r="U109" s="428" t="n"/>
      <c r="V109" s="428" t="n"/>
      <c r="W109" s="428" t="n"/>
      <c r="X109" s="428" t="n"/>
      <c r="Y109" s="428" t="n"/>
      <c r="Z109" s="428" t="n"/>
      <c r="AA109" s="428" t="n"/>
      <c r="AB109" s="428" t="n"/>
      <c r="AC109" s="428" t="n"/>
      <c r="AD109" s="428" t="n"/>
      <c r="AE109" s="428" t="n"/>
      <c r="AF109" s="428" t="n"/>
      <c r="AG109" s="428" t="n"/>
      <c r="AH109" s="428" t="n"/>
      <c r="AI109" s="428" t="n"/>
      <c r="AJ109" s="428" t="n"/>
      <c r="AK109" s="428" t="n"/>
      <c r="AL109" s="428" t="n"/>
      <c r="AM109" s="428" t="n"/>
      <c r="AN109" s="428" t="n"/>
      <c r="AO109" s="428" t="n"/>
      <c r="AP109" s="428" t="n"/>
      <c r="AQ109" s="428" t="n"/>
      <c r="AR109" s="428" t="n"/>
      <c r="AS109" s="428" t="n"/>
      <c r="AT109" s="428" t="n"/>
      <c r="AU109" s="428" t="n"/>
      <c r="AV109" s="428" t="n"/>
      <c r="AW109" s="428" t="n"/>
      <c r="AX109" s="428" t="n"/>
      <c r="AY109" s="428" t="n"/>
      <c r="AZ109" s="428" t="n"/>
      <c r="BA109" s="428" t="n"/>
      <c r="BB109" s="428" t="n"/>
      <c r="BC109" s="428" t="n"/>
      <c r="BD109" s="428" t="n"/>
      <c r="BE109" s="428" t="n"/>
      <c r="BF109" s="428" t="n"/>
      <c r="BG109" s="428" t="n"/>
      <c r="BH109" s="428" t="n"/>
      <c r="BI109" s="428" t="n"/>
      <c r="BJ109" s="428" t="n"/>
      <c r="BK109" s="428" t="n"/>
      <c r="BL109" s="428" t="n"/>
      <c r="BM109" s="428" t="n"/>
      <c r="BN109" s="428" t="n"/>
      <c r="BO109" s="428" t="n"/>
      <c r="BP109" s="428" t="n"/>
      <c r="BQ109" s="428" t="n"/>
      <c r="BR109" s="428" t="n"/>
      <c r="BS109" s="428" t="n"/>
      <c r="BT109" s="428" t="n"/>
      <c r="BU109" s="428" t="n"/>
      <c r="BV109" s="428" t="n"/>
      <c r="BW109" s="428" t="n"/>
      <c r="BX109" s="428" t="n"/>
      <c r="BY109" s="428" t="n"/>
      <c r="BZ109" s="428" t="n"/>
      <c r="CA109" s="428" t="n"/>
      <c r="CB109" s="428" t="n"/>
      <c r="CC109" s="428" t="n"/>
      <c r="CD109" s="428" t="n"/>
      <c r="CE109" s="428" t="n"/>
    </row>
    <row r="110" ht="16" customFormat="1" customHeight="1" s="411" thickBot="1">
      <c r="A110" s="409" t="n">
        <v>214</v>
      </c>
      <c r="B110" s="409" t="inlineStr">
        <is>
          <t>DESCRIPTION</t>
        </is>
      </c>
      <c r="C110" s="409" t="inlineStr">
        <is>
          <t>QTY</t>
        </is>
      </c>
      <c r="D110" s="409" t="inlineStr">
        <is>
          <t>UNIT PRICE</t>
        </is>
      </c>
      <c r="E110" s="871" t="inlineStr">
        <is>
          <t>BUDGET TOTAL</t>
        </is>
      </c>
      <c r="F110" s="409" t="inlineStr">
        <is>
          <t>NOTES</t>
        </is>
      </c>
    </row>
    <row r="111" customFormat="1" s="411">
      <c r="A111" s="494" t="n"/>
      <c r="B111" s="426" t="inlineStr">
        <is>
          <t>Reimbursable Expenses</t>
        </is>
      </c>
      <c r="C111" s="881" t="n"/>
      <c r="D111" s="872" t="n"/>
      <c r="E111" s="872" t="n"/>
      <c r="F111" s="423" t="n"/>
    </row>
    <row r="112" ht="14" customFormat="1" customHeight="1" s="260">
      <c r="A112" s="495" t="n">
        <v>1</v>
      </c>
      <c r="B112" s="434" t="n"/>
      <c r="C112" s="893" t="n">
        <v>0</v>
      </c>
      <c r="D112" s="874" t="n">
        <v>0</v>
      </c>
      <c r="E112" s="874">
        <f>C112*D112</f>
        <v/>
      </c>
      <c r="F112" s="459" t="n"/>
    </row>
    <row r="113" ht="14" customFormat="1" customHeight="1" s="260">
      <c r="A113" s="495" t="n"/>
      <c r="B113" s="434" t="n"/>
      <c r="C113" s="901" t="n"/>
      <c r="D113" s="892" t="n"/>
      <c r="E113" s="874" t="n"/>
      <c r="F113" s="460" t="n"/>
    </row>
    <row r="114" hidden="1" ht="14" customFormat="1" customHeight="1" s="260">
      <c r="A114" s="495">
        <f>A113+1</f>
        <v/>
      </c>
      <c r="B114" s="434" t="n"/>
      <c r="C114" s="901" t="n"/>
      <c r="D114" s="892" t="n">
        <v>0</v>
      </c>
      <c r="E114" s="874">
        <f>C114*D114</f>
        <v/>
      </c>
      <c r="F114" s="888" t="n"/>
    </row>
    <row r="115" hidden="1" ht="14" customFormat="1" customHeight="1" s="260">
      <c r="A115" s="495" t="n">
        <v>4</v>
      </c>
      <c r="B115" s="434" t="n"/>
      <c r="C115" s="893" t="n"/>
      <c r="D115" s="874" t="n">
        <v>0</v>
      </c>
      <c r="E115" s="874">
        <f>C115*D115</f>
        <v/>
      </c>
      <c r="F115" s="436" t="n"/>
    </row>
    <row r="116" hidden="1" ht="14" customFormat="1" customHeight="1" s="260">
      <c r="A116" s="495">
        <f>A115+1</f>
        <v/>
      </c>
      <c r="B116" s="434" t="n"/>
      <c r="C116" s="893" t="n"/>
      <c r="D116" s="874" t="n">
        <v>0</v>
      </c>
      <c r="E116" s="874">
        <f>C116*D116</f>
        <v/>
      </c>
      <c r="F116" s="436" t="n"/>
    </row>
    <row r="117" hidden="1" ht="14" customFormat="1" customHeight="1" s="260">
      <c r="A117" s="495">
        <f>A116+1</f>
        <v/>
      </c>
      <c r="B117" s="434" t="n"/>
      <c r="C117" s="893" t="n"/>
      <c r="D117" s="874" t="n">
        <v>0</v>
      </c>
      <c r="E117" s="874">
        <f>C117*D117</f>
        <v/>
      </c>
      <c r="F117" s="436" t="n"/>
    </row>
    <row r="118" ht="16" customFormat="1" customHeight="1" s="427" thickBot="1">
      <c r="A118" s="412" t="n"/>
      <c r="B118" s="478" t="inlineStr">
        <is>
          <t>Total Reimbursable Expenses</t>
        </is>
      </c>
      <c r="C118" s="878" t="n"/>
      <c r="D118" s="879" t="n"/>
      <c r="E118" s="880">
        <f>SUM(E112:E117)</f>
        <v/>
      </c>
      <c r="F118" s="414" t="n"/>
      <c r="G118" s="428" t="n"/>
      <c r="H118" s="428" t="n"/>
      <c r="I118" s="428" t="n"/>
      <c r="J118" s="428" t="n"/>
      <c r="K118" s="428" t="n"/>
      <c r="L118" s="428" t="n"/>
      <c r="M118" s="428" t="n"/>
      <c r="N118" s="428" t="n"/>
      <c r="O118" s="428" t="n"/>
      <c r="P118" s="428" t="n"/>
      <c r="Q118" s="428" t="n"/>
      <c r="R118" s="428" t="n"/>
      <c r="S118" s="428" t="n"/>
      <c r="T118" s="428" t="n"/>
      <c r="U118" s="428" t="n"/>
      <c r="V118" s="428" t="n"/>
      <c r="W118" s="428" t="n"/>
      <c r="X118" s="428" t="n"/>
      <c r="Y118" s="428" t="n"/>
      <c r="Z118" s="428" t="n"/>
      <c r="AA118" s="428" t="n"/>
      <c r="AB118" s="428" t="n"/>
      <c r="AC118" s="428" t="n"/>
      <c r="AD118" s="428" t="n"/>
      <c r="AE118" s="428" t="n"/>
      <c r="AF118" s="428" t="n"/>
      <c r="AG118" s="428" t="n"/>
      <c r="AH118" s="428" t="n"/>
      <c r="AI118" s="428" t="n"/>
      <c r="AJ118" s="428" t="n"/>
      <c r="AK118" s="428" t="n"/>
      <c r="AL118" s="428" t="n"/>
      <c r="AM118" s="428" t="n"/>
      <c r="AN118" s="428" t="n"/>
      <c r="AO118" s="428" t="n"/>
      <c r="AP118" s="428" t="n"/>
      <c r="AQ118" s="428" t="n"/>
      <c r="AR118" s="428" t="n"/>
      <c r="AS118" s="428" t="n"/>
      <c r="AT118" s="428" t="n"/>
      <c r="AU118" s="428" t="n"/>
      <c r="AV118" s="428" t="n"/>
      <c r="AW118" s="428" t="n"/>
      <c r="AX118" s="428" t="n"/>
      <c r="AY118" s="428" t="n"/>
      <c r="AZ118" s="428" t="n"/>
      <c r="BA118" s="428" t="n"/>
      <c r="BB118" s="428" t="n"/>
      <c r="BC118" s="428" t="n"/>
      <c r="BD118" s="428" t="n"/>
      <c r="BE118" s="428" t="n"/>
      <c r="BF118" s="428" t="n"/>
      <c r="BG118" s="428" t="n"/>
      <c r="BH118" s="428" t="n"/>
      <c r="BI118" s="428" t="n"/>
      <c r="BJ118" s="428" t="n"/>
      <c r="BK118" s="428" t="n"/>
      <c r="BL118" s="428" t="n"/>
      <c r="BM118" s="428" t="n"/>
      <c r="BN118" s="428" t="n"/>
      <c r="BO118" s="428" t="n"/>
      <c r="BP118" s="428" t="n"/>
      <c r="BQ118" s="428" t="n"/>
      <c r="BR118" s="428" t="n"/>
      <c r="BS118" s="428" t="n"/>
      <c r="BT118" s="428" t="n"/>
      <c r="BU118" s="428" t="n"/>
      <c r="BV118" s="428" t="n"/>
      <c r="BW118" s="428" t="n"/>
      <c r="BX118" s="428" t="n"/>
      <c r="BY118" s="428" t="n"/>
      <c r="BZ118" s="428" t="n"/>
      <c r="CA118" s="428" t="n"/>
      <c r="CB118" s="428" t="n"/>
      <c r="CC118" s="428" t="n"/>
      <c r="CD118" s="428" t="n"/>
      <c r="CE118" s="428" t="n"/>
    </row>
    <row r="119" ht="5.25" customFormat="1" customHeight="1" s="1" thickBot="1">
      <c r="A119" s="381" t="n"/>
      <c r="B119" s="382" t="n"/>
      <c r="C119" s="902" t="n"/>
      <c r="D119" s="903" t="n"/>
      <c r="E119" s="904" t="n"/>
      <c r="F119" s="386" t="n"/>
    </row>
    <row r="120" ht="17" customFormat="1" customHeight="1" s="433" thickBot="1">
      <c r="A120" s="498" t="n"/>
      <c r="B120" s="429" t="inlineStr">
        <is>
          <t>TOTAL SOFT COSTS</t>
        </is>
      </c>
      <c r="C120" s="905" t="n"/>
      <c r="D120" s="906" t="n"/>
      <c r="E120" s="432">
        <f>E109+E103+E98+E90+E82+E71+E66+E58+E51+E43+E38+E21+E16+E118</f>
        <v/>
      </c>
      <c r="F120" s="906" t="n"/>
    </row>
    <row r="121" ht="11.25" customFormat="1" customHeight="1" s="1">
      <c r="A121" s="2" t="n"/>
    </row>
    <row r="122" ht="11.25" customFormat="1" customHeight="1" s="1">
      <c r="A122" s="2" t="n"/>
    </row>
    <row r="123" ht="11.25" customFormat="1" customHeight="1" s="1" thickBot="1">
      <c r="A123" s="2" t="n"/>
    </row>
    <row r="124" ht="18" customFormat="1" customHeight="1" s="433" thickBot="1">
      <c r="A124" s="503" t="n">
        <v>300</v>
      </c>
      <c r="B124" s="405" t="inlineStr">
        <is>
          <t>FF&amp;E COSTS</t>
        </is>
      </c>
      <c r="C124" s="406" t="n"/>
      <c r="D124" s="406" t="n"/>
      <c r="E124" s="406" t="n"/>
      <c r="F124" s="406" t="n"/>
      <c r="G124" s="504" t="n"/>
    </row>
    <row r="125" ht="14" customFormat="1" customHeight="1" s="377" thickBot="1">
      <c r="A125" s="525" t="inlineStr">
        <is>
          <t>SEATING &amp; FURNITURE</t>
        </is>
      </c>
      <c r="B125" s="388" t="n"/>
      <c r="C125" s="388" t="n"/>
      <c r="D125" s="388" t="n"/>
      <c r="E125" s="388" t="n"/>
      <c r="F125" s="388" t="n"/>
      <c r="G125" s="389" t="n"/>
    </row>
    <row r="126" ht="14" customFormat="1" customHeight="1" s="506" thickBot="1">
      <c r="A126" s="530" t="n">
        <v>301</v>
      </c>
      <c r="B126" s="530" t="inlineStr">
        <is>
          <t>DESCRIPTION</t>
        </is>
      </c>
      <c r="C126" s="530" t="inlineStr">
        <is>
          <t>QTY</t>
        </is>
      </c>
      <c r="D126" s="530" t="inlineStr">
        <is>
          <t>UNIT PRICE</t>
        </is>
      </c>
      <c r="E126" s="530" t="inlineStr">
        <is>
          <t>BUDGET TOTAL</t>
        </is>
      </c>
      <c r="F126" s="530" t="inlineStr">
        <is>
          <t>VENDOR</t>
        </is>
      </c>
      <c r="G126" s="530" t="inlineStr">
        <is>
          <t>NOTES</t>
        </is>
      </c>
    </row>
    <row r="127" ht="13" customFormat="1" customHeight="1" s="511">
      <c r="A127" s="507" t="n"/>
      <c r="B127" s="508" t="inlineStr">
        <is>
          <t>Seating and Accessories</t>
        </is>
      </c>
      <c r="C127" s="509" t="n"/>
      <c r="D127" s="907" t="n"/>
      <c r="E127" s="510" t="n"/>
      <c r="F127" s="907" t="n"/>
      <c r="G127" s="485" t="n"/>
    </row>
    <row r="128" ht="36" customFormat="1" customHeight="1" s="511">
      <c r="A128" s="493">
        <f>A127+1</f>
        <v/>
      </c>
      <c r="B128" s="438" t="inlineStr">
        <is>
          <t>Theater Ground Floor GA Cushioned Folding Chairs</t>
        </is>
      </c>
      <c r="C128" s="521" t="n">
        <v>3714</v>
      </c>
      <c r="D128" s="908" t="n">
        <v>125</v>
      </c>
      <c r="E128" s="909">
        <f>D128*C128</f>
        <v/>
      </c>
      <c r="F128" s="896" t="n"/>
      <c r="G128" s="910" t="inlineStr">
        <is>
          <t>3,714 @ $125 = $464,250, plus 657 box chairs @ $300 below. HOLDING - seat count is a licensing determination (theater classification drives the liquor licence) and counsel has not ruled. Not a pricing disagreement. We carry 720 removable @ $25.</t>
        </is>
      </c>
    </row>
    <row r="129" ht="13" customFormat="1" customHeight="1" s="511">
      <c r="A129" s="493">
        <f>A128+1</f>
        <v/>
      </c>
      <c r="B129" s="438" t="inlineStr">
        <is>
          <t>Mezzanine Level Box Chairs</t>
        </is>
      </c>
      <c r="C129" s="521" t="n">
        <v>657</v>
      </c>
      <c r="D129" s="908" t="n">
        <v>300</v>
      </c>
      <c r="E129" s="908">
        <f>D129*C129</f>
        <v/>
      </c>
      <c r="F129" s="896" t="n"/>
      <c r="G129" s="515" t="n"/>
    </row>
    <row r="130" ht="13" customFormat="1" customHeight="1" s="511">
      <c r="A130" s="493">
        <f>A129+1</f>
        <v/>
      </c>
      <c r="B130" s="438" t="inlineStr">
        <is>
          <t>Mezzanine Level Elevated Chairs</t>
        </is>
      </c>
      <c r="C130" s="521" t="n">
        <v>63</v>
      </c>
      <c r="D130" s="908" t="n">
        <v>300</v>
      </c>
      <c r="E130" s="908">
        <f>D130*C130</f>
        <v/>
      </c>
      <c r="F130" s="896" t="n"/>
      <c r="G130" s="515" t="n"/>
    </row>
    <row r="131" ht="13" customFormat="1" customHeight="1" s="511">
      <c r="A131" s="493">
        <f>A130+1</f>
        <v/>
      </c>
      <c r="B131" s="438" t="inlineStr">
        <is>
          <t>Mezzanine Level Elevated Couches</t>
        </is>
      </c>
      <c r="C131" s="521" t="n">
        <v>15</v>
      </c>
      <c r="D131" s="908" t="n">
        <v>2500</v>
      </c>
      <c r="E131" s="908">
        <f>D131*C131</f>
        <v/>
      </c>
      <c r="F131" s="896" t="n"/>
      <c r="G131" s="515" t="n"/>
    </row>
    <row r="132" ht="13" customFormat="1" customHeight="1" s="511">
      <c r="A132" s="493">
        <f>A131+1</f>
        <v/>
      </c>
      <c r="B132" s="438" t="inlineStr">
        <is>
          <t>Mezzanine Level Elevated Coffee Tables</t>
        </is>
      </c>
      <c r="C132" s="521" t="n">
        <v>24</v>
      </c>
      <c r="D132" s="908" t="n">
        <v>250</v>
      </c>
      <c r="E132" s="908">
        <f>D132*C132</f>
        <v/>
      </c>
      <c r="F132" s="896" t="n"/>
      <c r="G132" s="515" t="n"/>
    </row>
    <row r="133" ht="13" customFormat="1" customHeight="1" s="511">
      <c r="A133" s="493">
        <f>A132+1</f>
        <v/>
      </c>
      <c r="B133" s="438" t="inlineStr">
        <is>
          <t>Stage R&amp;L Viewing Boxes</t>
        </is>
      </c>
      <c r="C133" s="521" t="n">
        <v>2</v>
      </c>
      <c r="D133" s="908" t="n">
        <v>7500</v>
      </c>
      <c r="E133" s="908">
        <f>D133*C133</f>
        <v/>
      </c>
      <c r="F133" s="896" t="n"/>
      <c r="G133" s="515" t="n"/>
    </row>
    <row r="134" ht="13" customFormat="1" customHeight="1" s="511">
      <c r="A134" s="493">
        <f>A133+1</f>
        <v/>
      </c>
      <c r="B134" s="438" t="inlineStr">
        <is>
          <t>VIP Lounge Furniture</t>
        </is>
      </c>
      <c r="C134" s="521" t="n">
        <v>1</v>
      </c>
      <c r="D134" s="908" t="n">
        <v>75000</v>
      </c>
      <c r="E134" s="908">
        <f>D134*C134</f>
        <v/>
      </c>
      <c r="F134" s="896" t="inlineStr">
        <is>
          <t>2nd Fl / 3rd Fl</t>
        </is>
      </c>
      <c r="G134" s="515" t="n"/>
    </row>
    <row r="135" ht="13" customFormat="1" customHeight="1" s="511">
      <c r="A135" s="493">
        <f>A134+1</f>
        <v/>
      </c>
      <c r="B135" s="438" t="inlineStr">
        <is>
          <t>VIP Lounge Roof Terrace Furniture</t>
        </is>
      </c>
      <c r="C135" s="521" t="n">
        <v>1</v>
      </c>
      <c r="D135" s="908" t="n">
        <v>15000</v>
      </c>
      <c r="E135" s="908">
        <f>D135*C135</f>
        <v/>
      </c>
      <c r="F135" s="896" t="n"/>
      <c r="G135" s="515" t="n"/>
    </row>
    <row r="136" ht="13" customFormat="1" customHeight="1" s="511">
      <c r="A136" s="493">
        <f>A135+1</f>
        <v/>
      </c>
      <c r="B136" s="438" t="inlineStr">
        <is>
          <t>Restaurant Furniture</t>
        </is>
      </c>
      <c r="C136" s="521" t="n">
        <v>1</v>
      </c>
      <c r="D136" s="908" t="n">
        <v>60000</v>
      </c>
      <c r="E136" s="908">
        <f>D136*C136</f>
        <v/>
      </c>
      <c r="F136" s="896" t="n"/>
      <c r="G136" s="515" t="n"/>
    </row>
    <row r="137" ht="13" customFormat="1" customHeight="1" s="511">
      <c r="A137" s="493">
        <f>A136+1</f>
        <v/>
      </c>
      <c r="B137" s="438" t="inlineStr">
        <is>
          <t>Restaurant Terrace Furniture</t>
        </is>
      </c>
      <c r="C137" s="521" t="n">
        <v>1</v>
      </c>
      <c r="D137" s="908" t="n">
        <v>10000</v>
      </c>
      <c r="E137" s="908">
        <f>D137*C137</f>
        <v/>
      </c>
      <c r="F137" s="896" t="n"/>
      <c r="G137" s="515" t="n"/>
    </row>
    <row r="138" ht="13" customFormat="1" customHeight="1" s="511">
      <c r="A138" s="493">
        <f>A137+1</f>
        <v/>
      </c>
      <c r="B138" s="438" t="inlineStr">
        <is>
          <t>Roof Terrace Furniture</t>
        </is>
      </c>
      <c r="C138" s="521" t="n">
        <v>1</v>
      </c>
      <c r="D138" s="908" t="n">
        <v>25000</v>
      </c>
      <c r="E138" s="908">
        <f>D138*C138</f>
        <v/>
      </c>
      <c r="F138" s="896" t="n"/>
      <c r="G138" s="515" t="n"/>
    </row>
    <row r="139" ht="13" customFormat="1" customHeight="1" s="511">
      <c r="A139" s="493">
        <f>A138+1</f>
        <v/>
      </c>
      <c r="B139" s="438" t="inlineStr">
        <is>
          <t>Roof Lounge Furniture</t>
        </is>
      </c>
      <c r="C139" s="521" t="n">
        <v>1</v>
      </c>
      <c r="D139" s="908" t="n">
        <v>35000</v>
      </c>
      <c r="E139" s="908">
        <f>D139*C139</f>
        <v/>
      </c>
      <c r="F139" s="896" t="n"/>
      <c r="G139" s="515" t="n"/>
    </row>
    <row r="140" ht="13" customFormat="1" customHeight="1" s="511">
      <c r="A140" s="493">
        <f>A139+1</f>
        <v/>
      </c>
      <c r="B140" s="438" t="inlineStr">
        <is>
          <t>Dressing Room Furniture</t>
        </is>
      </c>
      <c r="C140" s="521" t="n">
        <v>6</v>
      </c>
      <c r="D140" s="908" t="n">
        <v>10000</v>
      </c>
      <c r="E140" s="908">
        <f>D140*C140</f>
        <v/>
      </c>
      <c r="F140" s="896" t="n"/>
      <c r="G140" s="515" t="n"/>
    </row>
    <row r="141" ht="13" customFormat="1" customHeight="1" s="511">
      <c r="A141" s="493">
        <f>A140+1</f>
        <v/>
      </c>
      <c r="B141" s="438" t="inlineStr">
        <is>
          <t>Crew &amp; Artist Lounge Area</t>
        </is>
      </c>
      <c r="C141" s="521" t="n">
        <v>1</v>
      </c>
      <c r="D141" s="908" t="n">
        <v>25000</v>
      </c>
      <c r="E141" s="908">
        <f>D141*C141</f>
        <v/>
      </c>
      <c r="F141" s="896" t="n"/>
      <c r="G141" s="515" t="n"/>
    </row>
    <row r="142" ht="13" customFormat="1" customHeight="1" s="511">
      <c r="A142" s="493">
        <f>A141+1</f>
        <v/>
      </c>
      <c r="B142" s="438" t="n"/>
      <c r="C142" s="521" t="n"/>
      <c r="D142" s="908" t="n"/>
      <c r="E142" s="908" t="n"/>
      <c r="F142" s="896" t="n"/>
      <c r="G142" s="515" t="n"/>
    </row>
    <row r="143" ht="13" customFormat="1" customHeight="1" s="511">
      <c r="A143" s="493">
        <f>A142+1</f>
        <v/>
      </c>
      <c r="B143" s="438" t="n"/>
      <c r="C143" s="521" t="n"/>
      <c r="D143" s="908" t="n"/>
      <c r="E143" s="908" t="n"/>
      <c r="F143" s="896" t="n"/>
      <c r="G143" s="515" t="n"/>
    </row>
    <row r="144" hidden="1" ht="13" customFormat="1" customHeight="1" s="511">
      <c r="A144" s="493">
        <f>A143+1</f>
        <v/>
      </c>
      <c r="B144" s="438" t="n"/>
      <c r="C144" s="521" t="n"/>
      <c r="D144" s="908" t="n"/>
      <c r="E144" s="908">
        <f>D144*C144</f>
        <v/>
      </c>
      <c r="F144" s="896" t="n"/>
      <c r="G144" s="515" t="n"/>
    </row>
    <row r="145" hidden="1" ht="13" customFormat="1" customHeight="1" s="511">
      <c r="A145" s="493">
        <f>A144+1</f>
        <v/>
      </c>
      <c r="B145" s="438" t="n"/>
      <c r="C145" s="521" t="n"/>
      <c r="D145" s="908" t="n"/>
      <c r="E145" s="908">
        <f>D145*C145</f>
        <v/>
      </c>
      <c r="F145" s="896" t="n"/>
      <c r="G145" s="515" t="n"/>
    </row>
    <row r="146" hidden="1" ht="13" customFormat="1" customHeight="1" s="511">
      <c r="A146" s="493">
        <f>A145+1</f>
        <v/>
      </c>
      <c r="B146" s="438" t="n"/>
      <c r="C146" s="521" t="n"/>
      <c r="D146" s="908" t="n"/>
      <c r="E146" s="908">
        <f>D146*C146</f>
        <v/>
      </c>
      <c r="F146" s="896" t="n"/>
      <c r="G146" s="515" t="n"/>
    </row>
    <row r="147" hidden="1" ht="13" customFormat="1" customHeight="1" s="511">
      <c r="A147" s="493">
        <f>A146+1</f>
        <v/>
      </c>
      <c r="B147" s="438" t="n"/>
      <c r="C147" s="521" t="n"/>
      <c r="D147" s="908" t="n"/>
      <c r="E147" s="908">
        <f>D147*C147</f>
        <v/>
      </c>
      <c r="F147" s="896" t="n"/>
      <c r="G147" s="515" t="n"/>
    </row>
    <row r="148" hidden="1" ht="13" customFormat="1" customHeight="1" s="511">
      <c r="A148" s="493">
        <f>A147+1</f>
        <v/>
      </c>
      <c r="B148" s="438" t="n"/>
      <c r="C148" s="521" t="n"/>
      <c r="D148" s="908" t="n"/>
      <c r="E148" s="908">
        <f>D148*C148</f>
        <v/>
      </c>
      <c r="F148" s="896" t="n"/>
      <c r="G148" s="515" t="n"/>
    </row>
    <row r="149" hidden="1" ht="13" customFormat="1" customHeight="1" s="511">
      <c r="A149" s="493">
        <f>A148+1</f>
        <v/>
      </c>
      <c r="B149" s="438" t="inlineStr">
        <is>
          <t>Artist &amp; Crew Furniture</t>
        </is>
      </c>
      <c r="C149" s="521" t="n">
        <v>0</v>
      </c>
      <c r="D149" s="908" t="n">
        <v>0</v>
      </c>
      <c r="E149" s="908">
        <f>D149*C149</f>
        <v/>
      </c>
      <c r="F149" s="896" t="n"/>
      <c r="G149" s="515" t="n"/>
    </row>
    <row r="150" ht="14" customFormat="1" customHeight="1" s="511" thickBot="1">
      <c r="A150" s="497" t="n"/>
      <c r="B150" s="516" t="inlineStr">
        <is>
          <t>Total Seating/Accessories</t>
        </is>
      </c>
      <c r="C150" s="517" t="n"/>
      <c r="D150" s="898" t="n"/>
      <c r="E150" s="911">
        <f>SUM(E128:E149)</f>
        <v/>
      </c>
      <c r="F150" s="518" t="n"/>
      <c r="G150" s="519" t="n"/>
    </row>
    <row r="151" ht="5.25" customFormat="1" customHeight="1" s="1" thickBot="1">
      <c r="A151" s="381" t="n"/>
      <c r="B151" s="382" t="n"/>
      <c r="C151" s="902" t="n"/>
      <c r="D151" s="903" t="n"/>
      <c r="E151" s="904" t="n"/>
      <c r="F151" s="390" t="n"/>
      <c r="G151" s="386" t="n"/>
    </row>
    <row r="152" customFormat="1" s="505" thickBot="1">
      <c r="A152" s="617" t="n"/>
      <c r="B152" s="618" t="inlineStr">
        <is>
          <t>SUB-TOTAL FURNITURE</t>
        </is>
      </c>
      <c r="C152" s="912" t="n"/>
      <c r="D152" s="913" t="n"/>
      <c r="E152" s="914">
        <f>SUM(E127:E149)</f>
        <v/>
      </c>
      <c r="F152" s="621" t="n"/>
      <c r="G152" s="622" t="n"/>
    </row>
    <row r="153" ht="14" customFormat="1" customHeight="1" s="528" thickBot="1">
      <c r="A153" s="525" t="inlineStr">
        <is>
          <t>BAR &amp; KITCHEN EQUIPMENT</t>
        </is>
      </c>
      <c r="B153" s="526" t="n"/>
      <c r="C153" s="526" t="n"/>
      <c r="D153" s="526" t="n"/>
      <c r="E153" s="526" t="n"/>
      <c r="F153" s="526" t="n"/>
      <c r="G153" s="527" t="n"/>
    </row>
    <row r="154" ht="14" customFormat="1" customHeight="1" s="539" thickBot="1">
      <c r="A154" s="531" t="n">
        <v>302</v>
      </c>
      <c r="B154" s="538" t="inlineStr">
        <is>
          <t>DESCRIPTION</t>
        </is>
      </c>
      <c r="C154" s="538" t="inlineStr">
        <is>
          <t>QTY</t>
        </is>
      </c>
      <c r="D154" s="538" t="inlineStr">
        <is>
          <t>PRICE</t>
        </is>
      </c>
      <c r="E154" s="538" t="inlineStr">
        <is>
          <t>BUDGET</t>
        </is>
      </c>
      <c r="F154" s="538" t="inlineStr">
        <is>
          <t>VENDOR</t>
        </is>
      </c>
      <c r="G154" s="538" t="inlineStr">
        <is>
          <t>NOTES</t>
        </is>
      </c>
    </row>
    <row r="155" ht="13" customFormat="1" customHeight="1" s="539">
      <c r="A155" s="507" t="n"/>
      <c r="B155" s="540" t="inlineStr">
        <is>
          <t>Bar Equipment</t>
        </is>
      </c>
      <c r="C155" s="541" t="n"/>
      <c r="D155" s="915" t="n"/>
      <c r="E155" s="543" t="n"/>
      <c r="F155" s="543" t="inlineStr">
        <is>
          <t>* BPT: 26 POS / Prep Kitchen / 1 Walk-in Cooler $837K</t>
        </is>
      </c>
      <c r="G155" s="544" t="n"/>
    </row>
    <row r="156" ht="36" customFormat="1" customHeight="1" s="539">
      <c r="A156" s="493" t="n">
        <v>1</v>
      </c>
      <c r="B156" s="438" t="inlineStr">
        <is>
          <t>Kitchen Equipment</t>
        </is>
      </c>
      <c r="C156" s="545" t="n">
        <v>1</v>
      </c>
      <c r="D156" s="546" t="n">
        <v>130000</v>
      </c>
      <c r="E156" s="916">
        <f>D156*C156</f>
        <v/>
      </c>
      <c r="F156" s="547" t="n"/>
      <c r="G156" s="917" t="inlineStr">
        <is>
          <t>Your note above - '* BPT: 26 POS / Prep Kitchen / 1 Walk-in Cooler $837K' - is the most useful line in the file. Against it, 74 bar positions here at $9,000 = $666,000 looks LIGHT to us, and so do our 53. Is it?</t>
        </is>
      </c>
    </row>
    <row r="157" ht="13" customFormat="1" customHeight="1" s="539">
      <c r="A157" s="493">
        <f>A156+1</f>
        <v/>
      </c>
      <c r="B157" s="438" t="inlineStr">
        <is>
          <t>Lobby Bar Equipment</t>
        </is>
      </c>
      <c r="C157" s="545" t="n">
        <v>5</v>
      </c>
      <c r="D157" s="546" t="n">
        <v>9000</v>
      </c>
      <c r="E157" s="547">
        <f>D157*C157</f>
        <v/>
      </c>
      <c r="F157" s="547" t="n"/>
      <c r="G157" s="438" t="n"/>
    </row>
    <row r="158" ht="13" customFormat="1" customHeight="1" s="539">
      <c r="A158" s="493">
        <f>A157+1</f>
        <v/>
      </c>
      <c r="B158" s="438" t="inlineStr">
        <is>
          <t>Music Hall House Left Bar</t>
        </is>
      </c>
      <c r="C158" s="545" t="n">
        <v>16</v>
      </c>
      <c r="D158" s="546" t="n">
        <v>9000</v>
      </c>
      <c r="E158" s="547">
        <f>D158*C158</f>
        <v/>
      </c>
      <c r="F158" s="547" t="n"/>
      <c r="G158" s="438" t="n"/>
    </row>
    <row r="159" ht="13" customFormat="1" customHeight="1" s="539">
      <c r="A159" s="493">
        <f>A158+1</f>
        <v/>
      </c>
      <c r="B159" s="438" t="inlineStr">
        <is>
          <t>Music Hall House Right Bar</t>
        </is>
      </c>
      <c r="C159" s="545" t="n">
        <v>15</v>
      </c>
      <c r="D159" s="546" t="n">
        <v>9000</v>
      </c>
      <c r="E159" s="547">
        <f>D159*C159</f>
        <v/>
      </c>
      <c r="F159" s="547" t="n"/>
      <c r="G159" s="438" t="n"/>
    </row>
    <row r="160" ht="13" customFormat="1" customHeight="1" s="539">
      <c r="A160" s="493">
        <f>A159+1</f>
        <v/>
      </c>
      <c r="B160" s="438" t="inlineStr">
        <is>
          <t>Music Hall Rear Bar</t>
        </is>
      </c>
      <c r="C160" s="545" t="n">
        <v>14</v>
      </c>
      <c r="D160" s="546" t="n">
        <v>9000</v>
      </c>
      <c r="E160" s="547">
        <f>D160*C160</f>
        <v/>
      </c>
      <c r="F160" s="547" t="n"/>
      <c r="G160" s="438" t="n"/>
    </row>
    <row r="161" ht="13" customFormat="1" customHeight="1" s="539">
      <c r="A161" s="493">
        <f>A160+1</f>
        <v/>
      </c>
      <c r="B161" s="438" t="inlineStr">
        <is>
          <t>Mezz. House Right Bar</t>
        </is>
      </c>
      <c r="C161" s="545" t="n">
        <v>8</v>
      </c>
      <c r="D161" s="546" t="n">
        <v>9000</v>
      </c>
      <c r="E161" s="547">
        <f>D161*C161</f>
        <v/>
      </c>
      <c r="F161" s="547" t="n"/>
      <c r="G161" s="438" t="n"/>
    </row>
    <row r="162" ht="13" customFormat="1" customHeight="1" s="539">
      <c r="A162" s="493">
        <f>A161+1</f>
        <v/>
      </c>
      <c r="B162" s="438" t="inlineStr">
        <is>
          <t>Mezz. House Left Bar</t>
        </is>
      </c>
      <c r="C162" s="545" t="n">
        <v>8</v>
      </c>
      <c r="D162" s="546" t="n">
        <v>9000</v>
      </c>
      <c r="E162" s="547">
        <f>D162*C162</f>
        <v/>
      </c>
      <c r="F162" s="547" t="n"/>
      <c r="G162" s="438" t="n"/>
    </row>
    <row r="163" ht="13" customFormat="1" customHeight="1" s="539">
      <c r="A163" s="493">
        <f>A162+1</f>
        <v/>
      </c>
      <c r="B163" s="438" t="inlineStr">
        <is>
          <t>VIP Lounge Bar including Roof</t>
        </is>
      </c>
      <c r="C163" s="545" t="n">
        <v>2</v>
      </c>
      <c r="D163" s="546" t="n">
        <v>20000</v>
      </c>
      <c r="E163" s="547">
        <f>D163*C163</f>
        <v/>
      </c>
      <c r="F163" s="547" t="n"/>
      <c r="G163" s="438" t="n"/>
    </row>
    <row r="164" ht="13" customFormat="1" customHeight="1" s="539">
      <c r="A164" s="493">
        <f>A163+1</f>
        <v/>
      </c>
      <c r="B164" s="438" t="inlineStr">
        <is>
          <t>Restaurant Bar</t>
        </is>
      </c>
      <c r="C164" s="545" t="n">
        <v>2</v>
      </c>
      <c r="D164" s="546" t="n">
        <v>20000</v>
      </c>
      <c r="E164" s="547">
        <f>D164*C164</f>
        <v/>
      </c>
      <c r="F164" s="547" t="n"/>
      <c r="G164" s="438" t="n"/>
    </row>
    <row r="165" ht="13" customFormat="1" customHeight="1" s="539">
      <c r="A165" s="493">
        <f>A164+1</f>
        <v/>
      </c>
      <c r="B165" s="438" t="inlineStr">
        <is>
          <t>Roof Lobby Bar</t>
        </is>
      </c>
      <c r="C165" s="545" t="n">
        <v>4</v>
      </c>
      <c r="D165" s="546" t="n">
        <v>12000</v>
      </c>
      <c r="E165" s="547">
        <f>D165*C165</f>
        <v/>
      </c>
      <c r="F165" s="547" t="n"/>
      <c r="G165" s="438" t="n"/>
    </row>
    <row r="166" ht="13" customFormat="1" customHeight="1" s="539">
      <c r="A166" s="493">
        <f>A165+1</f>
        <v/>
      </c>
      <c r="B166" s="438" t="inlineStr">
        <is>
          <t xml:space="preserve">Ice Machines </t>
        </is>
      </c>
      <c r="C166" s="545" t="n">
        <v>4</v>
      </c>
      <c r="D166" s="546" t="n">
        <v>15000</v>
      </c>
      <c r="E166" s="547">
        <f>D166*C166</f>
        <v/>
      </c>
      <c r="F166" s="547" t="n"/>
      <c r="G166" s="438" t="n"/>
    </row>
    <row r="167" ht="13" customFormat="1" customHeight="1" s="539">
      <c r="A167" s="493">
        <f>A166+1</f>
        <v/>
      </c>
      <c r="B167" s="438" t="inlineStr">
        <is>
          <t>Walk-In Coolers</t>
        </is>
      </c>
      <c r="C167" s="545" t="n">
        <v>2</v>
      </c>
      <c r="D167" s="546" t="n">
        <v>15000</v>
      </c>
      <c r="E167" s="547">
        <f>D167*C167</f>
        <v/>
      </c>
      <c r="F167" s="547" t="n"/>
      <c r="G167" s="438" t="n"/>
    </row>
    <row r="168" ht="24" customFormat="1" customHeight="1" s="539">
      <c r="A168" s="493">
        <f>A167+1</f>
        <v/>
      </c>
      <c r="B168" s="438" t="inlineStr">
        <is>
          <t>Freight &amp; Installation</t>
        </is>
      </c>
      <c r="C168" s="545" t="n">
        <v>1</v>
      </c>
      <c r="D168" s="546" t="n">
        <v>375000</v>
      </c>
      <c r="E168" s="916">
        <f>D168*C168</f>
        <v/>
      </c>
      <c r="F168" s="547" t="n"/>
      <c r="G168" s="917" t="inlineStr">
        <is>
          <t>$375,000 is 40% of the equipment above it. Freight and install only, or does it carry something else?</t>
        </is>
      </c>
    </row>
    <row r="169" ht="13" customFormat="1" customHeight="1" s="539">
      <c r="A169" s="493">
        <f>A168+1</f>
        <v/>
      </c>
      <c r="B169" s="438" t="n"/>
      <c r="C169" s="545" t="n"/>
      <c r="D169" s="546" t="n"/>
      <c r="E169" s="547">
        <f>D169*C169</f>
        <v/>
      </c>
      <c r="F169" s="547" t="n"/>
      <c r="G169" s="438" t="n"/>
    </row>
    <row r="170" ht="13" customFormat="1" customHeight="1" s="539">
      <c r="A170" s="493">
        <f>A169+1</f>
        <v/>
      </c>
      <c r="B170" s="438" t="n"/>
      <c r="C170" s="545" t="n"/>
      <c r="D170" s="546" t="n"/>
      <c r="E170" s="547">
        <f>D170*C170</f>
        <v/>
      </c>
      <c r="F170" s="547" t="n"/>
      <c r="G170" s="438" t="n"/>
    </row>
    <row r="171" ht="13" customFormat="1" customHeight="1" s="539">
      <c r="A171" s="493">
        <f>A170+1</f>
        <v/>
      </c>
      <c r="B171" s="438" t="inlineStr">
        <is>
          <t>POS</t>
        </is>
      </c>
      <c r="C171" s="545" t="n">
        <v>0</v>
      </c>
      <c r="D171" s="546" t="n">
        <v>3000</v>
      </c>
      <c r="E171" s="547">
        <f>C171*D171</f>
        <v/>
      </c>
      <c r="F171" s="547" t="inlineStr">
        <is>
          <t>Lease POS terminals / lease costs carried under operating costs</t>
        </is>
      </c>
      <c r="G171" s="544" t="n"/>
    </row>
    <row r="172" ht="14" customFormat="1" customHeight="1" s="539" thickBot="1">
      <c r="A172" s="493" t="n"/>
      <c r="B172" s="548" t="inlineStr">
        <is>
          <t>Total Concessions</t>
        </is>
      </c>
      <c r="C172" s="545" t="n"/>
      <c r="D172" s="546" t="n"/>
      <c r="E172" s="549">
        <f>SUM(E156:E171)</f>
        <v/>
      </c>
      <c r="F172" s="547" t="n"/>
      <c r="G172" s="438" t="n"/>
    </row>
    <row r="173" ht="5.25" customFormat="1" customHeight="1" s="1" thickBot="1">
      <c r="A173" s="381" t="n"/>
      <c r="B173" s="382" t="n"/>
      <c r="C173" s="902" t="n"/>
      <c r="D173" s="903" t="n"/>
      <c r="E173" s="904" t="n"/>
      <c r="F173" s="390" t="n"/>
      <c r="G173" s="386" t="n"/>
    </row>
    <row r="174" customFormat="1" s="623" thickBot="1">
      <c r="A174" s="617" t="n"/>
      <c r="B174" s="618" t="inlineStr">
        <is>
          <t>SUB-TOTAL CONCESSIONS</t>
        </is>
      </c>
      <c r="C174" s="912" t="n"/>
      <c r="D174" s="913" t="n"/>
      <c r="E174" s="914">
        <f>SUM(E155:E171)</f>
        <v/>
      </c>
      <c r="F174" s="621" t="n"/>
      <c r="G174" s="622" t="n"/>
      <c r="H174" s="641" t="n"/>
      <c r="I174" s="641" t="n"/>
      <c r="J174" s="641" t="n"/>
      <c r="K174" s="641" t="n"/>
      <c r="L174" s="641" t="n"/>
      <c r="M174" s="641" t="n"/>
      <c r="N174" s="641" t="n"/>
      <c r="O174" s="641" t="n"/>
      <c r="P174" s="641" t="n"/>
      <c r="Q174" s="641" t="n"/>
      <c r="R174" s="641" t="n"/>
      <c r="S174" s="641" t="n"/>
      <c r="T174" s="641" t="n"/>
      <c r="U174" s="641" t="n"/>
      <c r="V174" s="641" t="n"/>
      <c r="W174" s="641" t="n"/>
      <c r="X174" s="641" t="n"/>
      <c r="Y174" s="641" t="n"/>
      <c r="Z174" s="641" t="n"/>
      <c r="AA174" s="641" t="n"/>
      <c r="AB174" s="641" t="n"/>
      <c r="AC174" s="641" t="n"/>
      <c r="AD174" s="641" t="n"/>
      <c r="AE174" s="641" t="n"/>
      <c r="AF174" s="641" t="n"/>
      <c r="AG174" s="641" t="n"/>
      <c r="AH174" s="641" t="n"/>
      <c r="AI174" s="641" t="n"/>
      <c r="AJ174" s="641" t="n"/>
      <c r="AK174" s="641" t="n"/>
      <c r="AL174" s="641" t="n"/>
      <c r="AM174" s="641" t="n"/>
      <c r="AN174" s="641" t="n"/>
      <c r="AO174" s="641" t="n"/>
      <c r="AP174" s="641" t="n"/>
      <c r="AQ174" s="641" t="n"/>
      <c r="AR174" s="641" t="n"/>
      <c r="AS174" s="641" t="n"/>
      <c r="AT174" s="641" t="n"/>
      <c r="AU174" s="641" t="n"/>
      <c r="AV174" s="641" t="n"/>
      <c r="AW174" s="641" t="n"/>
      <c r="AX174" s="641" t="n"/>
      <c r="AY174" s="641" t="n"/>
      <c r="AZ174" s="641" t="n"/>
      <c r="BA174" s="641" t="n"/>
      <c r="BB174" s="641" t="n"/>
      <c r="BC174" s="641" t="n"/>
      <c r="BD174" s="641" t="n"/>
      <c r="BE174" s="641" t="n"/>
      <c r="BF174" s="641" t="n"/>
      <c r="BG174" s="641" t="n"/>
      <c r="BH174" s="641" t="n"/>
      <c r="BI174" s="641" t="n"/>
      <c r="BJ174" s="641" t="n"/>
      <c r="BK174" s="641" t="n"/>
      <c r="BL174" s="641" t="n"/>
      <c r="BM174" s="641" t="n"/>
      <c r="BN174" s="641" t="n"/>
      <c r="BO174" s="641" t="n"/>
      <c r="BP174" s="641" t="n"/>
      <c r="BQ174" s="641" t="n"/>
      <c r="BR174" s="641" t="n"/>
      <c r="BS174" s="641" t="n"/>
      <c r="BT174" s="641" t="n"/>
      <c r="BU174" s="641" t="n"/>
      <c r="BV174" s="641" t="n"/>
      <c r="BW174" s="641" t="n"/>
      <c r="BX174" s="641" t="n"/>
      <c r="BY174" s="641" t="n"/>
      <c r="BZ174" s="641" t="n"/>
      <c r="CA174" s="641" t="n"/>
      <c r="CB174" s="641" t="n"/>
      <c r="CC174" s="641" t="n"/>
      <c r="CD174" s="641" t="n"/>
      <c r="CE174" s="641" t="n"/>
    </row>
    <row r="175" ht="14" customFormat="1" customHeight="1" s="528" thickBot="1">
      <c r="A175" s="529" t="inlineStr">
        <is>
          <t>DATA SYSTEMS / IT / CCTV</t>
        </is>
      </c>
      <c r="B175" s="526" t="n"/>
      <c r="C175" s="526" t="n"/>
      <c r="D175" s="526" t="n"/>
      <c r="E175" s="526" t="n"/>
      <c r="F175" s="526" t="n"/>
      <c r="G175" s="527" t="n"/>
    </row>
    <row r="176" ht="14" customFormat="1" customHeight="1" s="506" thickBot="1">
      <c r="A176" s="530" t="n">
        <v>303</v>
      </c>
      <c r="B176" s="530" t="inlineStr">
        <is>
          <t>DESCRIPTION</t>
        </is>
      </c>
      <c r="C176" s="530" t="inlineStr">
        <is>
          <t>QTY</t>
        </is>
      </c>
      <c r="D176" s="530" t="inlineStr">
        <is>
          <t>PRICE</t>
        </is>
      </c>
      <c r="E176" s="530" t="inlineStr">
        <is>
          <t>BUDGET</t>
        </is>
      </c>
      <c r="F176" s="530" t="inlineStr">
        <is>
          <t>VENDOR</t>
        </is>
      </c>
      <c r="G176" s="530" t="inlineStr">
        <is>
          <t>NOTES</t>
        </is>
      </c>
    </row>
    <row r="177" ht="13" customFormat="1" customHeight="1" s="539">
      <c r="A177" s="507" t="n"/>
      <c r="B177" s="540" t="inlineStr">
        <is>
          <t>Data Systems / IT / CCTV</t>
        </is>
      </c>
      <c r="C177" s="509" t="n"/>
      <c r="D177" s="918" t="n"/>
      <c r="E177" s="551" t="n"/>
      <c r="F177" s="552" t="n"/>
      <c r="G177" s="919" t="n"/>
    </row>
    <row r="178" ht="13" customFormat="1" customHeight="1" s="539">
      <c r="A178" s="493">
        <f>A177+1</f>
        <v/>
      </c>
      <c r="B178" s="438" t="inlineStr">
        <is>
          <t>Data Cabling</t>
        </is>
      </c>
      <c r="C178" s="512" t="n"/>
      <c r="D178" s="908" t="n"/>
      <c r="E178" s="908" t="n"/>
      <c r="F178" s="546" t="inlineStr">
        <is>
          <t>Carried Construction Costs</t>
        </is>
      </c>
      <c r="G178" s="920" t="n"/>
    </row>
    <row r="179" ht="13" customFormat="1" customHeight="1" s="539">
      <c r="A179" s="493">
        <f>A178+1</f>
        <v/>
      </c>
      <c r="B179" s="438" t="inlineStr">
        <is>
          <t>VoIP Phones / Data Switch / WiFi</t>
        </is>
      </c>
      <c r="C179" s="512" t="n">
        <v>1</v>
      </c>
      <c r="D179" s="908" t="n">
        <v>200000</v>
      </c>
      <c r="E179" s="908">
        <f>D179*C179</f>
        <v/>
      </c>
      <c r="F179" s="546" t="n"/>
      <c r="G179" s="920" t="n"/>
    </row>
    <row r="180" ht="13" customFormat="1" customHeight="1" s="539">
      <c r="A180" s="493">
        <f>A179+1</f>
        <v/>
      </c>
      <c r="B180" s="438" t="inlineStr">
        <is>
          <t>CCTV - Security Cameras</t>
        </is>
      </c>
      <c r="C180" s="512" t="n">
        <v>110</v>
      </c>
      <c r="D180" s="908" t="n">
        <v>2000</v>
      </c>
      <c r="E180" s="908">
        <f>D180*C180</f>
        <v/>
      </c>
      <c r="F180" s="546" t="n"/>
      <c r="G180" s="920" t="n"/>
    </row>
    <row r="181" ht="14" customFormat="1" customHeight="1" s="539" thickBot="1">
      <c r="A181" s="532" t="n"/>
      <c r="B181" s="556" t="inlineStr">
        <is>
          <t>Total Data Systems</t>
        </is>
      </c>
      <c r="C181" s="557" t="n"/>
      <c r="D181" s="558" t="n"/>
      <c r="E181" s="911">
        <f>SUM(E178:E180)</f>
        <v/>
      </c>
      <c r="F181" s="559" t="n"/>
      <c r="G181" s="921" t="n"/>
    </row>
    <row r="182" ht="5.25" customFormat="1" customHeight="1" s="568" thickBot="1">
      <c r="A182" s="533" t="n"/>
      <c r="B182" s="562" t="n"/>
      <c r="C182" s="922" t="n"/>
      <c r="D182" s="923" t="n"/>
      <c r="E182" s="924" t="n"/>
      <c r="F182" s="566" t="n"/>
      <c r="G182" s="567" t="n"/>
    </row>
    <row r="183" customFormat="1" s="630" thickBot="1">
      <c r="A183" s="624" t="n"/>
      <c r="B183" s="625" t="inlineStr">
        <is>
          <t>SUB-TOTAL DATA SYSTEMS</t>
        </is>
      </c>
      <c r="C183" s="925" t="n"/>
      <c r="D183" s="627" t="n"/>
      <c r="E183" s="926">
        <f>SUM(E177:E180)</f>
        <v/>
      </c>
      <c r="F183" s="628" t="n"/>
      <c r="G183" s="629" t="n"/>
      <c r="H183" s="642" t="n"/>
      <c r="I183" s="642" t="n"/>
      <c r="J183" s="642" t="n"/>
      <c r="K183" s="642" t="n"/>
      <c r="L183" s="642" t="n"/>
      <c r="M183" s="642" t="n"/>
      <c r="N183" s="642" t="n"/>
      <c r="O183" s="642" t="n"/>
      <c r="P183" s="642" t="n"/>
      <c r="Q183" s="642" t="n"/>
      <c r="R183" s="642" t="n"/>
      <c r="S183" s="642" t="n"/>
      <c r="T183" s="642" t="n"/>
      <c r="U183" s="642" t="n"/>
      <c r="V183" s="642" t="n"/>
      <c r="W183" s="642" t="n"/>
      <c r="X183" s="642" t="n"/>
      <c r="Y183" s="642" t="n"/>
      <c r="Z183" s="642" t="n"/>
      <c r="AA183" s="642" t="n"/>
      <c r="AB183" s="642" t="n"/>
      <c r="AC183" s="642" t="n"/>
      <c r="AD183" s="642" t="n"/>
      <c r="AE183" s="642" t="n"/>
      <c r="AF183" s="642" t="n"/>
      <c r="AG183" s="642" t="n"/>
      <c r="AH183" s="642" t="n"/>
      <c r="AI183" s="642" t="n"/>
      <c r="AJ183" s="642" t="n"/>
      <c r="AK183" s="642" t="n"/>
      <c r="AL183" s="642" t="n"/>
      <c r="AM183" s="642" t="n"/>
      <c r="AN183" s="642" t="n"/>
      <c r="AO183" s="642" t="n"/>
      <c r="AP183" s="642" t="n"/>
      <c r="AQ183" s="642" t="n"/>
      <c r="AR183" s="642" t="n"/>
      <c r="AS183" s="642" t="n"/>
      <c r="AT183" s="642" t="n"/>
      <c r="AU183" s="642" t="n"/>
      <c r="AV183" s="642" t="n"/>
      <c r="AW183" s="642" t="n"/>
      <c r="AX183" s="642" t="n"/>
      <c r="AY183" s="642" t="n"/>
      <c r="AZ183" s="642" t="n"/>
      <c r="BA183" s="642" t="n"/>
      <c r="BB183" s="642" t="n"/>
      <c r="BC183" s="642" t="n"/>
      <c r="BD183" s="642" t="n"/>
      <c r="BE183" s="642" t="n"/>
      <c r="BF183" s="642" t="n"/>
      <c r="BG183" s="642" t="n"/>
      <c r="BH183" s="642" t="n"/>
      <c r="BI183" s="642" t="n"/>
      <c r="BJ183" s="642" t="n"/>
      <c r="BK183" s="642" t="n"/>
      <c r="BL183" s="642" t="n"/>
      <c r="BM183" s="642" t="n"/>
      <c r="BN183" s="642" t="n"/>
      <c r="BO183" s="642" t="n"/>
      <c r="BP183" s="642" t="n"/>
      <c r="BQ183" s="642" t="n"/>
      <c r="BR183" s="642" t="n"/>
      <c r="BS183" s="642" t="n"/>
      <c r="BT183" s="642" t="n"/>
      <c r="BU183" s="642" t="n"/>
      <c r="BV183" s="642" t="n"/>
      <c r="BW183" s="642" t="n"/>
      <c r="BX183" s="642" t="n"/>
      <c r="BY183" s="642" t="n"/>
      <c r="BZ183" s="642" t="n"/>
      <c r="CA183" s="642" t="n"/>
      <c r="CB183" s="642" t="n"/>
      <c r="CC183" s="642" t="n"/>
      <c r="CD183" s="642" t="n"/>
      <c r="CE183" s="642" t="n"/>
    </row>
    <row r="184" ht="14" customFormat="1" customHeight="1" s="528" thickBot="1">
      <c r="A184" s="529" t="inlineStr">
        <is>
          <t>OFFICE FURNITURE</t>
        </is>
      </c>
      <c r="B184" s="526" t="n"/>
      <c r="C184" s="526" t="n"/>
      <c r="D184" s="526" t="n"/>
      <c r="E184" s="526" t="n"/>
      <c r="F184" s="526" t="n"/>
      <c r="G184" s="527" t="n"/>
    </row>
    <row r="185" ht="14" customFormat="1" customHeight="1" s="506" thickBot="1">
      <c r="A185" s="530" t="n">
        <v>304</v>
      </c>
      <c r="B185" s="530" t="inlineStr">
        <is>
          <t>DESCRIPTION</t>
        </is>
      </c>
      <c r="C185" s="530" t="inlineStr">
        <is>
          <t>QTY</t>
        </is>
      </c>
      <c r="D185" s="530" t="inlineStr">
        <is>
          <t>PRICE</t>
        </is>
      </c>
      <c r="E185" s="530" t="inlineStr">
        <is>
          <t>BUDGET</t>
        </is>
      </c>
      <c r="F185" s="530" t="inlineStr">
        <is>
          <t>VENDOR</t>
        </is>
      </c>
      <c r="G185" s="530" t="inlineStr">
        <is>
          <t>NOTES</t>
        </is>
      </c>
    </row>
    <row r="186" ht="13" customFormat="1" customHeight="1" s="539">
      <c r="A186" s="507" t="n"/>
      <c r="B186" s="540" t="inlineStr">
        <is>
          <t>Office Furniture/Accessories</t>
        </is>
      </c>
      <c r="C186" s="541" t="n"/>
      <c r="D186" s="927" t="n"/>
      <c r="E186" s="928" t="n"/>
      <c r="F186" s="929" t="n"/>
      <c r="G186" s="915" t="n"/>
    </row>
    <row r="187" ht="13" customFormat="1" customHeight="1" s="539">
      <c r="A187" s="507" t="n"/>
      <c r="B187" s="540" t="inlineStr">
        <is>
          <t>Administration</t>
        </is>
      </c>
      <c r="C187" s="541" t="n"/>
      <c r="D187" s="927" t="n"/>
      <c r="E187" s="928" t="n"/>
      <c r="F187" s="929" t="n"/>
      <c r="G187" s="915" t="n"/>
    </row>
    <row r="188" ht="13" customFormat="1" customHeight="1" s="539">
      <c r="A188" s="493">
        <f>A186+1</f>
        <v/>
      </c>
      <c r="B188" s="438" t="inlineStr">
        <is>
          <t>Administration Furniture</t>
        </is>
      </c>
      <c r="C188" s="545" t="n">
        <v>1</v>
      </c>
      <c r="D188" s="546" t="n">
        <v>50000</v>
      </c>
      <c r="E188" s="546">
        <f>D188*C188</f>
        <v/>
      </c>
      <c r="F188" s="546" t="n"/>
      <c r="G188" s="920" t="n"/>
    </row>
    <row r="189" ht="13" customFormat="1" customHeight="1" s="539">
      <c r="A189" s="493">
        <f>A188+1</f>
        <v/>
      </c>
      <c r="B189" s="438" t="inlineStr">
        <is>
          <t>Admin.Appliances</t>
        </is>
      </c>
      <c r="C189" s="545" t="n"/>
      <c r="D189" s="546" t="n">
        <v>0</v>
      </c>
      <c r="E189" s="546">
        <f>D189*C189</f>
        <v/>
      </c>
      <c r="F189" s="546" t="n"/>
      <c r="G189" s="920" t="n"/>
    </row>
    <row r="190" ht="13" customFormat="1" customHeight="1" s="539">
      <c r="A190" s="493" t="n"/>
      <c r="B190" s="548" t="inlineStr">
        <is>
          <t>Production</t>
        </is>
      </c>
      <c r="C190" s="545" t="n"/>
      <c r="D190" s="546" t="n"/>
      <c r="E190" s="546" t="n"/>
      <c r="F190" s="546" t="n"/>
      <c r="G190" s="920" t="n"/>
    </row>
    <row r="191" ht="13" customFormat="1" customHeight="1" s="539">
      <c r="A191" s="493" t="n">
        <v>1</v>
      </c>
      <c r="B191" s="438" t="inlineStr">
        <is>
          <t>Desks-Production</t>
        </is>
      </c>
      <c r="C191" s="545" t="n">
        <v>1</v>
      </c>
      <c r="D191" s="546" t="n">
        <v>15000</v>
      </c>
      <c r="E191" s="546">
        <f>D191*C191</f>
        <v/>
      </c>
      <c r="F191" s="546" t="n"/>
      <c r="G191" s="920" t="n"/>
    </row>
    <row r="192" ht="13" customFormat="1" customHeight="1" s="539">
      <c r="A192" s="493">
        <f>A191+1</f>
        <v/>
      </c>
      <c r="B192" s="438" t="inlineStr">
        <is>
          <t>Desk Chairs-Production</t>
        </is>
      </c>
      <c r="C192" s="545" t="n"/>
      <c r="D192" s="546" t="n">
        <v>0</v>
      </c>
      <c r="E192" s="546">
        <f>D192*C192</f>
        <v/>
      </c>
      <c r="F192" s="546" t="n"/>
      <c r="G192" s="920" t="n"/>
    </row>
    <row r="193" ht="14" customFormat="1" customHeight="1" s="539" thickBot="1">
      <c r="A193" s="532" t="n"/>
      <c r="B193" s="556" t="inlineStr">
        <is>
          <t>Total Office Furniture/Access.</t>
        </is>
      </c>
      <c r="C193" s="557" t="n"/>
      <c r="D193" s="558" t="n"/>
      <c r="E193" s="572">
        <f>SUM(E188:E192)</f>
        <v/>
      </c>
      <c r="F193" s="559" t="n"/>
      <c r="G193" s="921" t="n"/>
    </row>
    <row r="194" ht="5.25" customFormat="1" customHeight="1" s="568" thickBot="1">
      <c r="A194" s="533" t="n"/>
      <c r="B194" s="562" t="n"/>
      <c r="C194" s="922" t="n"/>
      <c r="D194" s="923" t="n"/>
      <c r="E194" s="930" t="n"/>
      <c r="F194" s="566" t="n"/>
      <c r="G194" s="567" t="n"/>
    </row>
    <row r="195" customFormat="1" s="630" thickBot="1">
      <c r="A195" s="624" t="n"/>
      <c r="B195" s="625" t="inlineStr">
        <is>
          <t>SUB-TOTAL OFFICE FURNITURE</t>
        </is>
      </c>
      <c r="C195" s="925" t="n"/>
      <c r="D195" s="627" t="n"/>
      <c r="E195" s="628">
        <f>E193</f>
        <v/>
      </c>
      <c r="F195" s="628" t="n"/>
      <c r="G195" s="629" t="n"/>
      <c r="H195" s="642" t="n"/>
      <c r="I195" s="642" t="n"/>
      <c r="J195" s="642" t="n"/>
      <c r="K195" s="642" t="n"/>
      <c r="L195" s="642" t="n"/>
      <c r="M195" s="642" t="n"/>
      <c r="N195" s="642" t="n"/>
      <c r="O195" s="642" t="n"/>
      <c r="P195" s="642" t="n"/>
      <c r="Q195" s="642" t="n"/>
      <c r="R195" s="642" t="n"/>
      <c r="S195" s="642" t="n"/>
      <c r="T195" s="642" t="n"/>
      <c r="U195" s="642" t="n"/>
      <c r="V195" s="642" t="n"/>
      <c r="W195" s="642" t="n"/>
      <c r="X195" s="642" t="n"/>
      <c r="Y195" s="642" t="n"/>
      <c r="Z195" s="642" t="n"/>
      <c r="AA195" s="642" t="n"/>
      <c r="AB195" s="642" t="n"/>
      <c r="AC195" s="642" t="n"/>
      <c r="AD195" s="642" t="n"/>
      <c r="AE195" s="642" t="n"/>
      <c r="AF195" s="642" t="n"/>
      <c r="AG195" s="642" t="n"/>
      <c r="AH195" s="642" t="n"/>
      <c r="AI195" s="642" t="n"/>
      <c r="AJ195" s="642" t="n"/>
      <c r="AK195" s="642" t="n"/>
      <c r="AL195" s="642" t="n"/>
      <c r="AM195" s="642" t="n"/>
      <c r="AN195" s="642" t="n"/>
      <c r="AO195" s="642" t="n"/>
      <c r="AP195" s="642" t="n"/>
      <c r="AQ195" s="642" t="n"/>
      <c r="AR195" s="642" t="n"/>
      <c r="AS195" s="642" t="n"/>
      <c r="AT195" s="642" t="n"/>
      <c r="AU195" s="642" t="n"/>
      <c r="AV195" s="642" t="n"/>
      <c r="AW195" s="642" t="n"/>
      <c r="AX195" s="642" t="n"/>
      <c r="AY195" s="642" t="n"/>
      <c r="AZ195" s="642" t="n"/>
      <c r="BA195" s="642" t="n"/>
      <c r="BB195" s="642" t="n"/>
      <c r="BC195" s="642" t="n"/>
      <c r="BD195" s="642" t="n"/>
      <c r="BE195" s="642" t="n"/>
      <c r="BF195" s="642" t="n"/>
      <c r="BG195" s="642" t="n"/>
      <c r="BH195" s="642" t="n"/>
      <c r="BI195" s="642" t="n"/>
      <c r="BJ195" s="642" t="n"/>
      <c r="BK195" s="642" t="n"/>
      <c r="BL195" s="642" t="n"/>
      <c r="BM195" s="642" t="n"/>
      <c r="BN195" s="642" t="n"/>
      <c r="BO195" s="642" t="n"/>
      <c r="BP195" s="642" t="n"/>
      <c r="BQ195" s="642" t="n"/>
      <c r="BR195" s="642" t="n"/>
      <c r="BS195" s="642" t="n"/>
      <c r="BT195" s="642" t="n"/>
      <c r="BU195" s="642" t="n"/>
      <c r="BV195" s="642" t="n"/>
      <c r="BW195" s="642" t="n"/>
      <c r="BX195" s="642" t="n"/>
      <c r="BY195" s="642" t="n"/>
      <c r="BZ195" s="642" t="n"/>
      <c r="CA195" s="642" t="n"/>
      <c r="CB195" s="642" t="n"/>
      <c r="CC195" s="642" t="n"/>
      <c r="CD195" s="642" t="n"/>
      <c r="CE195" s="642" t="n"/>
    </row>
    <row r="196" ht="14" customFormat="1" customHeight="1" s="528" thickBot="1">
      <c r="A196" s="529" t="inlineStr">
        <is>
          <t>SIGNAGE / SCENIC</t>
        </is>
      </c>
      <c r="B196" s="526" t="n"/>
      <c r="C196" s="526" t="n"/>
      <c r="D196" s="526" t="n"/>
      <c r="E196" s="526" t="n"/>
      <c r="F196" s="526" t="n"/>
      <c r="G196" s="527" t="n"/>
    </row>
    <row r="197" ht="14" customFormat="1" customHeight="1" s="506" thickBot="1">
      <c r="A197" s="530" t="n">
        <v>305</v>
      </c>
      <c r="B197" s="530" t="inlineStr">
        <is>
          <t>DESCRIPTION</t>
        </is>
      </c>
      <c r="C197" s="530" t="inlineStr">
        <is>
          <t>QTY</t>
        </is>
      </c>
      <c r="D197" s="530" t="inlineStr">
        <is>
          <t>PRICE</t>
        </is>
      </c>
      <c r="E197" s="530" t="inlineStr">
        <is>
          <t>BUDGET</t>
        </is>
      </c>
      <c r="F197" s="530" t="inlineStr">
        <is>
          <t>VENDOR</t>
        </is>
      </c>
      <c r="G197" s="530" t="inlineStr">
        <is>
          <t>NOTES</t>
        </is>
      </c>
    </row>
    <row r="198" ht="13" customFormat="1" customHeight="1" s="539">
      <c r="A198" s="540" t="n"/>
      <c r="B198" s="540" t="inlineStr">
        <is>
          <t>Exterior Builidng Signage</t>
        </is>
      </c>
      <c r="C198" s="541" t="n"/>
      <c r="D198" s="915" t="n"/>
      <c r="E198" s="915" t="n"/>
      <c r="F198" s="915" t="n"/>
      <c r="G198" s="534" t="n"/>
    </row>
    <row r="199" ht="13" customFormat="1" customHeight="1" s="539">
      <c r="A199" s="438" t="n">
        <v>1</v>
      </c>
      <c r="B199" s="438" t="inlineStr">
        <is>
          <t>Exterior Signage</t>
        </is>
      </c>
      <c r="C199" s="492" t="n">
        <v>1</v>
      </c>
      <c r="D199" s="918" t="n">
        <v>400000</v>
      </c>
      <c r="E199" s="908">
        <f>D199*C199</f>
        <v/>
      </c>
      <c r="F199" s="546" t="n"/>
      <c r="G199" s="438" t="n"/>
    </row>
    <row r="200" ht="13" customFormat="1" customHeight="1" s="539">
      <c r="A200" s="438" t="n"/>
      <c r="B200" s="438" t="n"/>
      <c r="C200" s="573" t="n"/>
      <c r="D200" s="546" t="n"/>
      <c r="E200" s="546" t="n"/>
      <c r="F200" s="546" t="n"/>
      <c r="G200" s="438" t="n"/>
    </row>
    <row r="201" customFormat="1" s="630" thickBot="1">
      <c r="A201" s="631" t="n"/>
      <c r="B201" s="632" t="inlineStr">
        <is>
          <t>Total Exterior Builidng Signage</t>
        </is>
      </c>
      <c r="C201" s="633" t="n"/>
      <c r="D201" s="634" t="n"/>
      <c r="E201" s="931">
        <f>SUM(E199:E200)</f>
        <v/>
      </c>
      <c r="F201" s="635" t="n"/>
      <c r="G201" s="631" t="n"/>
      <c r="H201" s="642" t="n"/>
      <c r="I201" s="642" t="n"/>
      <c r="J201" s="642" t="n"/>
      <c r="K201" s="642" t="n"/>
      <c r="L201" s="642" t="n"/>
      <c r="M201" s="642" t="n"/>
      <c r="N201" s="642" t="n"/>
      <c r="O201" s="642" t="n"/>
      <c r="P201" s="642" t="n"/>
      <c r="Q201" s="642" t="n"/>
      <c r="R201" s="642" t="n"/>
      <c r="S201" s="642" t="n"/>
      <c r="T201" s="642" t="n"/>
      <c r="U201" s="642" t="n"/>
      <c r="V201" s="642" t="n"/>
      <c r="W201" s="642" t="n"/>
      <c r="X201" s="642" t="n"/>
      <c r="Y201" s="642" t="n"/>
      <c r="Z201" s="642" t="n"/>
      <c r="AA201" s="642" t="n"/>
      <c r="AB201" s="642" t="n"/>
      <c r="AC201" s="642" t="n"/>
      <c r="AD201" s="642" t="n"/>
      <c r="AE201" s="642" t="n"/>
      <c r="AF201" s="642" t="n"/>
      <c r="AG201" s="642" t="n"/>
      <c r="AH201" s="642" t="n"/>
      <c r="AI201" s="642" t="n"/>
      <c r="AJ201" s="642" t="n"/>
      <c r="AK201" s="642" t="n"/>
      <c r="AL201" s="642" t="n"/>
      <c r="AM201" s="642" t="n"/>
      <c r="AN201" s="642" t="n"/>
      <c r="AO201" s="642" t="n"/>
      <c r="AP201" s="642" t="n"/>
      <c r="AQ201" s="642" t="n"/>
      <c r="AR201" s="642" t="n"/>
      <c r="AS201" s="642" t="n"/>
      <c r="AT201" s="642" t="n"/>
      <c r="AU201" s="642" t="n"/>
      <c r="AV201" s="642" t="n"/>
      <c r="AW201" s="642" t="n"/>
      <c r="AX201" s="642" t="n"/>
      <c r="AY201" s="642" t="n"/>
      <c r="AZ201" s="642" t="n"/>
      <c r="BA201" s="642" t="n"/>
      <c r="BB201" s="642" t="n"/>
      <c r="BC201" s="642" t="n"/>
      <c r="BD201" s="642" t="n"/>
      <c r="BE201" s="642" t="n"/>
      <c r="BF201" s="642" t="n"/>
      <c r="BG201" s="642" t="n"/>
      <c r="BH201" s="642" t="n"/>
      <c r="BI201" s="642" t="n"/>
      <c r="BJ201" s="642" t="n"/>
      <c r="BK201" s="642" t="n"/>
      <c r="BL201" s="642" t="n"/>
      <c r="BM201" s="642" t="n"/>
      <c r="BN201" s="642" t="n"/>
      <c r="BO201" s="642" t="n"/>
      <c r="BP201" s="642" t="n"/>
      <c r="BQ201" s="642" t="n"/>
      <c r="BR201" s="642" t="n"/>
      <c r="BS201" s="642" t="n"/>
      <c r="BT201" s="642" t="n"/>
      <c r="BU201" s="642" t="n"/>
      <c r="BV201" s="642" t="n"/>
      <c r="BW201" s="642" t="n"/>
      <c r="BX201" s="642" t="n"/>
      <c r="BY201" s="642" t="n"/>
      <c r="BZ201" s="642" t="n"/>
      <c r="CA201" s="642" t="n"/>
      <c r="CB201" s="642" t="n"/>
      <c r="CC201" s="642" t="n"/>
      <c r="CD201" s="642" t="n"/>
      <c r="CE201" s="642" t="n"/>
    </row>
    <row r="202" ht="5.25" customFormat="1" customHeight="1" s="568" thickBot="1">
      <c r="A202" s="561" t="n"/>
      <c r="B202" s="562" t="n"/>
      <c r="C202" s="922" t="n"/>
      <c r="D202" s="923" t="n"/>
      <c r="E202" s="930" t="n"/>
      <c r="F202" s="566" t="n"/>
      <c r="G202" s="567" t="n"/>
    </row>
    <row r="203" ht="13" customFormat="1" customHeight="1" s="539">
      <c r="A203" s="534" t="n"/>
      <c r="B203" s="540" t="inlineStr">
        <is>
          <t>Wayfinding</t>
        </is>
      </c>
      <c r="C203" s="541" t="n"/>
      <c r="D203" s="550" t="n"/>
      <c r="E203" s="550" t="n"/>
      <c r="F203" s="550" t="n"/>
      <c r="G203" s="534" t="n"/>
    </row>
    <row r="204" ht="13" customFormat="1" customHeight="1" s="539">
      <c r="A204" s="438" t="n">
        <v>1</v>
      </c>
      <c r="B204" s="438" t="inlineStr">
        <is>
          <t>Interior Wayfinding and ADA Signage</t>
        </is>
      </c>
      <c r="C204" s="492" t="n">
        <v>1</v>
      </c>
      <c r="D204" s="918" t="n">
        <v>100000</v>
      </c>
      <c r="E204" s="908">
        <f>D204*C204</f>
        <v/>
      </c>
      <c r="F204" s="546" t="n"/>
      <c r="G204" s="438" t="n"/>
    </row>
    <row r="205" ht="13" customFormat="1" customHeight="1" s="539">
      <c r="A205" s="489" t="n"/>
      <c r="B205" s="489" t="n"/>
      <c r="C205" s="573" t="n"/>
      <c r="D205" s="546" t="n"/>
      <c r="E205" s="546" t="n"/>
      <c r="F205" s="596" t="n"/>
      <c r="G205" s="489" t="n"/>
    </row>
    <row r="206" customFormat="1" s="630" thickBot="1">
      <c r="A206" s="631" t="n"/>
      <c r="B206" s="632" t="inlineStr">
        <is>
          <t>Total Wayfinding</t>
        </is>
      </c>
      <c r="C206" s="633" t="n"/>
      <c r="D206" s="634" t="n"/>
      <c r="E206" s="932">
        <f>E204</f>
        <v/>
      </c>
      <c r="F206" s="635" t="n"/>
      <c r="G206" s="631" t="n"/>
      <c r="H206" s="642" t="n"/>
      <c r="I206" s="642" t="n"/>
      <c r="J206" s="642" t="n"/>
      <c r="K206" s="642" t="n"/>
      <c r="L206" s="642" t="n"/>
      <c r="M206" s="642" t="n"/>
      <c r="N206" s="642" t="n"/>
      <c r="O206" s="642" t="n"/>
      <c r="P206" s="642" t="n"/>
      <c r="Q206" s="642" t="n"/>
      <c r="R206" s="642" t="n"/>
      <c r="S206" s="642" t="n"/>
      <c r="T206" s="642" t="n"/>
      <c r="U206" s="642" t="n"/>
      <c r="V206" s="642" t="n"/>
      <c r="W206" s="642" t="n"/>
      <c r="X206" s="642" t="n"/>
      <c r="Y206" s="642" t="n"/>
      <c r="Z206" s="642" t="n"/>
      <c r="AA206" s="642" t="n"/>
      <c r="AB206" s="642" t="n"/>
      <c r="AC206" s="642" t="n"/>
      <c r="AD206" s="642" t="n"/>
      <c r="AE206" s="642" t="n"/>
      <c r="AF206" s="642" t="n"/>
      <c r="AG206" s="642" t="n"/>
      <c r="AH206" s="642" t="n"/>
      <c r="AI206" s="642" t="n"/>
      <c r="AJ206" s="642" t="n"/>
      <c r="AK206" s="642" t="n"/>
      <c r="AL206" s="642" t="n"/>
      <c r="AM206" s="642" t="n"/>
      <c r="AN206" s="642" t="n"/>
      <c r="AO206" s="642" t="n"/>
      <c r="AP206" s="642" t="n"/>
      <c r="AQ206" s="642" t="n"/>
      <c r="AR206" s="642" t="n"/>
      <c r="AS206" s="642" t="n"/>
      <c r="AT206" s="642" t="n"/>
      <c r="AU206" s="642" t="n"/>
      <c r="AV206" s="642" t="n"/>
      <c r="AW206" s="642" t="n"/>
      <c r="AX206" s="642" t="n"/>
      <c r="AY206" s="642" t="n"/>
      <c r="AZ206" s="642" t="n"/>
      <c r="BA206" s="642" t="n"/>
      <c r="BB206" s="642" t="n"/>
      <c r="BC206" s="642" t="n"/>
      <c r="BD206" s="642" t="n"/>
      <c r="BE206" s="642" t="n"/>
      <c r="BF206" s="642" t="n"/>
      <c r="BG206" s="642" t="n"/>
      <c r="BH206" s="642" t="n"/>
      <c r="BI206" s="642" t="n"/>
      <c r="BJ206" s="642" t="n"/>
      <c r="BK206" s="642" t="n"/>
      <c r="BL206" s="642" t="n"/>
      <c r="BM206" s="642" t="n"/>
      <c r="BN206" s="642" t="n"/>
      <c r="BO206" s="642" t="n"/>
      <c r="BP206" s="642" t="n"/>
      <c r="BQ206" s="642" t="n"/>
      <c r="BR206" s="642" t="n"/>
      <c r="BS206" s="642" t="n"/>
      <c r="BT206" s="642" t="n"/>
      <c r="BU206" s="642" t="n"/>
      <c r="BV206" s="642" t="n"/>
      <c r="BW206" s="642" t="n"/>
      <c r="BX206" s="642" t="n"/>
      <c r="BY206" s="642" t="n"/>
      <c r="BZ206" s="642" t="n"/>
      <c r="CA206" s="642" t="n"/>
      <c r="CB206" s="642" t="n"/>
      <c r="CC206" s="642" t="n"/>
      <c r="CD206" s="642" t="n"/>
      <c r="CE206" s="642" t="n"/>
    </row>
    <row r="207" ht="5.25" customFormat="1" customHeight="1" s="568" thickBot="1">
      <c r="A207" s="561" t="n"/>
      <c r="B207" s="562" t="n"/>
      <c r="C207" s="922" t="n"/>
      <c r="D207" s="923" t="n"/>
      <c r="E207" s="930" t="n"/>
      <c r="F207" s="566" t="n"/>
      <c r="G207" s="567" t="n"/>
    </row>
    <row r="208" ht="13" customFormat="1" customHeight="1" s="539">
      <c r="A208" s="534" t="n"/>
      <c r="B208" s="540" t="inlineStr">
        <is>
          <t>Art</t>
        </is>
      </c>
      <c r="C208" s="541" t="n"/>
      <c r="D208" s="550" t="n"/>
      <c r="E208" s="550" t="n"/>
      <c r="F208" s="550" t="n"/>
      <c r="G208" s="534" t="n"/>
    </row>
    <row r="209" ht="13" customFormat="1" customHeight="1" s="539">
      <c r="A209" s="438" t="n">
        <v>1</v>
      </c>
      <c r="B209" s="438" t="inlineStr">
        <is>
          <t>Interior Art and Décor</t>
        </is>
      </c>
      <c r="C209" s="573" t="n">
        <v>1</v>
      </c>
      <c r="D209" s="918" t="n">
        <v>150000</v>
      </c>
      <c r="E209" s="908">
        <f>D209*C209</f>
        <v/>
      </c>
      <c r="F209" s="546" t="inlineStr">
        <is>
          <t>Inerior Scenic Work &amp; Exterior Building Murals</t>
        </is>
      </c>
      <c r="G209" s="544" t="n"/>
    </row>
    <row r="210" ht="14" customFormat="1" customHeight="1" s="539" thickBot="1">
      <c r="A210" s="574" t="n"/>
      <c r="B210" s="575" t="inlineStr">
        <is>
          <t>Total Art</t>
        </is>
      </c>
      <c r="C210" s="557" t="n"/>
      <c r="D210" s="558" t="n"/>
      <c r="E210" s="572">
        <f>E209</f>
        <v/>
      </c>
      <c r="F210" s="572" t="n"/>
      <c r="G210" s="574" t="n"/>
    </row>
    <row r="211" ht="5.25" customFormat="1" customHeight="1" s="568" thickBot="1">
      <c r="A211" s="561" t="n"/>
      <c r="B211" s="562" t="n"/>
      <c r="C211" s="922" t="n"/>
      <c r="D211" s="923" t="n"/>
      <c r="E211" s="930" t="n"/>
      <c r="F211" s="566" t="n"/>
      <c r="G211" s="567" t="n"/>
    </row>
    <row r="212" customFormat="1" s="630" thickBot="1">
      <c r="A212" s="629" t="n"/>
      <c r="B212" s="625" t="inlineStr">
        <is>
          <t>SUB-TOTAL SIGNAGE / SCENIC</t>
        </is>
      </c>
      <c r="C212" s="925" t="n"/>
      <c r="D212" s="627" t="n"/>
      <c r="E212" s="926">
        <f>E210+E206+E201</f>
        <v/>
      </c>
      <c r="F212" s="628" t="n"/>
      <c r="G212" s="629" t="n"/>
      <c r="H212" s="642" t="n"/>
      <c r="I212" s="642" t="n"/>
      <c r="J212" s="642" t="n"/>
      <c r="K212" s="642" t="n"/>
      <c r="L212" s="642" t="n"/>
      <c r="M212" s="642" t="n"/>
      <c r="N212" s="642" t="n"/>
      <c r="O212" s="642" t="n"/>
      <c r="P212" s="642" t="n"/>
      <c r="Q212" s="642" t="n"/>
      <c r="R212" s="642" t="n"/>
      <c r="S212" s="642" t="n"/>
      <c r="T212" s="642" t="n"/>
      <c r="U212" s="642" t="n"/>
      <c r="V212" s="642" t="n"/>
      <c r="W212" s="642" t="n"/>
      <c r="X212" s="642" t="n"/>
      <c r="Y212" s="642" t="n"/>
      <c r="Z212" s="642" t="n"/>
      <c r="AA212" s="642" t="n"/>
      <c r="AB212" s="642" t="n"/>
      <c r="AC212" s="642" t="n"/>
      <c r="AD212" s="642" t="n"/>
      <c r="AE212" s="642" t="n"/>
      <c r="AF212" s="642" t="n"/>
      <c r="AG212" s="642" t="n"/>
      <c r="AH212" s="642" t="n"/>
      <c r="AI212" s="642" t="n"/>
      <c r="AJ212" s="642" t="n"/>
      <c r="AK212" s="642" t="n"/>
      <c r="AL212" s="642" t="n"/>
      <c r="AM212" s="642" t="n"/>
      <c r="AN212" s="642" t="n"/>
      <c r="AO212" s="642" t="n"/>
      <c r="AP212" s="642" t="n"/>
      <c r="AQ212" s="642" t="n"/>
      <c r="AR212" s="642" t="n"/>
      <c r="AS212" s="642" t="n"/>
      <c r="AT212" s="642" t="n"/>
      <c r="AU212" s="642" t="n"/>
      <c r="AV212" s="642" t="n"/>
      <c r="AW212" s="642" t="n"/>
      <c r="AX212" s="642" t="n"/>
      <c r="AY212" s="642" t="n"/>
      <c r="AZ212" s="642" t="n"/>
      <c r="BA212" s="642" t="n"/>
      <c r="BB212" s="642" t="n"/>
      <c r="BC212" s="642" t="n"/>
      <c r="BD212" s="642" t="n"/>
      <c r="BE212" s="642" t="n"/>
      <c r="BF212" s="642" t="n"/>
      <c r="BG212" s="642" t="n"/>
      <c r="BH212" s="642" t="n"/>
      <c r="BI212" s="642" t="n"/>
      <c r="BJ212" s="642" t="n"/>
      <c r="BK212" s="642" t="n"/>
      <c r="BL212" s="642" t="n"/>
      <c r="BM212" s="642" t="n"/>
      <c r="BN212" s="642" t="n"/>
      <c r="BO212" s="642" t="n"/>
      <c r="BP212" s="642" t="n"/>
      <c r="BQ212" s="642" t="n"/>
      <c r="BR212" s="642" t="n"/>
      <c r="BS212" s="642" t="n"/>
      <c r="BT212" s="642" t="n"/>
      <c r="BU212" s="642" t="n"/>
      <c r="BV212" s="642" t="n"/>
      <c r="BW212" s="642" t="n"/>
      <c r="BX212" s="642" t="n"/>
      <c r="BY212" s="642" t="n"/>
      <c r="BZ212" s="642" t="n"/>
      <c r="CA212" s="642" t="n"/>
      <c r="CB212" s="642" t="n"/>
      <c r="CC212" s="642" t="n"/>
      <c r="CD212" s="642" t="n"/>
      <c r="CE212" s="642" t="n"/>
    </row>
    <row r="213" ht="14" customFormat="1" customHeight="1" s="528" thickBot="1">
      <c r="A213" s="529" t="inlineStr">
        <is>
          <t>ADMINISTRATION</t>
        </is>
      </c>
      <c r="B213" s="526" t="n"/>
      <c r="C213" s="526" t="n"/>
      <c r="D213" s="526" t="n"/>
      <c r="E213" s="526" t="n"/>
      <c r="F213" s="526" t="n"/>
      <c r="G213" s="527" t="n"/>
    </row>
    <row r="214" ht="14" customFormat="1" customHeight="1" s="506" thickBot="1">
      <c r="A214" s="530" t="n">
        <v>306</v>
      </c>
      <c r="B214" s="530" t="inlineStr">
        <is>
          <t>DESCRIPTION</t>
        </is>
      </c>
      <c r="C214" s="530" t="inlineStr">
        <is>
          <t>QTY</t>
        </is>
      </c>
      <c r="D214" s="530" t="inlineStr">
        <is>
          <t>PRICE</t>
        </is>
      </c>
      <c r="E214" s="530" t="inlineStr">
        <is>
          <t>BUDGET</t>
        </is>
      </c>
      <c r="F214" s="530" t="inlineStr">
        <is>
          <t>VENDOR</t>
        </is>
      </c>
      <c r="G214" s="530" t="inlineStr">
        <is>
          <t>NOTES</t>
        </is>
      </c>
    </row>
    <row r="215" ht="13" customFormat="1" customHeight="1" s="539">
      <c r="A215" s="576" t="n"/>
      <c r="B215" s="577" t="inlineStr">
        <is>
          <t>Office Equipment</t>
        </is>
      </c>
      <c r="C215" s="578" t="n"/>
      <c r="D215" s="579" t="n"/>
      <c r="E215" s="580" t="n"/>
      <c r="F215" s="581" t="n"/>
      <c r="G215" s="933" t="n"/>
    </row>
    <row r="216" ht="13" customFormat="1" customHeight="1" s="539">
      <c r="A216" s="534">
        <f>A215+1</f>
        <v/>
      </c>
      <c r="B216" s="534" t="inlineStr">
        <is>
          <t>Safe-Accounting</t>
        </is>
      </c>
      <c r="C216" s="541" t="n">
        <v>1</v>
      </c>
      <c r="D216" s="550" t="n">
        <v>1000</v>
      </c>
      <c r="E216" s="546">
        <f>D216*C216</f>
        <v/>
      </c>
      <c r="F216" s="546" t="n"/>
      <c r="G216" s="915" t="n"/>
    </row>
    <row r="217" ht="13" customFormat="1" customHeight="1" s="539">
      <c r="A217" s="534" t="n">
        <v>2</v>
      </c>
      <c r="B217" s="534" t="inlineStr">
        <is>
          <t>Safe-Box Office</t>
        </is>
      </c>
      <c r="C217" s="541" t="n">
        <v>1</v>
      </c>
      <c r="D217" s="550" t="n">
        <v>1000</v>
      </c>
      <c r="E217" s="546">
        <f>D217*C217</f>
        <v/>
      </c>
      <c r="F217" s="546" t="n"/>
      <c r="G217" s="915" t="n"/>
    </row>
    <row r="218" ht="13" customFormat="1" customHeight="1" s="539">
      <c r="A218" s="438" t="n">
        <v>3</v>
      </c>
      <c r="B218" s="438" t="inlineStr">
        <is>
          <t>Safe-Concessions</t>
        </is>
      </c>
      <c r="C218" s="545" t="n">
        <v>1</v>
      </c>
      <c r="D218" s="550" t="n">
        <v>1000</v>
      </c>
      <c r="E218" s="546">
        <f>D218*C218</f>
        <v/>
      </c>
      <c r="F218" s="546" t="n"/>
      <c r="G218" s="920" t="n"/>
    </row>
    <row r="219" ht="13" customFormat="1" customHeight="1" s="539">
      <c r="A219" s="438" t="n"/>
      <c r="B219" s="438" t="inlineStr">
        <is>
          <t>Radios</t>
        </is>
      </c>
      <c r="C219" s="545" t="n">
        <v>1</v>
      </c>
      <c r="D219" s="546" t="n">
        <v>20000</v>
      </c>
      <c r="E219" s="546">
        <f>D219*C219</f>
        <v/>
      </c>
      <c r="F219" s="546" t="n"/>
      <c r="G219" s="934" t="n"/>
    </row>
    <row r="220" ht="14" customFormat="1" customHeight="1" s="539" thickBot="1">
      <c r="A220" s="555" t="n"/>
      <c r="B220" s="556" t="inlineStr">
        <is>
          <t>Total Office Equipment</t>
        </is>
      </c>
      <c r="C220" s="557" t="n"/>
      <c r="D220" s="558" t="n"/>
      <c r="E220" s="572">
        <f>SUM(E216:E219)</f>
        <v/>
      </c>
      <c r="F220" s="559" t="n"/>
      <c r="G220" s="935" t="n"/>
    </row>
    <row r="221" ht="5.25" customFormat="1" customHeight="1" s="568" thickBot="1">
      <c r="A221" s="561" t="n"/>
      <c r="B221" s="562" t="n"/>
      <c r="C221" s="922" t="n"/>
      <c r="D221" s="923" t="n"/>
      <c r="E221" s="930" t="n"/>
      <c r="F221" s="566" t="n"/>
      <c r="G221" s="567" t="n"/>
    </row>
    <row r="222" ht="24" customFormat="1" customHeight="1" s="539">
      <c r="A222" s="534" t="n"/>
      <c r="B222" s="540" t="inlineStr">
        <is>
          <t>Metal Detectors</t>
        </is>
      </c>
      <c r="C222" s="541" t="n"/>
      <c r="D222" s="550" t="n"/>
      <c r="E222" s="936" t="n"/>
      <c r="F222" s="552" t="n"/>
      <c r="G222" s="937" t="inlineStr">
        <is>
          <t>1 allowance, $70,000 - how many screening lanes does that buy? We carry 12 walk-through units for a 7,440 house.</t>
        </is>
      </c>
    </row>
    <row r="223" ht="13" customFormat="1" customHeight="1" s="539">
      <c r="A223" s="438">
        <f>A222+1</f>
        <v/>
      </c>
      <c r="B223" s="489" t="inlineStr">
        <is>
          <t>Metal Detectors</t>
        </is>
      </c>
      <c r="C223" s="545" t="n">
        <v>1</v>
      </c>
      <c r="D223" s="546" t="n">
        <v>70000</v>
      </c>
      <c r="E223" s="546">
        <f>D223*C223</f>
        <v/>
      </c>
      <c r="F223" s="546" t="n"/>
      <c r="G223" s="920" t="n"/>
    </row>
    <row r="224" ht="14" customFormat="1" customHeight="1" s="539" thickBot="1">
      <c r="A224" s="555" t="n"/>
      <c r="B224" s="556" t="inlineStr">
        <is>
          <t>Total Metal Detectors</t>
        </is>
      </c>
      <c r="C224" s="557" t="n"/>
      <c r="D224" s="558" t="n"/>
      <c r="E224" s="572">
        <f>E223</f>
        <v/>
      </c>
      <c r="F224" s="559" t="n"/>
      <c r="G224" s="921" t="n"/>
    </row>
    <row r="225" ht="5.25" customFormat="1" customHeight="1" s="568" thickBot="1">
      <c r="A225" s="561" t="n"/>
      <c r="B225" s="562" t="n"/>
      <c r="C225" s="922" t="n"/>
      <c r="D225" s="923" t="n"/>
      <c r="E225" s="930" t="n"/>
      <c r="F225" s="566" t="n"/>
      <c r="G225" s="567" t="n"/>
    </row>
    <row r="226" customFormat="1" s="630" thickBot="1">
      <c r="A226" s="629" t="n"/>
      <c r="B226" s="625" t="inlineStr">
        <is>
          <t>SUB-TOTAL ADMINISTRATION</t>
        </is>
      </c>
      <c r="C226" s="925" t="n"/>
      <c r="D226" s="627" t="n"/>
      <c r="E226" s="628">
        <f>E224+E220</f>
        <v/>
      </c>
      <c r="F226" s="628" t="n"/>
      <c r="G226" s="629" t="n"/>
      <c r="H226" s="642" t="n"/>
      <c r="I226" s="642" t="n"/>
      <c r="J226" s="642" t="n"/>
      <c r="K226" s="642" t="n"/>
      <c r="L226" s="642" t="n"/>
      <c r="M226" s="642" t="n"/>
      <c r="N226" s="642" t="n"/>
      <c r="O226" s="642" t="n"/>
      <c r="P226" s="642" t="n"/>
      <c r="Q226" s="642" t="n"/>
      <c r="R226" s="642" t="n"/>
      <c r="S226" s="642" t="n"/>
      <c r="T226" s="642" t="n"/>
      <c r="U226" s="642" t="n"/>
      <c r="V226" s="642" t="n"/>
      <c r="W226" s="642" t="n"/>
      <c r="X226" s="642" t="n"/>
      <c r="Y226" s="642" t="n"/>
      <c r="Z226" s="642" t="n"/>
      <c r="AA226" s="642" t="n"/>
      <c r="AB226" s="642" t="n"/>
      <c r="AC226" s="642" t="n"/>
      <c r="AD226" s="642" t="n"/>
      <c r="AE226" s="642" t="n"/>
      <c r="AF226" s="642" t="n"/>
      <c r="AG226" s="642" t="n"/>
      <c r="AH226" s="642" t="n"/>
      <c r="AI226" s="642" t="n"/>
      <c r="AJ226" s="642" t="n"/>
      <c r="AK226" s="642" t="n"/>
      <c r="AL226" s="642" t="n"/>
      <c r="AM226" s="642" t="n"/>
      <c r="AN226" s="642" t="n"/>
      <c r="AO226" s="642" t="n"/>
      <c r="AP226" s="642" t="n"/>
      <c r="AQ226" s="642" t="n"/>
      <c r="AR226" s="642" t="n"/>
      <c r="AS226" s="642" t="n"/>
      <c r="AT226" s="642" t="n"/>
      <c r="AU226" s="642" t="n"/>
      <c r="AV226" s="642" t="n"/>
      <c r="AW226" s="642" t="n"/>
      <c r="AX226" s="642" t="n"/>
      <c r="AY226" s="642" t="n"/>
      <c r="AZ226" s="642" t="n"/>
      <c r="BA226" s="642" t="n"/>
      <c r="BB226" s="642" t="n"/>
      <c r="BC226" s="642" t="n"/>
      <c r="BD226" s="642" t="n"/>
      <c r="BE226" s="642" t="n"/>
      <c r="BF226" s="642" t="n"/>
      <c r="BG226" s="642" t="n"/>
      <c r="BH226" s="642" t="n"/>
      <c r="BI226" s="642" t="n"/>
      <c r="BJ226" s="642" t="n"/>
      <c r="BK226" s="642" t="n"/>
      <c r="BL226" s="642" t="n"/>
      <c r="BM226" s="642" t="n"/>
      <c r="BN226" s="642" t="n"/>
      <c r="BO226" s="642" t="n"/>
      <c r="BP226" s="642" t="n"/>
      <c r="BQ226" s="642" t="n"/>
      <c r="BR226" s="642" t="n"/>
      <c r="BS226" s="642" t="n"/>
      <c r="BT226" s="642" t="n"/>
      <c r="BU226" s="642" t="n"/>
      <c r="BV226" s="642" t="n"/>
      <c r="BW226" s="642" t="n"/>
      <c r="BX226" s="642" t="n"/>
      <c r="BY226" s="642" t="n"/>
      <c r="BZ226" s="642" t="n"/>
      <c r="CA226" s="642" t="n"/>
      <c r="CB226" s="642" t="n"/>
      <c r="CC226" s="642" t="n"/>
      <c r="CD226" s="642" t="n"/>
      <c r="CE226" s="642" t="n"/>
    </row>
    <row r="227" ht="14" customFormat="1" customHeight="1" s="528" thickBot="1">
      <c r="A227" s="529" t="inlineStr">
        <is>
          <t>FACILITY</t>
        </is>
      </c>
      <c r="B227" s="526" t="n"/>
      <c r="C227" s="526" t="n"/>
      <c r="D227" s="526" t="n"/>
      <c r="E227" s="526" t="n"/>
      <c r="F227" s="526" t="n"/>
      <c r="G227" s="527" t="n"/>
    </row>
    <row r="228" ht="12" customFormat="1" customHeight="1" s="377" thickBot="1">
      <c r="A228" s="380" t="n">
        <v>307</v>
      </c>
      <c r="B228" s="380" t="inlineStr">
        <is>
          <t>DESCRIPTION</t>
        </is>
      </c>
      <c r="C228" s="380" t="inlineStr">
        <is>
          <t>QTY</t>
        </is>
      </c>
      <c r="D228" s="380" t="inlineStr">
        <is>
          <t>PRICE</t>
        </is>
      </c>
      <c r="E228" s="380" t="inlineStr">
        <is>
          <t>BUDGET</t>
        </is>
      </c>
      <c r="F228" s="380" t="inlineStr">
        <is>
          <t>VENDOR</t>
        </is>
      </c>
      <c r="G228" s="380" t="inlineStr">
        <is>
          <t>NOTES</t>
        </is>
      </c>
    </row>
    <row r="229" ht="13" customFormat="1" customHeight="1" s="539">
      <c r="A229" s="534" t="n"/>
      <c r="B229" s="540" t="inlineStr">
        <is>
          <t>Administration/Main Entrance</t>
        </is>
      </c>
      <c r="C229" s="541" t="n"/>
      <c r="D229" s="915" t="n"/>
      <c r="E229" s="915" t="n"/>
      <c r="F229" s="915" t="n"/>
      <c r="G229" s="534" t="n"/>
    </row>
    <row r="230" ht="13" customFormat="1" customHeight="1" s="539">
      <c r="A230" s="438" t="n">
        <v>1</v>
      </c>
      <c r="B230" s="438" t="inlineStr">
        <is>
          <t>Merch Cases</t>
        </is>
      </c>
      <c r="C230" s="545" t="n">
        <v>1</v>
      </c>
      <c r="D230" s="920" t="n">
        <v>26000</v>
      </c>
      <c r="E230" s="547">
        <f>D230*C230</f>
        <v/>
      </c>
      <c r="F230" s="547" t="n"/>
      <c r="G230" s="438" t="n"/>
    </row>
    <row r="231" ht="14" customFormat="1" customHeight="1" s="539" thickBot="1">
      <c r="A231" s="489" t="n"/>
      <c r="B231" s="586" t="inlineStr">
        <is>
          <t>Total Admin/Main Entrance</t>
        </is>
      </c>
      <c r="C231" s="583" t="n"/>
      <c r="D231" s="934" t="n"/>
      <c r="E231" s="587">
        <f>E230</f>
        <v/>
      </c>
      <c r="F231" s="588" t="n"/>
      <c r="G231" s="489" t="n"/>
    </row>
    <row r="232" ht="5.25" customFormat="1" customHeight="1" s="568" thickBot="1">
      <c r="A232" s="561" t="n"/>
      <c r="B232" s="562" t="n"/>
      <c r="C232" s="922" t="n"/>
      <c r="D232" s="923" t="n"/>
      <c r="E232" s="930" t="n"/>
      <c r="F232" s="566" t="n"/>
      <c r="G232" s="567" t="n"/>
    </row>
    <row r="233" ht="13" customFormat="1" customHeight="1" s="539">
      <c r="A233" s="589" t="n"/>
      <c r="B233" s="488" t="inlineStr">
        <is>
          <t>Landscape Furniture</t>
        </is>
      </c>
      <c r="C233" s="590" t="n"/>
      <c r="D233" s="938" t="n"/>
      <c r="E233" s="592" t="n"/>
      <c r="F233" s="592" t="n"/>
      <c r="G233" s="589" t="n"/>
    </row>
    <row r="234" ht="13" customFormat="1" customHeight="1" s="539">
      <c r="A234" s="535">
        <f>A233+1</f>
        <v/>
      </c>
      <c r="B234" s="535" t="n"/>
      <c r="C234" s="593" t="n">
        <v>0</v>
      </c>
      <c r="D234" s="939" t="n">
        <v>0</v>
      </c>
      <c r="E234" s="547">
        <f>D234*C234</f>
        <v/>
      </c>
      <c r="F234" s="547" t="n"/>
      <c r="G234" s="535" t="n"/>
    </row>
    <row r="235" ht="14" customFormat="1" customHeight="1" s="539" thickBot="1">
      <c r="A235" s="489" t="n"/>
      <c r="B235" s="586" t="inlineStr">
        <is>
          <t>Total Landscape Furniture</t>
        </is>
      </c>
      <c r="C235" s="583" t="n"/>
      <c r="D235" s="934" t="n"/>
      <c r="E235" s="587">
        <f>E234</f>
        <v/>
      </c>
      <c r="F235" s="588" t="n"/>
      <c r="G235" s="489" t="n"/>
    </row>
    <row r="236" ht="5.25" customFormat="1" customHeight="1" s="568" thickBot="1">
      <c r="A236" s="561" t="n"/>
      <c r="B236" s="562" t="n"/>
      <c r="C236" s="922" t="n"/>
      <c r="D236" s="923" t="n"/>
      <c r="E236" s="930" t="n"/>
      <c r="F236" s="566" t="n"/>
      <c r="G236" s="567" t="n"/>
    </row>
    <row r="237" ht="13" customFormat="1" customHeight="1" s="539">
      <c r="A237" s="534" t="n"/>
      <c r="B237" s="540" t="inlineStr">
        <is>
          <t>Lighting/Sound/Video-Other</t>
        </is>
      </c>
      <c r="C237" s="541" t="n"/>
      <c r="D237" s="915" t="n"/>
      <c r="E237" s="543" t="n"/>
      <c r="F237" s="543" t="n"/>
      <c r="G237" s="534" t="n"/>
    </row>
    <row r="238" ht="13" customFormat="1" customHeight="1" s="539">
      <c r="A238" s="438">
        <f>A237+1</f>
        <v/>
      </c>
      <c r="B238" s="438" t="n"/>
      <c r="C238" s="545" t="n">
        <v>0</v>
      </c>
      <c r="D238" s="920" t="n">
        <v>0</v>
      </c>
      <c r="E238" s="547">
        <f>D238*C238</f>
        <v/>
      </c>
      <c r="F238" s="547" t="n"/>
      <c r="G238" s="438" t="n"/>
    </row>
    <row r="239" ht="14" customFormat="1" customHeight="1" s="539" thickBot="1">
      <c r="A239" s="589" t="n"/>
      <c r="B239" s="488" t="inlineStr">
        <is>
          <t>Total Lighting/Sound/Video</t>
        </is>
      </c>
      <c r="C239" s="590" t="n"/>
      <c r="D239" s="938" t="n"/>
      <c r="E239" s="587">
        <f>E238</f>
        <v/>
      </c>
      <c r="F239" s="595" t="n"/>
      <c r="G239" s="589" t="n"/>
    </row>
    <row r="240" ht="5.25" customFormat="1" customHeight="1" s="568" thickBot="1">
      <c r="A240" s="561" t="n"/>
      <c r="B240" s="562" t="n"/>
      <c r="C240" s="922" t="n"/>
      <c r="D240" s="923" t="n"/>
      <c r="E240" s="930" t="n"/>
      <c r="F240" s="566" t="n"/>
      <c r="G240" s="567" t="n"/>
    </row>
    <row r="241" customFormat="1" s="630" thickBot="1">
      <c r="A241" s="629" t="n"/>
      <c r="B241" s="625" t="inlineStr">
        <is>
          <t>SUB-TOTAL FACILITY</t>
        </is>
      </c>
      <c r="C241" s="925" t="n"/>
      <c r="D241" s="940" t="n"/>
      <c r="E241" s="941">
        <f>E239+E235+E231</f>
        <v/>
      </c>
      <c r="F241" s="637" t="n"/>
      <c r="G241" s="629" t="n"/>
      <c r="H241" s="642" t="n"/>
      <c r="I241" s="642" t="n"/>
      <c r="J241" s="642" t="n"/>
      <c r="K241" s="642" t="n"/>
      <c r="L241" s="642" t="n"/>
      <c r="M241" s="642" t="n"/>
      <c r="N241" s="642" t="n"/>
      <c r="O241" s="642" t="n"/>
      <c r="P241" s="642" t="n"/>
      <c r="Q241" s="642" t="n"/>
      <c r="R241" s="642" t="n"/>
      <c r="S241" s="642" t="n"/>
      <c r="T241" s="642" t="n"/>
      <c r="U241" s="642" t="n"/>
      <c r="V241" s="642" t="n"/>
      <c r="W241" s="642" t="n"/>
      <c r="X241" s="642" t="n"/>
      <c r="Y241" s="642" t="n"/>
      <c r="Z241" s="642" t="n"/>
      <c r="AA241" s="642" t="n"/>
      <c r="AB241" s="642" t="n"/>
      <c r="AC241" s="642" t="n"/>
      <c r="AD241" s="642" t="n"/>
      <c r="AE241" s="642" t="n"/>
      <c r="AF241" s="642" t="n"/>
      <c r="AG241" s="642" t="n"/>
      <c r="AH241" s="642" t="n"/>
      <c r="AI241" s="642" t="n"/>
      <c r="AJ241" s="642" t="n"/>
      <c r="AK241" s="642" t="n"/>
      <c r="AL241" s="642" t="n"/>
      <c r="AM241" s="642" t="n"/>
      <c r="AN241" s="642" t="n"/>
      <c r="AO241" s="642" t="n"/>
      <c r="AP241" s="642" t="n"/>
      <c r="AQ241" s="642" t="n"/>
      <c r="AR241" s="642" t="n"/>
      <c r="AS241" s="642" t="n"/>
      <c r="AT241" s="642" t="n"/>
      <c r="AU241" s="642" t="n"/>
      <c r="AV241" s="642" t="n"/>
      <c r="AW241" s="642" t="n"/>
      <c r="AX241" s="642" t="n"/>
      <c r="AY241" s="642" t="n"/>
      <c r="AZ241" s="642" t="n"/>
      <c r="BA241" s="642" t="n"/>
      <c r="BB241" s="642" t="n"/>
      <c r="BC241" s="642" t="n"/>
      <c r="BD241" s="642" t="n"/>
      <c r="BE241" s="642" t="n"/>
      <c r="BF241" s="642" t="n"/>
      <c r="BG241" s="642" t="n"/>
      <c r="BH241" s="642" t="n"/>
      <c r="BI241" s="642" t="n"/>
      <c r="BJ241" s="642" t="n"/>
      <c r="BK241" s="642" t="n"/>
      <c r="BL241" s="642" t="n"/>
      <c r="BM241" s="642" t="n"/>
      <c r="BN241" s="642" t="n"/>
      <c r="BO241" s="642" t="n"/>
      <c r="BP241" s="642" t="n"/>
      <c r="BQ241" s="642" t="n"/>
      <c r="BR241" s="642" t="n"/>
      <c r="BS241" s="642" t="n"/>
      <c r="BT241" s="642" t="n"/>
      <c r="BU241" s="642" t="n"/>
      <c r="BV241" s="642" t="n"/>
      <c r="BW241" s="642" t="n"/>
      <c r="BX241" s="642" t="n"/>
      <c r="BY241" s="642" t="n"/>
      <c r="BZ241" s="642" t="n"/>
      <c r="CA241" s="642" t="n"/>
      <c r="CB241" s="642" t="n"/>
      <c r="CC241" s="642" t="n"/>
      <c r="CD241" s="642" t="n"/>
      <c r="CE241" s="642" t="n"/>
    </row>
    <row r="242" ht="14" customFormat="1" customHeight="1" s="528" thickBot="1">
      <c r="A242" s="529" t="inlineStr">
        <is>
          <t>OPERATIONS</t>
        </is>
      </c>
      <c r="B242" s="526" t="n"/>
      <c r="C242" s="526" t="n"/>
      <c r="D242" s="526" t="n"/>
      <c r="E242" s="526" t="n"/>
      <c r="F242" s="526" t="n"/>
      <c r="G242" s="527" t="n"/>
    </row>
    <row r="243" ht="12" customFormat="1" customHeight="1" s="377" thickBot="1">
      <c r="A243" s="380" t="inlineStr">
        <is>
          <t>#</t>
        </is>
      </c>
      <c r="B243" s="380" t="inlineStr">
        <is>
          <t>DESCRIPTION</t>
        </is>
      </c>
      <c r="C243" s="380" t="inlineStr">
        <is>
          <t>QTY</t>
        </is>
      </c>
      <c r="D243" s="380" t="inlineStr">
        <is>
          <t>PRICE</t>
        </is>
      </c>
      <c r="E243" s="380" t="inlineStr">
        <is>
          <t>BUDGET</t>
        </is>
      </c>
      <c r="F243" s="380" t="inlineStr">
        <is>
          <t>VENDOR</t>
        </is>
      </c>
      <c r="G243" s="380" t="inlineStr">
        <is>
          <t>NOTES</t>
        </is>
      </c>
    </row>
    <row r="244" ht="13" customFormat="1" customHeight="1" s="539">
      <c r="A244" s="540" t="n"/>
      <c r="B244" s="540" t="inlineStr">
        <is>
          <t>Custodial Equipment</t>
        </is>
      </c>
      <c r="C244" s="541" t="n"/>
      <c r="D244" s="550" t="n"/>
      <c r="E244" s="550" t="n"/>
      <c r="F244" s="550" t="n"/>
      <c r="G244" s="534" t="n"/>
    </row>
    <row r="245" ht="13" customFormat="1" customHeight="1" s="539">
      <c r="A245" s="438" t="n">
        <v>1</v>
      </c>
      <c r="B245" s="438" t="inlineStr">
        <is>
          <t>Venue Trash Cans</t>
        </is>
      </c>
      <c r="C245" s="545" t="n">
        <v>80</v>
      </c>
      <c r="D245" s="546" t="n">
        <v>150</v>
      </c>
      <c r="E245" s="546">
        <f>D245*C245</f>
        <v/>
      </c>
      <c r="F245" s="546" t="n"/>
      <c r="G245" s="438" t="n"/>
    </row>
    <row r="246" ht="13" customFormat="1" customHeight="1" s="539">
      <c r="A246" s="438">
        <f>A245+1</f>
        <v/>
      </c>
      <c r="B246" s="438" t="inlineStr">
        <is>
          <t>Decorative Trash Cans</t>
        </is>
      </c>
      <c r="C246" s="545" t="n">
        <v>0</v>
      </c>
      <c r="D246" s="546" t="n">
        <v>0</v>
      </c>
      <c r="E246" s="546">
        <f>D246*C246</f>
        <v/>
      </c>
      <c r="F246" s="546" t="n"/>
      <c r="G246" s="544" t="n"/>
    </row>
    <row r="247" ht="13" customFormat="1" customHeight="1" s="539">
      <c r="A247" s="438">
        <f>A246+1</f>
        <v/>
      </c>
      <c r="B247" s="489" t="inlineStr">
        <is>
          <t>Janitor Carts</t>
        </is>
      </c>
      <c r="C247" s="583" t="n">
        <v>2</v>
      </c>
      <c r="D247" s="596" t="n">
        <v>500</v>
      </c>
      <c r="E247" s="546">
        <f>D247*C247</f>
        <v/>
      </c>
      <c r="F247" s="546" t="n"/>
      <c r="G247" s="489" t="n"/>
    </row>
    <row r="248" ht="14" customFormat="1" customHeight="1" s="539" thickBot="1">
      <c r="A248" s="612" t="n"/>
      <c r="B248" s="613" t="inlineStr">
        <is>
          <t>Total Custodial Equipment</t>
        </is>
      </c>
      <c r="C248" s="614" t="n"/>
      <c r="D248" s="615" t="n"/>
      <c r="E248" s="616">
        <f>SUM(E245:E247)</f>
        <v/>
      </c>
      <c r="F248" s="616" t="n"/>
      <c r="G248" s="612" t="n"/>
    </row>
    <row r="249" ht="5.25" customFormat="1" customHeight="1" s="568" thickBot="1">
      <c r="A249" s="561" t="n"/>
      <c r="B249" s="562" t="n"/>
      <c r="C249" s="922" t="n"/>
      <c r="D249" s="923" t="n"/>
      <c r="E249" s="930" t="n"/>
      <c r="F249" s="566" t="n"/>
      <c r="G249" s="567" t="n"/>
    </row>
    <row r="250" ht="13" customFormat="1" customHeight="1" s="539">
      <c r="A250" s="534" t="n"/>
      <c r="B250" s="540" t="inlineStr">
        <is>
          <t>Landscape Equipment</t>
        </is>
      </c>
      <c r="C250" s="541" t="n"/>
      <c r="D250" s="550" t="n"/>
      <c r="E250" s="550" t="n"/>
      <c r="F250" s="550" t="n"/>
      <c r="G250" s="534" t="n"/>
    </row>
    <row r="251" ht="13" customFormat="1" customHeight="1" s="539">
      <c r="A251" s="438">
        <f>A250+1</f>
        <v/>
      </c>
      <c r="B251" s="438" t="n"/>
      <c r="C251" s="545" t="n"/>
      <c r="D251" s="546" t="n">
        <v>0</v>
      </c>
      <c r="E251" s="546">
        <f>D251*C251</f>
        <v/>
      </c>
      <c r="F251" s="546" t="n"/>
      <c r="G251" s="438" t="n"/>
    </row>
    <row r="252" ht="14" customFormat="1" customHeight="1" s="539" thickBot="1">
      <c r="A252" s="612" t="n"/>
      <c r="B252" s="613" t="inlineStr">
        <is>
          <t>Total Landscape Equipment</t>
        </is>
      </c>
      <c r="C252" s="614" t="n"/>
      <c r="D252" s="615" t="n"/>
      <c r="E252" s="616">
        <f>E251</f>
        <v/>
      </c>
      <c r="F252" s="616" t="n"/>
      <c r="G252" s="612" t="n"/>
    </row>
    <row r="253" ht="5.25" customFormat="1" customHeight="1" s="568" thickBot="1">
      <c r="A253" s="561" t="n"/>
      <c r="B253" s="562" t="n"/>
      <c r="C253" s="922" t="n"/>
      <c r="D253" s="923" t="n"/>
      <c r="E253" s="930" t="n"/>
      <c r="F253" s="566" t="n"/>
      <c r="G253" s="567" t="n"/>
    </row>
    <row r="254" ht="13" customFormat="1" customHeight="1" s="539">
      <c r="A254" s="534" t="n"/>
      <c r="B254" s="540" t="inlineStr">
        <is>
          <t>Miscellaneous Equipment</t>
        </is>
      </c>
      <c r="C254" s="541" t="n"/>
      <c r="D254" s="550" t="n">
        <v>0</v>
      </c>
      <c r="E254" s="550" t="n"/>
      <c r="F254" s="550" t="n"/>
      <c r="G254" s="534" t="n"/>
    </row>
    <row r="255" ht="13" customFormat="1" customHeight="1" s="539">
      <c r="A255" s="489" t="n">
        <v>1</v>
      </c>
      <c r="B255" s="489" t="n"/>
      <c r="C255" s="545" t="n"/>
      <c r="D255" s="546" t="n"/>
      <c r="E255" s="546" t="n"/>
      <c r="F255" s="546" t="n"/>
      <c r="G255" s="489" t="n"/>
    </row>
    <row r="256" ht="14" customFormat="1" customHeight="1" s="539" thickBot="1">
      <c r="A256" s="612" t="n"/>
      <c r="B256" s="613" t="inlineStr">
        <is>
          <t>Total Misc. Equipment</t>
        </is>
      </c>
      <c r="C256" s="614" t="n"/>
      <c r="D256" s="615" t="n"/>
      <c r="E256" s="616">
        <f>E255</f>
        <v/>
      </c>
      <c r="F256" s="616" t="n"/>
      <c r="G256" s="612" t="n"/>
    </row>
    <row r="257" ht="5.25" customFormat="1" customHeight="1" s="568" thickBot="1">
      <c r="A257" s="561" t="n"/>
      <c r="B257" s="562" t="n"/>
      <c r="C257" s="922" t="n"/>
      <c r="D257" s="923" t="n"/>
      <c r="E257" s="930" t="n"/>
      <c r="F257" s="566" t="n"/>
      <c r="G257" s="567" t="n"/>
    </row>
    <row r="258" ht="13" customFormat="1" customHeight="1" s="539">
      <c r="A258" s="534" t="n"/>
      <c r="B258" s="540" t="inlineStr">
        <is>
          <t>Security/Police/Traffic</t>
        </is>
      </c>
      <c r="C258" s="541" t="n"/>
      <c r="D258" s="550" t="n"/>
      <c r="E258" s="550" t="n"/>
      <c r="F258" s="550" t="n"/>
      <c r="G258" s="534" t="n"/>
    </row>
    <row r="259" ht="13" customFormat="1" customHeight="1" s="539">
      <c r="A259" s="438" t="n">
        <v>1</v>
      </c>
      <c r="B259" s="438" t="inlineStr">
        <is>
          <t>Bicycle Rack</t>
        </is>
      </c>
      <c r="C259" s="545" t="n">
        <v>1</v>
      </c>
      <c r="D259" s="546" t="n">
        <v>1000</v>
      </c>
      <c r="E259" s="546">
        <f>D259*C259</f>
        <v/>
      </c>
      <c r="F259" s="546" t="n"/>
      <c r="G259" s="438" t="n"/>
    </row>
    <row r="260" ht="13" customFormat="1" customHeight="1" s="539">
      <c r="A260" s="438" t="n">
        <v>2</v>
      </c>
      <c r="B260" s="438" t="inlineStr">
        <is>
          <t>Police Barricades</t>
        </is>
      </c>
      <c r="C260" s="545" t="n">
        <v>1</v>
      </c>
      <c r="D260" s="546" t="n">
        <v>10000</v>
      </c>
      <c r="E260" s="546">
        <f>D260*C260</f>
        <v/>
      </c>
      <c r="F260" s="546" t="n"/>
      <c r="G260" s="438" t="n"/>
    </row>
    <row r="261" ht="13" customFormat="1" customHeight="1" s="539">
      <c r="A261" s="438" t="n">
        <v>3</v>
      </c>
      <c r="B261" s="438" t="n"/>
      <c r="C261" s="545" t="n"/>
      <c r="D261" s="546" t="n"/>
      <c r="E261" s="546" t="n"/>
      <c r="F261" s="546" t="n"/>
      <c r="G261" s="438" t="n"/>
    </row>
    <row r="262" ht="13" customFormat="1" customHeight="1" s="539">
      <c r="A262" s="438" t="n"/>
      <c r="B262" s="536" t="n"/>
      <c r="C262" s="597" t="n"/>
      <c r="D262" s="598" t="n"/>
      <c r="E262" s="546" t="n"/>
      <c r="F262" s="598" t="n"/>
      <c r="G262" s="536" t="n"/>
    </row>
    <row r="263" ht="14" customFormat="1" customHeight="1" s="539" thickBot="1">
      <c r="A263" s="664" t="n"/>
      <c r="B263" s="665" t="inlineStr">
        <is>
          <t>Total Sec/Police/Traffic</t>
        </is>
      </c>
      <c r="C263" s="666" t="n"/>
      <c r="D263" s="676" t="n"/>
      <c r="E263" s="677">
        <f>SUM(E259:E262)</f>
        <v/>
      </c>
      <c r="F263" s="678" t="n"/>
      <c r="G263" s="664" t="n"/>
    </row>
    <row r="264" ht="5.25" customFormat="1" customHeight="1" s="568" thickBot="1">
      <c r="A264" s="561" t="n"/>
      <c r="B264" s="562" t="n"/>
      <c r="C264" s="922" t="n"/>
      <c r="D264" s="923" t="n"/>
      <c r="E264" s="930" t="n"/>
      <c r="F264" s="566" t="n"/>
      <c r="G264" s="567" t="n"/>
    </row>
    <row r="265" ht="13" customFormat="1" customHeight="1" s="539">
      <c r="A265" s="534" t="n"/>
      <c r="B265" s="540" t="inlineStr">
        <is>
          <t>Shop Equipment</t>
        </is>
      </c>
      <c r="C265" s="541" t="n"/>
      <c r="D265" s="550" t="n"/>
      <c r="E265" s="550" t="n"/>
      <c r="F265" s="550" t="n"/>
      <c r="G265" s="534" t="n"/>
    </row>
    <row r="266" ht="13" customFormat="1" customHeight="1" s="539">
      <c r="A266" s="536">
        <f>A265+1</f>
        <v/>
      </c>
      <c r="B266" s="536" t="inlineStr">
        <is>
          <t>Hand Tools-Miscellaneous</t>
        </is>
      </c>
      <c r="C266" s="597" t="n">
        <v>1</v>
      </c>
      <c r="D266" s="598" t="n">
        <v>3000</v>
      </c>
      <c r="E266" s="546">
        <f>D266*C266</f>
        <v/>
      </c>
      <c r="F266" s="546" t="n"/>
      <c r="G266" s="536" t="n"/>
    </row>
    <row r="267" ht="13" customFormat="1" customHeight="1" s="539">
      <c r="A267" s="536">
        <f>A266+1</f>
        <v/>
      </c>
      <c r="B267" s="536" t="inlineStr">
        <is>
          <t>Ladders</t>
        </is>
      </c>
      <c r="C267" s="597" t="n">
        <v>1</v>
      </c>
      <c r="D267" s="598" t="n">
        <v>1000</v>
      </c>
      <c r="E267" s="598">
        <f>D267*C267</f>
        <v/>
      </c>
      <c r="F267" s="598" t="n"/>
      <c r="G267" s="536" t="n"/>
    </row>
    <row r="268" ht="13" customFormat="1" customHeight="1" s="539">
      <c r="A268" s="536" t="n">
        <v>3</v>
      </c>
      <c r="B268" s="536" t="inlineStr">
        <is>
          <t>Shelving / Cabinets</t>
        </is>
      </c>
      <c r="C268" s="597" t="n">
        <v>1</v>
      </c>
      <c r="D268" s="598" t="n">
        <v>1000</v>
      </c>
      <c r="E268" s="598">
        <f>D268*C268</f>
        <v/>
      </c>
      <c r="F268" s="598" t="n"/>
      <c r="G268" s="536" t="n"/>
    </row>
    <row r="269" ht="14" customFormat="1" customHeight="1" s="539" thickBot="1">
      <c r="A269" s="664" t="n"/>
      <c r="B269" s="665" t="inlineStr">
        <is>
          <t>Total Shop Equipment</t>
        </is>
      </c>
      <c r="C269" s="666" t="n"/>
      <c r="D269" s="676" t="n"/>
      <c r="E269" s="677">
        <f>SUM(E266:E268)</f>
        <v/>
      </c>
      <c r="F269" s="678" t="n"/>
      <c r="G269" s="664" t="n"/>
    </row>
    <row r="270" ht="5.25" customFormat="1" customHeight="1" s="568" thickBot="1">
      <c r="A270" s="561" t="n"/>
      <c r="B270" s="562" t="n"/>
      <c r="C270" s="922" t="n"/>
      <c r="D270" s="923" t="n"/>
      <c r="E270" s="930" t="n"/>
      <c r="F270" s="566" t="n"/>
      <c r="G270" s="567" t="n"/>
    </row>
    <row r="271" customFormat="1" s="630" thickBot="1">
      <c r="A271" s="629" t="n"/>
      <c r="B271" s="625" t="inlineStr">
        <is>
          <t>SUB-TOTAL OPERATIONS</t>
        </is>
      </c>
      <c r="C271" s="638" t="n"/>
      <c r="D271" s="627" t="n"/>
      <c r="E271" s="628">
        <f>E269+E263+E256+E252+E248</f>
        <v/>
      </c>
      <c r="F271" s="628" t="n"/>
      <c r="G271" s="629" t="n"/>
      <c r="H271" s="642" t="n"/>
      <c r="I271" s="642" t="n"/>
      <c r="J271" s="642" t="n"/>
      <c r="K271" s="642" t="n"/>
      <c r="L271" s="642" t="n"/>
      <c r="M271" s="642" t="n"/>
      <c r="N271" s="642" t="n"/>
      <c r="O271" s="642" t="n"/>
      <c r="P271" s="642" t="n"/>
      <c r="Q271" s="642" t="n"/>
      <c r="R271" s="642" t="n"/>
      <c r="S271" s="642" t="n"/>
      <c r="T271" s="642" t="n"/>
      <c r="U271" s="642" t="n"/>
      <c r="V271" s="642" t="n"/>
      <c r="W271" s="642" t="n"/>
      <c r="X271" s="642" t="n"/>
      <c r="Y271" s="642" t="n"/>
      <c r="Z271" s="642" t="n"/>
      <c r="AA271" s="642" t="n"/>
      <c r="AB271" s="642" t="n"/>
      <c r="AC271" s="642" t="n"/>
      <c r="AD271" s="642" t="n"/>
      <c r="AE271" s="642" t="n"/>
      <c r="AF271" s="642" t="n"/>
      <c r="AG271" s="642" t="n"/>
      <c r="AH271" s="642" t="n"/>
      <c r="AI271" s="642" t="n"/>
      <c r="AJ271" s="642" t="n"/>
      <c r="AK271" s="642" t="n"/>
      <c r="AL271" s="642" t="n"/>
      <c r="AM271" s="642" t="n"/>
      <c r="AN271" s="642" t="n"/>
      <c r="AO271" s="642" t="n"/>
      <c r="AP271" s="642" t="n"/>
      <c r="AQ271" s="642" t="n"/>
      <c r="AR271" s="642" t="n"/>
      <c r="AS271" s="642" t="n"/>
      <c r="AT271" s="642" t="n"/>
      <c r="AU271" s="642" t="n"/>
      <c r="AV271" s="642" t="n"/>
      <c r="AW271" s="642" t="n"/>
      <c r="AX271" s="642" t="n"/>
      <c r="AY271" s="642" t="n"/>
      <c r="AZ271" s="642" t="n"/>
      <c r="BA271" s="642" t="n"/>
      <c r="BB271" s="642" t="n"/>
      <c r="BC271" s="642" t="n"/>
      <c r="BD271" s="642" t="n"/>
      <c r="BE271" s="642" t="n"/>
      <c r="BF271" s="642" t="n"/>
      <c r="BG271" s="642" t="n"/>
      <c r="BH271" s="642" t="n"/>
      <c r="BI271" s="642" t="n"/>
      <c r="BJ271" s="642" t="n"/>
      <c r="BK271" s="642" t="n"/>
      <c r="BL271" s="642" t="n"/>
      <c r="BM271" s="642" t="n"/>
      <c r="BN271" s="642" t="n"/>
      <c r="BO271" s="642" t="n"/>
      <c r="BP271" s="642" t="n"/>
      <c r="BQ271" s="642" t="n"/>
      <c r="BR271" s="642" t="n"/>
      <c r="BS271" s="642" t="n"/>
      <c r="BT271" s="642" t="n"/>
      <c r="BU271" s="642" t="n"/>
      <c r="BV271" s="642" t="n"/>
      <c r="BW271" s="642" t="n"/>
      <c r="BX271" s="642" t="n"/>
      <c r="BY271" s="642" t="n"/>
      <c r="BZ271" s="642" t="n"/>
      <c r="CA271" s="642" t="n"/>
      <c r="CB271" s="642" t="n"/>
      <c r="CC271" s="642" t="n"/>
      <c r="CD271" s="642" t="n"/>
      <c r="CE271" s="642" t="n"/>
    </row>
    <row r="272" ht="14" customFormat="1" customHeight="1" s="528" thickBot="1">
      <c r="A272" s="529" t="inlineStr">
        <is>
          <t>PRODUCTION</t>
        </is>
      </c>
      <c r="B272" s="526" t="n"/>
      <c r="C272" s="526" t="n"/>
      <c r="D272" s="526" t="n"/>
      <c r="E272" s="526" t="n"/>
      <c r="F272" s="526" t="n"/>
      <c r="G272" s="527" t="n"/>
    </row>
    <row r="273" ht="14" customFormat="1" customHeight="1" s="539" thickBot="1">
      <c r="A273" s="538" t="inlineStr">
        <is>
          <t>#</t>
        </is>
      </c>
      <c r="B273" s="538" t="inlineStr">
        <is>
          <t>DESCRIPTION</t>
        </is>
      </c>
      <c r="C273" s="538" t="inlineStr">
        <is>
          <t>QTY</t>
        </is>
      </c>
      <c r="D273" s="538" t="inlineStr">
        <is>
          <t>PRICE</t>
        </is>
      </c>
      <c r="E273" s="538" t="inlineStr">
        <is>
          <t>BUDGET</t>
        </is>
      </c>
      <c r="F273" s="538" t="inlineStr">
        <is>
          <t>VENDOR</t>
        </is>
      </c>
      <c r="G273" s="538" t="inlineStr">
        <is>
          <t>NOTES</t>
        </is>
      </c>
    </row>
    <row r="274" ht="13" customFormat="1" customHeight="1" s="539">
      <c r="A274" s="534" t="n"/>
      <c r="B274" s="540" t="inlineStr">
        <is>
          <t>Production FF&amp;E</t>
        </is>
      </c>
      <c r="C274" s="541" t="n"/>
      <c r="D274" s="915" t="n"/>
      <c r="E274" s="915" t="n"/>
      <c r="F274" s="915" t="n"/>
      <c r="G274" s="534" t="n"/>
    </row>
    <row r="275" ht="13" customFormat="1" customHeight="1" s="539">
      <c r="A275" s="534" t="n">
        <v>1</v>
      </c>
      <c r="B275" s="534" t="inlineStr">
        <is>
          <t>AVS - Test</t>
        </is>
      </c>
      <c r="C275" s="541" t="n"/>
      <c r="D275" s="547" t="n">
        <v>0</v>
      </c>
      <c r="E275" s="547">
        <f>C275*D275</f>
        <v/>
      </c>
      <c r="F275" s="915" t="n"/>
      <c r="G275" s="534" t="n"/>
    </row>
    <row r="276" ht="13" customFormat="1" customHeight="1" s="539">
      <c r="A276" s="438">
        <f>A275+1</f>
        <v/>
      </c>
      <c r="B276" s="438" t="inlineStr">
        <is>
          <t>Stage Barricade</t>
        </is>
      </c>
      <c r="C276" s="545" t="n">
        <v>1</v>
      </c>
      <c r="D276" s="547" t="n">
        <v>18000</v>
      </c>
      <c r="E276" s="547">
        <f>C276*D276</f>
        <v/>
      </c>
      <c r="F276" s="547" t="n"/>
      <c r="G276" s="438" t="n"/>
    </row>
    <row r="277" ht="13" customFormat="1" customHeight="1" s="539">
      <c r="A277" s="438">
        <f>A276+1</f>
        <v/>
      </c>
      <c r="B277" s="438" t="inlineStr">
        <is>
          <t>Portable Stage</t>
        </is>
      </c>
      <c r="C277" s="545" t="n">
        <v>1</v>
      </c>
      <c r="D277" s="547" t="n">
        <v>30000</v>
      </c>
      <c r="E277" s="547">
        <f>C277*D277</f>
        <v/>
      </c>
      <c r="F277" s="547" t="n"/>
      <c r="G277" s="438" t="n"/>
    </row>
    <row r="278" ht="13" customFormat="1" customHeight="1" s="539">
      <c r="A278" s="438">
        <f>A277+1</f>
        <v/>
      </c>
      <c r="B278" s="438" t="inlineStr">
        <is>
          <t>Fork Lift</t>
        </is>
      </c>
      <c r="C278" s="541" t="n">
        <v>1</v>
      </c>
      <c r="D278" s="543" t="n">
        <v>35000</v>
      </c>
      <c r="E278" s="547">
        <f>C278*D278</f>
        <v/>
      </c>
      <c r="F278" s="547" t="n"/>
      <c r="G278" s="438" t="n"/>
    </row>
    <row r="279" ht="13" customFormat="1" customHeight="1" s="539">
      <c r="A279" s="438">
        <f>A278+1</f>
        <v/>
      </c>
      <c r="B279" s="438" t="inlineStr">
        <is>
          <t>Scissor Lift</t>
        </is>
      </c>
      <c r="C279" s="541" t="n">
        <v>1</v>
      </c>
      <c r="D279" s="543" t="n">
        <v>25000</v>
      </c>
      <c r="E279" s="547">
        <f>C279*D279</f>
        <v/>
      </c>
      <c r="F279" s="547" t="n"/>
      <c r="G279" s="438" t="n"/>
    </row>
    <row r="280" ht="13" customFormat="1" customHeight="1" s="539">
      <c r="A280" s="438">
        <f>A279+1</f>
        <v/>
      </c>
      <c r="B280" s="438" t="inlineStr">
        <is>
          <t>Washer &amp; Dryer</t>
        </is>
      </c>
      <c r="C280" s="545" t="n">
        <v>1</v>
      </c>
      <c r="D280" s="547" t="n">
        <v>5000</v>
      </c>
      <c r="E280" s="547">
        <f>C280*D280</f>
        <v/>
      </c>
      <c r="F280" s="547" t="n"/>
      <c r="G280" s="438" t="n"/>
    </row>
    <row r="281" ht="13" customFormat="1" customHeight="1" s="539">
      <c r="A281" s="438">
        <f>A280+1</f>
        <v/>
      </c>
      <c r="B281" s="438" t="inlineStr">
        <is>
          <t>Risers</t>
        </is>
      </c>
      <c r="C281" s="545" t="n">
        <v>1</v>
      </c>
      <c r="D281" s="547" t="n">
        <v>12000</v>
      </c>
      <c r="E281" s="547">
        <f>C281*D281</f>
        <v/>
      </c>
      <c r="F281" s="547" t="n"/>
      <c r="G281" s="438" t="n"/>
    </row>
    <row r="282" ht="13" customFormat="1" customHeight="1" s="539">
      <c r="A282" s="438">
        <f>A281+1</f>
        <v/>
      </c>
      <c r="B282" s="438" t="inlineStr">
        <is>
          <t>Dock Plates/Ramps/Hand Carts &amp; Dollies</t>
        </is>
      </c>
      <c r="C282" s="545" t="n">
        <v>1</v>
      </c>
      <c r="D282" s="547" t="n">
        <v>30000</v>
      </c>
      <c r="E282" s="547">
        <f>C282*D282</f>
        <v/>
      </c>
      <c r="F282" s="547" t="n"/>
      <c r="G282" s="438" t="n"/>
    </row>
    <row r="283" ht="13" customFormat="1" customHeight="1" s="539">
      <c r="A283" s="438">
        <f>A282+1</f>
        <v/>
      </c>
      <c r="B283" s="438" t="inlineStr">
        <is>
          <t>Hand Cart &amp; Dollies</t>
        </is>
      </c>
      <c r="C283" s="545" t="n">
        <v>1</v>
      </c>
      <c r="D283" s="547" t="n">
        <v>30000</v>
      </c>
      <c r="E283" s="547">
        <f>C283*D283</f>
        <v/>
      </c>
      <c r="F283" s="547" t="n"/>
      <c r="G283" s="438" t="n"/>
    </row>
    <row r="284" ht="13" customFormat="1" customHeight="1" s="539">
      <c r="A284" s="438">
        <f>A283+1</f>
        <v/>
      </c>
      <c r="B284" s="438" t="inlineStr">
        <is>
          <t>Storage Shelving</t>
        </is>
      </c>
      <c r="C284" s="545" t="n">
        <v>1</v>
      </c>
      <c r="D284" s="547" t="n">
        <v>1500</v>
      </c>
      <c r="E284" s="547">
        <f>C284*D284</f>
        <v/>
      </c>
      <c r="F284" s="547" t="n"/>
      <c r="G284" s="438" t="n"/>
    </row>
    <row r="285" ht="13" customFormat="1" customHeight="1" s="539">
      <c r="A285" s="438">
        <f>A284+1</f>
        <v/>
      </c>
      <c r="B285" s="438" t="inlineStr">
        <is>
          <t>Tools</t>
        </is>
      </c>
      <c r="C285" s="545" t="n">
        <v>1</v>
      </c>
      <c r="D285" s="547" t="n">
        <v>7000</v>
      </c>
      <c r="E285" s="547">
        <f>C285*D285</f>
        <v/>
      </c>
      <c r="F285" s="547" t="n"/>
      <c r="G285" s="438" t="n"/>
    </row>
    <row r="286" ht="14" customFormat="1" customHeight="1" s="539" thickBot="1">
      <c r="A286" s="612" t="n"/>
      <c r="B286" s="613" t="inlineStr">
        <is>
          <t>Total Production FF&amp;E</t>
        </is>
      </c>
      <c r="C286" s="614" t="n"/>
      <c r="D286" s="657" t="n"/>
      <c r="E286" s="942">
        <f>SUM(E275:E285)</f>
        <v/>
      </c>
      <c r="F286" s="942" t="n"/>
      <c r="G286" s="612" t="n"/>
    </row>
    <row r="287" ht="5.25" customFormat="1" customHeight="1" s="568" thickBot="1">
      <c r="A287" s="561" t="n"/>
      <c r="B287" s="562" t="n"/>
      <c r="C287" s="922" t="n"/>
      <c r="D287" s="923" t="n"/>
      <c r="E287" s="930" t="n"/>
      <c r="F287" s="566" t="n"/>
      <c r="G287" s="567" t="n"/>
    </row>
    <row r="288" ht="13" customFormat="1" customHeight="1" s="539">
      <c r="A288" s="438" t="n"/>
      <c r="B288" s="548" t="inlineStr">
        <is>
          <t>Soft Goods</t>
        </is>
      </c>
      <c r="C288" s="545" t="n"/>
      <c r="D288" s="547" t="n"/>
      <c r="E288" s="547" t="n"/>
      <c r="F288" s="547" t="n"/>
      <c r="G288" s="438" t="n"/>
    </row>
    <row r="289" ht="36" customFormat="1" customHeight="1" s="539">
      <c r="A289" s="438" t="n">
        <v>1</v>
      </c>
      <c r="B289" s="438" t="inlineStr">
        <is>
          <t>All soft goods</t>
        </is>
      </c>
      <c r="C289" s="545" t="n">
        <v>1</v>
      </c>
      <c r="D289" s="547" t="n">
        <v>500000</v>
      </c>
      <c r="E289" s="916">
        <f>C289*D289</f>
        <v/>
      </c>
      <c r="F289" s="547" t="inlineStr">
        <is>
          <t>Stage / Perimeter Walls Music Hall - CUTDOWN DRAPE @ MEZZ EDGE Not Included</t>
        </is>
      </c>
      <c r="G289" s="917" t="inlineStr">
        <is>
          <t>$500,000, and the note excludes the mezzanine-edge cutdown drape. Your own benchmark note on the Production subtotal says Soft Goods $725k. Which is right? We are at $220,000 and think we are light.</t>
        </is>
      </c>
    </row>
    <row r="290" ht="14" customFormat="1" customHeight="1" s="539" thickBot="1">
      <c r="A290" s="659" t="n"/>
      <c r="B290" s="660" t="inlineStr">
        <is>
          <t>Total Soft Goods</t>
        </is>
      </c>
      <c r="C290" s="661" t="n"/>
      <c r="D290" s="662" t="n"/>
      <c r="E290" s="943">
        <f>E289</f>
        <v/>
      </c>
      <c r="F290" s="943" t="n"/>
      <c r="G290" s="659" t="n"/>
    </row>
    <row r="291" ht="5.25" customFormat="1" customHeight="1" s="568" thickBot="1">
      <c r="A291" s="561" t="n"/>
      <c r="B291" s="562" t="n"/>
      <c r="C291" s="922" t="n"/>
      <c r="D291" s="923" t="n"/>
      <c r="E291" s="930" t="n"/>
      <c r="F291" s="566" t="n"/>
      <c r="G291" s="567" t="n"/>
    </row>
    <row r="292" ht="13" customFormat="1" customHeight="1" s="539">
      <c r="A292" s="576" t="n"/>
      <c r="B292" s="577" t="inlineStr">
        <is>
          <t>Video System</t>
        </is>
      </c>
      <c r="C292" s="599" t="n"/>
      <c r="D292" s="600" t="n"/>
      <c r="E292" s="600" t="n"/>
      <c r="F292" s="600" t="n"/>
      <c r="G292" s="576" t="n"/>
    </row>
    <row r="293" ht="13" customFormat="1" customHeight="1" s="539">
      <c r="A293" s="438" t="n">
        <v>1</v>
      </c>
      <c r="B293" s="438" t="inlineStr">
        <is>
          <t>Music Hall Projector</t>
        </is>
      </c>
      <c r="C293" s="597" t="n">
        <v>1</v>
      </c>
      <c r="D293" s="601" t="n">
        <v>75000</v>
      </c>
      <c r="E293" s="547">
        <f>D293*C293</f>
        <v/>
      </c>
      <c r="F293" s="547" t="n"/>
      <c r="G293" s="438" t="n"/>
    </row>
    <row r="294" ht="13" customFormat="1" customHeight="1" s="605">
      <c r="A294" s="537">
        <f>A293+1</f>
        <v/>
      </c>
      <c r="B294" s="438" t="inlineStr">
        <is>
          <t>Displays &amp; Distribution</t>
        </is>
      </c>
      <c r="C294" s="602" t="n">
        <v>1</v>
      </c>
      <c r="D294" s="603" t="n">
        <v>200000</v>
      </c>
      <c r="E294" s="604">
        <f>D294*C294</f>
        <v/>
      </c>
      <c r="F294" s="604" t="n"/>
      <c r="G294" s="537" t="n"/>
    </row>
    <row r="295" ht="13" customFormat="1" customHeight="1" s="539">
      <c r="A295" s="537">
        <f>A294+1</f>
        <v/>
      </c>
      <c r="B295" s="438" t="inlineStr">
        <is>
          <t>VIP Lounge Projector</t>
        </is>
      </c>
      <c r="C295" s="597" t="n">
        <v>1</v>
      </c>
      <c r="D295" s="601" t="n">
        <v>10000</v>
      </c>
      <c r="E295" s="547">
        <f>D295*C295</f>
        <v/>
      </c>
      <c r="F295" s="547" t="n"/>
      <c r="G295" s="544" t="n"/>
    </row>
    <row r="296" ht="24" customFormat="1" customHeight="1" s="539">
      <c r="A296" s="537">
        <f>A295+1</f>
        <v/>
      </c>
      <c r="B296" s="944" t="inlineStr">
        <is>
          <t>Upstage Video Wall</t>
        </is>
      </c>
      <c r="C296" s="593" t="n"/>
      <c r="D296" s="606" t="n"/>
      <c r="E296" s="547" t="n"/>
      <c r="F296" s="697" t="inlineStr">
        <is>
          <t>$1,400/SF</t>
        </is>
      </c>
      <c r="G296" s="945" t="inlineStr">
        <is>
          <t>Blank, note $1,400/SF. Confirming you also intend both video walls OUT of this budget (Phase 2, artists bring their own)?</t>
        </is>
      </c>
    </row>
    <row r="297" ht="13" customFormat="1" customHeight="1" s="539">
      <c r="A297" s="537">
        <f>A296+1</f>
        <v/>
      </c>
      <c r="B297" s="489" t="inlineStr">
        <is>
          <t>Overhead Video Wall</t>
        </is>
      </c>
      <c r="C297" s="593" t="n"/>
      <c r="D297" s="606" t="n"/>
      <c r="E297" s="696" t="n"/>
      <c r="F297" s="697" t="n"/>
      <c r="G297" s="607" t="n"/>
    </row>
    <row r="298" ht="14" customFormat="1" customHeight="1" s="539" thickBot="1">
      <c r="A298" s="664" t="n"/>
      <c r="B298" s="665" t="inlineStr">
        <is>
          <t>Total Video System</t>
        </is>
      </c>
      <c r="C298" s="666" t="n"/>
      <c r="D298" s="667" t="n"/>
      <c r="E298" s="668">
        <f>SUM(E293:E295)</f>
        <v/>
      </c>
      <c r="F298" s="669" t="n"/>
      <c r="G298" s="664" t="n"/>
    </row>
    <row r="299" ht="5.25" customFormat="1" customHeight="1" s="568" thickBot="1">
      <c r="A299" s="561" t="n"/>
      <c r="B299" s="562" t="n"/>
      <c r="C299" s="922" t="n"/>
      <c r="D299" s="923" t="n"/>
      <c r="E299" s="930" t="n"/>
      <c r="F299" s="566" t="n"/>
      <c r="G299" s="567" t="n"/>
    </row>
    <row r="300" ht="13" customFormat="1" customHeight="1" s="539">
      <c r="A300" s="576" t="n"/>
      <c r="B300" s="577" t="inlineStr">
        <is>
          <t>Audio System</t>
        </is>
      </c>
      <c r="C300" s="599" t="n"/>
      <c r="D300" s="600" t="n"/>
      <c r="E300" s="600" t="n"/>
      <c r="F300" s="600" t="n"/>
      <c r="G300" s="576" t="n"/>
    </row>
    <row r="301" ht="36" customFormat="1" customHeight="1" s="539">
      <c r="A301" s="438" t="n">
        <v>1</v>
      </c>
      <c r="B301" s="438" t="inlineStr">
        <is>
          <t xml:space="preserve">House Sound System </t>
        </is>
      </c>
      <c r="C301" s="597" t="n">
        <v>1</v>
      </c>
      <c r="D301" s="601" t="n">
        <v>1400000</v>
      </c>
      <c r="E301" s="916">
        <f>D301*C301</f>
        <v/>
      </c>
      <c r="F301" s="547" t="inlineStr">
        <is>
          <t>Includes Theater / VIP / Restaurant &amp; Roof Area</t>
        </is>
      </c>
      <c r="G301" s="917" t="inlineStr">
        <is>
          <t>$1,400,000 'includes Theater / VIP / Restaurant &amp; Roof'. Your benchmark note says Audio $690k. We carry $2,200,000 and want to be challenged on it - do you have a vendor who will quote a house PA for a 7,440 room?</t>
        </is>
      </c>
    </row>
    <row r="302" ht="14" customFormat="1" customHeight="1" s="539" thickBot="1">
      <c r="A302" s="664" t="n"/>
      <c r="B302" s="665" t="inlineStr">
        <is>
          <t>Total Audio System</t>
        </is>
      </c>
      <c r="C302" s="666" t="n"/>
      <c r="D302" s="667" t="n"/>
      <c r="E302" s="946">
        <f>E301</f>
        <v/>
      </c>
      <c r="F302" s="946" t="n"/>
      <c r="G302" s="664" t="n"/>
    </row>
    <row r="303" ht="5.25" customFormat="1" customHeight="1" s="568" thickBot="1">
      <c r="A303" s="561" t="n"/>
      <c r="B303" s="562" t="n"/>
      <c r="C303" s="922" t="n"/>
      <c r="D303" s="923" t="n"/>
      <c r="E303" s="930" t="n"/>
      <c r="F303" s="566" t="n"/>
      <c r="G303" s="567" t="n"/>
    </row>
    <row r="304" ht="13" customFormat="1" customHeight="1" s="539">
      <c r="A304" s="589" t="n"/>
      <c r="B304" s="488" t="inlineStr">
        <is>
          <t>Production Lighting</t>
        </is>
      </c>
      <c r="C304" s="590" t="n"/>
      <c r="D304" s="592" t="n"/>
      <c r="E304" s="592" t="n"/>
      <c r="F304" s="592" t="n"/>
      <c r="G304" s="589" t="n"/>
    </row>
    <row r="305" ht="13" customFormat="1" customHeight="1" s="539">
      <c r="A305" s="438" t="n">
        <v>1</v>
      </c>
      <c r="B305" s="438" t="inlineStr">
        <is>
          <t>Performance Lighting</t>
        </is>
      </c>
      <c r="C305" s="545" t="n">
        <v>1</v>
      </c>
      <c r="D305" s="547" t="n">
        <v>520000</v>
      </c>
      <c r="E305" s="916">
        <f>C305*D305</f>
        <v/>
      </c>
      <c r="F305" s="547" t="n"/>
      <c r="G305" s="917" t="inlineStr">
        <is>
          <t>$520,000 against your benchmark note of $450k. We are at $340,000 and probably light.</t>
        </is>
      </c>
    </row>
    <row r="306" ht="13" customFormat="1" customHeight="1" s="539">
      <c r="A306" s="438" t="n">
        <v>2</v>
      </c>
      <c r="B306" s="438" t="inlineStr">
        <is>
          <t>Performance Lighting VIP</t>
        </is>
      </c>
      <c r="C306" s="545" t="n"/>
      <c r="D306" s="547" t="n">
        <v>0</v>
      </c>
      <c r="E306" s="547">
        <f>C306*D306</f>
        <v/>
      </c>
      <c r="F306" s="547" t="n"/>
      <c r="G306" s="438" t="n"/>
    </row>
    <row r="307" ht="14" customFormat="1" customHeight="1" s="539" thickBot="1">
      <c r="A307" s="671" t="n"/>
      <c r="B307" s="672" t="inlineStr">
        <is>
          <t>Total Performance Lighting</t>
        </is>
      </c>
      <c r="C307" s="673" t="n"/>
      <c r="D307" s="947" t="n"/>
      <c r="E307" s="668">
        <f>SUM(E305:E306)</f>
        <v/>
      </c>
      <c r="F307" s="675" t="n"/>
      <c r="G307" s="671" t="n"/>
    </row>
    <row r="308" ht="5.25" customFormat="1" customHeight="1" s="568" thickBot="1">
      <c r="A308" s="561" t="n"/>
      <c r="B308" s="562" t="n"/>
      <c r="C308" s="922" t="n"/>
      <c r="D308" s="923" t="n"/>
      <c r="E308" s="930" t="n"/>
      <c r="F308" s="566" t="n"/>
      <c r="G308" s="567" t="n"/>
    </row>
    <row r="309" customFormat="1" s="630" thickBot="1">
      <c r="A309" s="629" t="n"/>
      <c r="B309" s="625" t="inlineStr">
        <is>
          <t>SUB-TOTAL PRODUCTION</t>
        </is>
      </c>
      <c r="C309" s="925" t="n"/>
      <c r="D309" s="940" t="n"/>
      <c r="E309" s="637">
        <f>E307+E302+E298+E290+E286</f>
        <v/>
      </c>
      <c r="F309" s="948" t="n"/>
      <c r="G309" s="629" t="inlineStr">
        <is>
          <t>Misc. Equipment $60K, Soft Goods $725k, Video  $236k, Audio $690k, Performance Lighting $450k</t>
        </is>
      </c>
      <c r="H309" s="642" t="n"/>
      <c r="I309" s="642" t="n"/>
      <c r="J309" s="642" t="n"/>
      <c r="K309" s="642" t="n"/>
      <c r="L309" s="642" t="n"/>
      <c r="M309" s="642" t="n"/>
      <c r="N309" s="642" t="n"/>
      <c r="O309" s="642" t="n"/>
      <c r="P309" s="642" t="n"/>
      <c r="Q309" s="642" t="n"/>
      <c r="R309" s="642" t="n"/>
      <c r="S309" s="642" t="n"/>
      <c r="T309" s="642" t="n"/>
      <c r="U309" s="642" t="n"/>
      <c r="V309" s="642" t="n"/>
      <c r="W309" s="642" t="n"/>
      <c r="X309" s="642" t="n"/>
      <c r="Y309" s="642" t="n"/>
      <c r="Z309" s="642" t="n"/>
      <c r="AA309" s="642" t="n"/>
      <c r="AB309" s="642" t="n"/>
      <c r="AC309" s="642" t="n"/>
      <c r="AD309" s="642" t="n"/>
      <c r="AE309" s="642" t="n"/>
      <c r="AF309" s="642" t="n"/>
      <c r="AG309" s="642" t="n"/>
      <c r="AH309" s="642" t="n"/>
      <c r="AI309" s="642" t="n"/>
      <c r="AJ309" s="642" t="n"/>
      <c r="AK309" s="642" t="n"/>
      <c r="AL309" s="642" t="n"/>
      <c r="AM309" s="642" t="n"/>
      <c r="AN309" s="642" t="n"/>
      <c r="AO309" s="642" t="n"/>
      <c r="AP309" s="642" t="n"/>
      <c r="AQ309" s="642" t="n"/>
      <c r="AR309" s="642" t="n"/>
      <c r="AS309" s="642" t="n"/>
      <c r="AT309" s="642" t="n"/>
      <c r="AU309" s="642" t="n"/>
      <c r="AV309" s="642" t="n"/>
      <c r="AW309" s="642" t="n"/>
      <c r="AX309" s="642" t="n"/>
      <c r="AY309" s="642" t="n"/>
      <c r="AZ309" s="642" t="n"/>
      <c r="BA309" s="642" t="n"/>
      <c r="BB309" s="642" t="n"/>
      <c r="BC309" s="642" t="n"/>
      <c r="BD309" s="642" t="n"/>
      <c r="BE309" s="642" t="n"/>
      <c r="BF309" s="642" t="n"/>
      <c r="BG309" s="642" t="n"/>
      <c r="BH309" s="642" t="n"/>
      <c r="BI309" s="642" t="n"/>
      <c r="BJ309" s="642" t="n"/>
      <c r="BK309" s="642" t="n"/>
      <c r="BL309" s="642" t="n"/>
      <c r="BM309" s="642" t="n"/>
      <c r="BN309" s="642" t="n"/>
      <c r="BO309" s="642" t="n"/>
      <c r="BP309" s="642" t="n"/>
      <c r="BQ309" s="642" t="n"/>
      <c r="BR309" s="642" t="n"/>
      <c r="BS309" s="642" t="n"/>
      <c r="BT309" s="642" t="n"/>
      <c r="BU309" s="642" t="n"/>
      <c r="BV309" s="642" t="n"/>
      <c r="BW309" s="642" t="n"/>
      <c r="BX309" s="642" t="n"/>
      <c r="BY309" s="642" t="n"/>
      <c r="BZ309" s="642" t="n"/>
      <c r="CA309" s="642" t="n"/>
      <c r="CB309" s="642" t="n"/>
      <c r="CC309" s="642" t="n"/>
      <c r="CD309" s="642" t="n"/>
      <c r="CE309" s="642" t="n"/>
    </row>
    <row r="310" ht="14" customFormat="1" customHeight="1" s="528" thickBot="1">
      <c r="A310" s="529" t="inlineStr">
        <is>
          <t>ARCHITECTURAL LIGHTING</t>
        </is>
      </c>
      <c r="B310" s="526" t="n"/>
      <c r="C310" s="526" t="n"/>
      <c r="D310" s="526" t="n"/>
      <c r="E310" s="526" t="n"/>
      <c r="F310" s="526" t="n"/>
      <c r="G310" s="527" t="n"/>
    </row>
    <row r="311" ht="12" customFormat="1" customHeight="1" s="377" thickBot="1">
      <c r="A311" s="380" t="inlineStr">
        <is>
          <t>#</t>
        </is>
      </c>
      <c r="B311" s="380" t="inlineStr">
        <is>
          <t>DESCRIPTION</t>
        </is>
      </c>
      <c r="C311" s="380" t="inlineStr">
        <is>
          <t>QTY</t>
        </is>
      </c>
      <c r="D311" s="380" t="inlineStr">
        <is>
          <t>PRICE</t>
        </is>
      </c>
      <c r="E311" s="380" t="inlineStr">
        <is>
          <t>BUDGET</t>
        </is>
      </c>
      <c r="F311" s="380" t="inlineStr">
        <is>
          <t>VENDOR</t>
        </is>
      </c>
      <c r="G311" s="380" t="inlineStr">
        <is>
          <t>NOTES</t>
        </is>
      </c>
    </row>
    <row r="312" ht="13" customFormat="1" customHeight="1" s="539">
      <c r="A312" s="589" t="n"/>
      <c r="B312" s="589" t="n"/>
      <c r="C312" s="608" t="n"/>
      <c r="D312" s="592" t="n"/>
      <c r="E312" s="609" t="n"/>
      <c r="F312" s="609" t="n"/>
      <c r="G312" s="589" t="n"/>
    </row>
    <row r="313" ht="24" customFormat="1" customHeight="1" s="539">
      <c r="A313" s="438" t="n">
        <v>1</v>
      </c>
      <c r="B313" s="438" t="inlineStr">
        <is>
          <t>Architectural &amp; Exterior Lighting</t>
        </is>
      </c>
      <c r="C313" s="610" t="n">
        <v>1</v>
      </c>
      <c r="D313" s="547" t="n">
        <v>1750000</v>
      </c>
      <c r="E313" s="949">
        <f>D313*C313</f>
        <v/>
      </c>
      <c r="F313" s="547" t="n"/>
      <c r="G313" s="917" t="inlineStr">
        <is>
          <t>$1,750,000 here AND $1,631,436 of 'I/O lighting package PROVIDED BY OTHERS' inside the electrical trade (260000). Bought twice? Which one survives?</t>
        </is>
      </c>
    </row>
    <row r="314" ht="14" customFormat="1" customHeight="1" s="539" thickBot="1">
      <c r="A314" s="589" t="n"/>
      <c r="B314" s="589" t="n"/>
      <c r="C314" s="608" t="n"/>
      <c r="D314" s="592" t="n"/>
      <c r="E314" s="611">
        <f>E313</f>
        <v/>
      </c>
      <c r="F314" s="609" t="n"/>
      <c r="G314" s="589" t="n"/>
    </row>
    <row r="315" ht="5.25" customFormat="1" customHeight="1" s="568" thickBot="1">
      <c r="A315" s="561" t="n"/>
      <c r="B315" s="562" t="n"/>
      <c r="C315" s="922" t="n"/>
      <c r="D315" s="923" t="n"/>
      <c r="E315" s="930" t="n"/>
      <c r="F315" s="566" t="n"/>
      <c r="G315" s="567" t="n"/>
    </row>
    <row r="316" customFormat="1" s="630" thickBot="1">
      <c r="A316" s="629" t="n"/>
      <c r="B316" s="625" t="inlineStr">
        <is>
          <t>SUB-TOTAL ARCHITECTURAL LIGHTING</t>
        </is>
      </c>
      <c r="C316" s="925" t="n"/>
      <c r="D316" s="640" t="n"/>
      <c r="E316" s="637">
        <f>E314</f>
        <v/>
      </c>
      <c r="F316" s="637" t="n"/>
      <c r="G316" s="629" t="n"/>
      <c r="H316" s="642" t="n"/>
      <c r="I316" s="642" t="n"/>
      <c r="J316" s="642" t="n"/>
      <c r="K316" s="642" t="n"/>
      <c r="L316" s="642" t="n"/>
      <c r="M316" s="642" t="n"/>
      <c r="N316" s="642" t="n"/>
      <c r="O316" s="642" t="n"/>
      <c r="P316" s="642" t="n"/>
      <c r="Q316" s="642" t="n"/>
      <c r="R316" s="642" t="n"/>
      <c r="S316" s="642" t="n"/>
      <c r="T316" s="642" t="n"/>
      <c r="U316" s="642" t="n"/>
      <c r="V316" s="642" t="n"/>
      <c r="W316" s="642" t="n"/>
      <c r="X316" s="642" t="n"/>
      <c r="Y316" s="642" t="n"/>
      <c r="Z316" s="642" t="n"/>
      <c r="AA316" s="642" t="n"/>
      <c r="AB316" s="642" t="n"/>
      <c r="AC316" s="642" t="n"/>
      <c r="AD316" s="642" t="n"/>
      <c r="AE316" s="642" t="n"/>
      <c r="AF316" s="642" t="n"/>
      <c r="AG316" s="642" t="n"/>
      <c r="AH316" s="642" t="n"/>
      <c r="AI316" s="642" t="n"/>
      <c r="AJ316" s="642" t="n"/>
      <c r="AK316" s="642" t="n"/>
      <c r="AL316" s="642" t="n"/>
      <c r="AM316" s="642" t="n"/>
      <c r="AN316" s="642" t="n"/>
      <c r="AO316" s="642" t="n"/>
      <c r="AP316" s="642" t="n"/>
      <c r="AQ316" s="642" t="n"/>
      <c r="AR316" s="642" t="n"/>
      <c r="AS316" s="642" t="n"/>
      <c r="AT316" s="642" t="n"/>
      <c r="AU316" s="642" t="n"/>
      <c r="AV316" s="642" t="n"/>
      <c r="AW316" s="642" t="n"/>
      <c r="AX316" s="642" t="n"/>
      <c r="AY316" s="642" t="n"/>
      <c r="AZ316" s="642" t="n"/>
      <c r="BA316" s="642" t="n"/>
      <c r="BB316" s="642" t="n"/>
      <c r="BC316" s="642" t="n"/>
      <c r="BD316" s="642" t="n"/>
      <c r="BE316" s="642" t="n"/>
      <c r="BF316" s="642" t="n"/>
      <c r="BG316" s="642" t="n"/>
      <c r="BH316" s="642" t="n"/>
      <c r="BI316" s="642" t="n"/>
      <c r="BJ316" s="642" t="n"/>
      <c r="BK316" s="642" t="n"/>
      <c r="BL316" s="642" t="n"/>
      <c r="BM316" s="642" t="n"/>
      <c r="BN316" s="642" t="n"/>
      <c r="BO316" s="642" t="n"/>
      <c r="BP316" s="642" t="n"/>
      <c r="BQ316" s="642" t="n"/>
      <c r="BR316" s="642" t="n"/>
      <c r="BS316" s="642" t="n"/>
      <c r="BT316" s="642" t="n"/>
      <c r="BU316" s="642" t="n"/>
      <c r="BV316" s="642" t="n"/>
      <c r="BW316" s="642" t="n"/>
      <c r="BX316" s="642" t="n"/>
      <c r="BY316" s="642" t="n"/>
      <c r="BZ316" s="642" t="n"/>
      <c r="CA316" s="642" t="n"/>
      <c r="CB316" s="642" t="n"/>
      <c r="CC316" s="642" t="n"/>
      <c r="CD316" s="642" t="n"/>
      <c r="CE316" s="642" t="n"/>
    </row>
    <row r="317" ht="11" customFormat="1" customHeight="1" s="377">
      <c r="A317" s="378" t="n"/>
      <c r="D317" s="950" t="n"/>
      <c r="E317" s="378" t="n"/>
    </row>
    <row r="318" ht="11" customFormat="1" customHeight="1" s="377">
      <c r="A318" s="378" t="n"/>
      <c r="D318" s="950" t="n"/>
      <c r="E318" s="378" t="n"/>
    </row>
    <row r="319" ht="11" customFormat="1" customHeight="1" s="377">
      <c r="A319" s="378" t="n"/>
      <c r="D319" s="950" t="n"/>
      <c r="E319" s="378" t="n"/>
    </row>
    <row r="320" ht="11" customFormat="1" customHeight="1" s="377">
      <c r="A320" s="378" t="n"/>
      <c r="D320" s="950" t="n"/>
      <c r="E320" s="378" t="n"/>
    </row>
  </sheetData>
  <mergeCells count="2">
    <mergeCell ref="A7:E7"/>
    <mergeCell ref="A1:F1"/>
  </mergeCells>
  <pageMargins left="0.2361111111111111" right="0.7" top="0.75" bottom="0.75" header="0.3" footer="0.3"/>
  <pageSetup orientation="landscape" horizontalDpi="0" verticalDpi="0"/>
  <colBreaks count="1" manualBreakCount="1">
    <brk id="6" min="0" max="1048575" man="1"/>
  </colBreaks>
</worksheet>
</file>

<file path=xl/worksheets/sheet4.xml><?xml version="1.0" encoding="utf-8"?>
<worksheet xmlns="http://schemas.openxmlformats.org/spreadsheetml/2006/main">
  <sheetPr>
    <tabColor rgb="FFFF0000"/>
    <outlinePr summaryBelow="1" summaryRight="1"/>
    <pageSetUpPr/>
  </sheetPr>
  <dimension ref="A1:G58"/>
  <sheetViews>
    <sheetView zoomScale="125" zoomScaleNormal="145" workbookViewId="0">
      <selection activeCell="F24" sqref="F24"/>
    </sheetView>
  </sheetViews>
  <sheetFormatPr baseColWidth="10" defaultColWidth="9.1640625" defaultRowHeight="15"/>
  <cols>
    <col width="10.5" customWidth="1" style="1" min="1" max="1"/>
    <col width="59" customWidth="1" style="1" min="2" max="2"/>
    <col width="16.5" customWidth="1" style="1" min="3" max="4"/>
    <col width="30.33203125" customWidth="1" style="1" min="5" max="5"/>
    <col width="20.5" customWidth="1" style="1" min="6" max="6"/>
    <col width="78" customWidth="1" style="1" min="7" max="7"/>
    <col width="9.1640625" customWidth="1" style="1" min="8" max="16384"/>
  </cols>
  <sheetData>
    <row r="1" ht="16" customHeight="1">
      <c r="A1" s="758" t="inlineStr">
        <is>
          <t>Venue</t>
        </is>
      </c>
    </row>
    <row r="2" ht="16" customHeight="1">
      <c r="A2" s="273" t="inlineStr">
        <is>
          <t>Scope :</t>
        </is>
      </c>
      <c r="B2" s="756">
        <f>'Soft Cost &amp; FF&amp;E Budget Detail'!B2</f>
        <v/>
      </c>
      <c r="C2" s="746" t="n"/>
      <c r="D2" s="746" t="n"/>
      <c r="E2" s="746" t="n"/>
    </row>
    <row r="3" ht="16" customHeight="1">
      <c r="A3" s="273" t="inlineStr">
        <is>
          <t>Capacity:</t>
        </is>
      </c>
      <c r="B3" s="756" t="n">
        <v>7440</v>
      </c>
      <c r="C3" s="746" t="n"/>
      <c r="D3" s="746" t="n"/>
      <c r="E3" s="746" t="n"/>
    </row>
    <row r="4" ht="16" customHeight="1">
      <c r="A4" s="273" t="inlineStr">
        <is>
          <t>SF:</t>
        </is>
      </c>
      <c r="B4" s="756">
        <f>'Soft Cost &amp; FF&amp;E Budget Detail'!B4</f>
        <v/>
      </c>
      <c r="C4" s="746" t="n"/>
      <c r="D4" s="746" t="n"/>
      <c r="E4" s="746" t="n"/>
    </row>
    <row r="5" ht="16" customHeight="1">
      <c r="A5" s="273" t="inlineStr">
        <is>
          <t>Date:</t>
        </is>
      </c>
      <c r="B5" s="403" t="n">
        <v>46281</v>
      </c>
      <c r="C5" s="746" t="n"/>
      <c r="D5" s="746" t="n"/>
      <c r="E5" s="746" t="n"/>
    </row>
    <row r="6" ht="16" customHeight="1">
      <c r="A6" s="273" t="inlineStr">
        <is>
          <t xml:space="preserve">Version: </t>
        </is>
      </c>
      <c r="B6" s="756">
        <f>'Soft Cost &amp; FF&amp;E Budget Detail'!B6</f>
        <v/>
      </c>
      <c r="C6" s="746" t="n"/>
      <c r="D6" s="746" t="n"/>
      <c r="E6" s="746" t="n"/>
    </row>
    <row r="7" ht="17" customHeight="1" thickBot="1">
      <c r="A7" s="747" t="n"/>
      <c r="B7" s="814" t="n"/>
      <c r="C7" s="814" t="n"/>
      <c r="D7" s="814" t="n"/>
      <c r="E7" s="814" t="n"/>
    </row>
    <row r="8" ht="17" customHeight="1" thickBot="1">
      <c r="A8" s="235" t="n"/>
      <c r="B8" s="746" t="n"/>
      <c r="C8" s="746" t="n"/>
      <c r="D8" s="746" t="n"/>
      <c r="E8" s="746" t="n"/>
    </row>
    <row r="9" ht="16" customHeight="1" thickBot="1">
      <c r="A9" s="373" t="n">
        <v>100</v>
      </c>
      <c r="B9" s="376" t="inlineStr">
        <is>
          <t>BUILDING &amp; FIT-OUT COSTS</t>
        </is>
      </c>
      <c r="C9" s="374" t="n"/>
      <c r="D9" s="374" t="n"/>
      <c r="E9" s="375" t="n"/>
    </row>
    <row r="10" ht="16" customHeight="1" thickBot="1">
      <c r="A10" s="290" t="inlineStr">
        <is>
          <t>CSI #</t>
        </is>
      </c>
      <c r="B10" s="291" t="inlineStr">
        <is>
          <t>TRADE</t>
        </is>
      </c>
      <c r="C10" s="951" t="inlineStr">
        <is>
          <t>BUDGET</t>
        </is>
      </c>
      <c r="D10" s="293" t="inlineStr">
        <is>
          <t>COST/SF</t>
        </is>
      </c>
      <c r="E10" s="952" t="inlineStr">
        <is>
          <t>NOTES</t>
        </is>
      </c>
      <c r="G10" s="816" t="inlineStr">
        <is>
          <t>OUR QUESTION / ANALYSIS  (MT, 17 Sep)</t>
        </is>
      </c>
    </row>
    <row r="11">
      <c r="A11" s="717" t="inlineStr">
        <is>
          <t>013000</t>
        </is>
      </c>
      <c r="B11" s="738" t="inlineStr">
        <is>
          <t>PROJECT REQUIREMENTS</t>
        </is>
      </c>
      <c r="C11" s="953">
        <f>'Building &amp; Fit-out Breakdown'!F27</f>
        <v/>
      </c>
      <c r="D11" s="954">
        <f>C11/$B$4</f>
        <v/>
      </c>
      <c r="E11" s="953" t="n"/>
    </row>
    <row r="12">
      <c r="A12" s="717" t="inlineStr">
        <is>
          <t xml:space="preserve">015800 </t>
        </is>
      </c>
      <c r="B12" s="738" t="inlineStr">
        <is>
          <t xml:space="preserve">SCAFFOLDING &amp; STAGING </t>
        </is>
      </c>
      <c r="C12" s="955">
        <f>'Building &amp; Fit-out Breakdown'!F37</f>
        <v/>
      </c>
      <c r="D12" s="954">
        <f>C12/$B$4</f>
        <v/>
      </c>
      <c r="E12" s="955" t="n"/>
    </row>
    <row r="13">
      <c r="A13" s="717" t="inlineStr">
        <is>
          <t>024100</t>
        </is>
      </c>
      <c r="B13" s="718" t="inlineStr">
        <is>
          <t>DEMOLITION</t>
        </is>
      </c>
      <c r="C13" s="955">
        <f>'Building &amp; Fit-out Breakdown'!F63</f>
        <v/>
      </c>
      <c r="D13" s="954">
        <f>C13/$B$4</f>
        <v/>
      </c>
      <c r="E13" s="955" t="n"/>
    </row>
    <row r="14">
      <c r="A14" s="264" t="inlineStr">
        <is>
          <t>033000</t>
        </is>
      </c>
      <c r="B14" s="789" t="inlineStr">
        <is>
          <t>CONCRETE</t>
        </is>
      </c>
      <c r="C14" s="956">
        <f>'Building &amp; Fit-out Breakdown'!F93</f>
        <v/>
      </c>
      <c r="D14" s="957">
        <f>C14/$B$4</f>
        <v/>
      </c>
      <c r="E14" s="956" t="n"/>
    </row>
    <row r="15">
      <c r="A15" s="264" t="inlineStr">
        <is>
          <t>042000</t>
        </is>
      </c>
      <c r="B15" s="789" t="inlineStr">
        <is>
          <t>MASONRY</t>
        </is>
      </c>
      <c r="C15" s="956">
        <f>'Building &amp; Fit-out Breakdown'!F119</f>
        <v/>
      </c>
      <c r="D15" s="957">
        <f>C15/$B$4</f>
        <v/>
      </c>
      <c r="E15" s="956" t="n"/>
    </row>
    <row r="16">
      <c r="A16" s="717" t="inlineStr">
        <is>
          <t>044000</t>
        </is>
      </c>
      <c r="B16" s="718" t="inlineStr">
        <is>
          <t>STONE &amp; CERAMICS</t>
        </is>
      </c>
      <c r="C16" s="955">
        <f>'Building &amp; Fit-out Breakdown'!F127</f>
        <v/>
      </c>
      <c r="D16" s="954">
        <f>C16/$B$4</f>
        <v/>
      </c>
      <c r="E16" s="955" t="n"/>
    </row>
    <row r="17">
      <c r="A17" s="264" t="inlineStr">
        <is>
          <t>055100</t>
        </is>
      </c>
      <c r="B17" s="790" t="inlineStr">
        <is>
          <t>STRUCTURAL STEEL &amp; MISC METALS</t>
        </is>
      </c>
      <c r="C17" s="956">
        <f>'Building &amp; Fit-out Breakdown'!F151</f>
        <v/>
      </c>
      <c r="D17" s="957">
        <f>C17/$B$4</f>
        <v/>
      </c>
      <c r="E17" s="956" t="n"/>
    </row>
    <row r="18">
      <c r="A18" s="264" t="inlineStr">
        <is>
          <t>061000</t>
        </is>
      </c>
      <c r="B18" s="790" t="inlineStr">
        <is>
          <t>ROUGH CARPENTRY</t>
        </is>
      </c>
      <c r="C18" s="956">
        <f>'Building &amp; Fit-out Breakdown'!F160</f>
        <v/>
      </c>
      <c r="D18" s="957">
        <f>C18/$B$4</f>
        <v/>
      </c>
      <c r="E18" s="956" t="n"/>
    </row>
    <row r="19">
      <c r="A19" s="264" t="inlineStr">
        <is>
          <t>064000</t>
        </is>
      </c>
      <c r="B19" s="789" t="inlineStr">
        <is>
          <t>MILLWORK AND FURNITURE INSTALL</t>
        </is>
      </c>
      <c r="C19" s="956">
        <f>'Building &amp; Fit-out Breakdown'!F182</f>
        <v/>
      </c>
      <c r="D19" s="957">
        <f>C19/$B$4</f>
        <v/>
      </c>
      <c r="E19" s="956" t="n"/>
    </row>
    <row r="20">
      <c r="A20" s="717" t="inlineStr">
        <is>
          <t>075000</t>
        </is>
      </c>
      <c r="B20" s="718" t="inlineStr">
        <is>
          <t>ROOFING</t>
        </is>
      </c>
      <c r="C20" s="955">
        <f>'Building &amp; Fit-out Breakdown'!F196</f>
        <v/>
      </c>
      <c r="D20" s="954">
        <f>C20/$B$4</f>
        <v/>
      </c>
      <c r="E20" s="955" t="n"/>
    </row>
    <row r="21">
      <c r="A21" s="264" t="inlineStr">
        <is>
          <t>078100</t>
        </is>
      </c>
      <c r="B21" s="789" t="inlineStr">
        <is>
          <t>FIREPROOFING</t>
        </is>
      </c>
      <c r="C21" s="956">
        <f>'Building &amp; Fit-out Breakdown'!F204</f>
        <v/>
      </c>
      <c r="D21" s="957">
        <f>C21/$B$4</f>
        <v/>
      </c>
      <c r="E21" s="956" t="n"/>
    </row>
    <row r="22">
      <c r="A22" s="264" t="inlineStr">
        <is>
          <t>081000</t>
        </is>
      </c>
      <c r="B22" s="789" t="inlineStr">
        <is>
          <t>DOORS, FRAMES &amp; HARDWARE</t>
        </is>
      </c>
      <c r="C22" s="956">
        <f>'Building &amp; Fit-out Breakdown'!F213</f>
        <v/>
      </c>
      <c r="D22" s="957">
        <f>C22/$B$4</f>
        <v/>
      </c>
      <c r="E22" s="956" t="n"/>
    </row>
    <row r="23">
      <c r="A23" s="717" t="inlineStr">
        <is>
          <t>083000</t>
        </is>
      </c>
      <c r="B23" s="718" t="inlineStr">
        <is>
          <t>SPECIAL DOORS</t>
        </is>
      </c>
      <c r="C23" s="955">
        <f>'Building &amp; Fit-out Breakdown'!F219</f>
        <v/>
      </c>
      <c r="D23" s="954">
        <f>C23/$B$4</f>
        <v/>
      </c>
      <c r="E23" s="955" t="n"/>
    </row>
    <row r="24">
      <c r="A24" s="264" t="inlineStr">
        <is>
          <t>084100</t>
        </is>
      </c>
      <c r="B24" s="789" t="inlineStr">
        <is>
          <t>STOREFRONT</t>
        </is>
      </c>
      <c r="C24" s="956">
        <f>'Building &amp; Fit-out Breakdown'!F229</f>
        <v/>
      </c>
      <c r="D24" s="957">
        <f>C24/$B$4</f>
        <v/>
      </c>
      <c r="E24" s="956" t="n"/>
    </row>
    <row r="25">
      <c r="A25" s="264" t="inlineStr">
        <is>
          <t>088000</t>
        </is>
      </c>
      <c r="B25" s="789" t="inlineStr">
        <is>
          <t>GLASS/GLAZING</t>
        </is>
      </c>
      <c r="C25" s="956">
        <f>'Building &amp; Fit-out Breakdown'!F237</f>
        <v/>
      </c>
      <c r="D25" s="957">
        <f>C25/$B$4</f>
        <v/>
      </c>
      <c r="E25" s="956" t="n"/>
    </row>
    <row r="26">
      <c r="A26" s="264" t="inlineStr">
        <is>
          <t>092000</t>
        </is>
      </c>
      <c r="B26" s="789" t="inlineStr">
        <is>
          <t xml:space="preserve">DRYWALL </t>
        </is>
      </c>
      <c r="C26" s="956">
        <f>'Building &amp; Fit-out Breakdown'!F270</f>
        <v/>
      </c>
      <c r="D26" s="957">
        <f>C26/$B$4</f>
        <v/>
      </c>
      <c r="E26" s="956" t="n"/>
    </row>
    <row r="27">
      <c r="A27" s="264" t="inlineStr">
        <is>
          <t>092300</t>
        </is>
      </c>
      <c r="B27" s="789" t="inlineStr">
        <is>
          <t>TILE/BRICK TILE</t>
        </is>
      </c>
      <c r="C27" s="956">
        <f>'Building &amp; Fit-out Breakdown'!F279</f>
        <v/>
      </c>
      <c r="D27" s="957">
        <f>C27/$B$4</f>
        <v/>
      </c>
      <c r="E27" s="956" t="n"/>
    </row>
    <row r="28">
      <c r="A28" s="264" t="inlineStr">
        <is>
          <t>096000</t>
        </is>
      </c>
      <c r="B28" s="789" t="inlineStr">
        <is>
          <t>CARPET/RESILIENT FLOORING</t>
        </is>
      </c>
      <c r="C28" s="956">
        <f>'Building &amp; Fit-out Breakdown'!F294</f>
        <v/>
      </c>
      <c r="D28" s="957">
        <f>C28/$B$4</f>
        <v/>
      </c>
      <c r="E28" s="956" t="n"/>
    </row>
    <row r="29">
      <c r="A29" s="264" t="inlineStr">
        <is>
          <t>096050</t>
        </is>
      </c>
      <c r="B29" s="789" t="inlineStr">
        <is>
          <t>FLOOR PREPARATION</t>
        </is>
      </c>
      <c r="C29" s="958">
        <f>'Building &amp; Fit-out Breakdown'!F302</f>
        <v/>
      </c>
      <c r="D29" s="957">
        <f>C29/$B$4</f>
        <v/>
      </c>
      <c r="E29" s="958" t="n"/>
    </row>
    <row r="30">
      <c r="A30" s="717" t="inlineStr">
        <is>
          <t>096400</t>
        </is>
      </c>
      <c r="B30" s="718" t="inlineStr">
        <is>
          <t>WOOD FLOORING</t>
        </is>
      </c>
      <c r="C30" s="959">
        <f>'Building &amp; Fit-out Breakdown'!F308</f>
        <v/>
      </c>
      <c r="D30" s="954">
        <f>C30/$B$4</f>
        <v/>
      </c>
      <c r="E30" s="959" t="n"/>
    </row>
    <row r="31">
      <c r="A31" s="717" t="inlineStr">
        <is>
          <t>099000</t>
        </is>
      </c>
      <c r="B31" s="718" t="inlineStr">
        <is>
          <t>PAINTING/PLASTER</t>
        </is>
      </c>
      <c r="C31" s="955">
        <f>'Building &amp; Fit-out Breakdown'!F316</f>
        <v/>
      </c>
      <c r="D31" s="954">
        <f>C31/$B$4</f>
        <v/>
      </c>
      <c r="E31" s="955" t="n"/>
    </row>
    <row r="32">
      <c r="A32" s="717" t="inlineStr">
        <is>
          <t>100000</t>
        </is>
      </c>
      <c r="B32" s="718" t="inlineStr">
        <is>
          <t>SPECIALITIES</t>
        </is>
      </c>
      <c r="C32" s="955">
        <f>'Building &amp; Fit-out Breakdown'!F328</f>
        <v/>
      </c>
      <c r="D32" s="954">
        <f>C32/$B$4</f>
        <v/>
      </c>
      <c r="E32" s="955" t="n"/>
    </row>
    <row r="33">
      <c r="A33" s="717" t="inlineStr">
        <is>
          <t>100500</t>
        </is>
      </c>
      <c r="B33" s="718" t="inlineStr">
        <is>
          <t>ACOUSTICAL PANELS/K13</t>
        </is>
      </c>
      <c r="C33" s="955">
        <f>'Building &amp; Fit-out Breakdown'!F334</f>
        <v/>
      </c>
      <c r="D33" s="954">
        <f>C33/$B$4</f>
        <v/>
      </c>
      <c r="E33" s="955" t="n"/>
    </row>
    <row r="34">
      <c r="A34" s="721" t="inlineStr">
        <is>
          <t>101400</t>
        </is>
      </c>
      <c r="B34" s="718" t="inlineStr">
        <is>
          <t>SIGNAGE</t>
        </is>
      </c>
      <c r="C34" s="955">
        <f>'Building &amp; Fit-out Breakdown'!F341</f>
        <v/>
      </c>
      <c r="D34" s="954">
        <f>C34/$B$4</f>
        <v/>
      </c>
      <c r="E34" s="955" t="n"/>
    </row>
    <row r="35">
      <c r="A35" s="736" t="inlineStr">
        <is>
          <t>120000</t>
        </is>
      </c>
      <c r="B35" s="718" t="inlineStr">
        <is>
          <t>FF&amp;E INSTALL</t>
        </is>
      </c>
      <c r="C35" s="960">
        <f>'Building &amp; Fit-out Breakdown'!F346</f>
        <v/>
      </c>
      <c r="D35" s="954">
        <f>C35/$B$4</f>
        <v/>
      </c>
      <c r="E35" s="960" t="n"/>
    </row>
    <row r="36">
      <c r="A36" s="721" t="inlineStr">
        <is>
          <t>114000</t>
        </is>
      </c>
      <c r="B36" s="718" t="inlineStr">
        <is>
          <t>FOOD SERVICE  AND BAR EQUIPMENT</t>
        </is>
      </c>
      <c r="C36" s="955">
        <f>'Building &amp; Fit-out Breakdown'!F354</f>
        <v/>
      </c>
      <c r="D36" s="954">
        <f>C36/$B$4</f>
        <v/>
      </c>
      <c r="E36" s="955" t="n"/>
    </row>
    <row r="37">
      <c r="A37" s="721" t="inlineStr">
        <is>
          <t>142000</t>
        </is>
      </c>
      <c r="B37" s="718" t="inlineStr">
        <is>
          <t>ELEVATOR</t>
        </is>
      </c>
      <c r="C37" s="955">
        <f>'Building &amp; Fit-out Breakdown'!F361</f>
        <v/>
      </c>
      <c r="D37" s="954">
        <f>C37/$B$4</f>
        <v/>
      </c>
      <c r="E37" s="955" t="n"/>
    </row>
    <row r="38">
      <c r="A38" s="717" t="inlineStr">
        <is>
          <t>210000</t>
        </is>
      </c>
      <c r="B38" s="718" t="inlineStr">
        <is>
          <t>FIRE PROTECTION</t>
        </is>
      </c>
      <c r="C38" s="955">
        <f>'Building &amp; Fit-out Breakdown'!F371</f>
        <v/>
      </c>
      <c r="D38" s="954">
        <f>C38/$B$4</f>
        <v/>
      </c>
      <c r="E38" s="955" t="n"/>
    </row>
    <row r="39">
      <c r="A39" s="717" t="inlineStr">
        <is>
          <t>220000</t>
        </is>
      </c>
      <c r="B39" s="718" t="inlineStr">
        <is>
          <t>PLUMBING</t>
        </is>
      </c>
      <c r="C39" s="955">
        <f>'Building &amp; Fit-out Breakdown'!F412</f>
        <v/>
      </c>
      <c r="D39" s="954">
        <f>C39/$B$4</f>
        <v/>
      </c>
      <c r="E39" s="955" t="n"/>
    </row>
    <row r="40">
      <c r="A40" s="717" t="inlineStr">
        <is>
          <t>230000</t>
        </is>
      </c>
      <c r="B40" s="718" t="inlineStr">
        <is>
          <t>HVAC</t>
        </is>
      </c>
      <c r="C40" s="955">
        <f>'Building &amp; Fit-out Breakdown'!F417</f>
        <v/>
      </c>
      <c r="D40" s="954">
        <f>C40/$B$4</f>
        <v/>
      </c>
      <c r="E40" s="955" t="n"/>
    </row>
    <row r="41">
      <c r="A41" s="717" t="inlineStr">
        <is>
          <t>260000</t>
        </is>
      </c>
      <c r="B41" s="718" t="inlineStr">
        <is>
          <t>ELECTRIC</t>
        </is>
      </c>
      <c r="C41" s="955">
        <f>'Building &amp; Fit-out Breakdown'!F456</f>
        <v/>
      </c>
      <c r="D41" s="954">
        <f>C41/$B$4</f>
        <v/>
      </c>
      <c r="E41" s="955" t="n"/>
    </row>
    <row r="42">
      <c r="A42" s="717" t="inlineStr">
        <is>
          <t>270000</t>
        </is>
      </c>
      <c r="B42" s="718" t="inlineStr">
        <is>
          <t>LOW VOLTAGE CABLING</t>
        </is>
      </c>
      <c r="C42" s="955">
        <f>'Building &amp; Fit-out Breakdown'!F464</f>
        <v/>
      </c>
      <c r="D42" s="954">
        <f>C42/$B$4</f>
        <v/>
      </c>
      <c r="E42" s="955" t="n"/>
    </row>
    <row r="43">
      <c r="A43" s="717" t="inlineStr">
        <is>
          <t>265000</t>
        </is>
      </c>
      <c r="B43" s="718" t="inlineStr">
        <is>
          <t>LIGHTING</t>
        </is>
      </c>
      <c r="C43" s="955">
        <f>'Building &amp; Fit-out Breakdown'!F474</f>
        <v/>
      </c>
      <c r="D43" s="954">
        <f>C43/$B$4</f>
        <v/>
      </c>
      <c r="E43" s="955" t="n"/>
    </row>
    <row r="44">
      <c r="A44" s="717" t="inlineStr">
        <is>
          <t>283100</t>
        </is>
      </c>
      <c r="B44" s="718" t="inlineStr">
        <is>
          <t>FIRE ALARM</t>
        </is>
      </c>
      <c r="C44" s="955">
        <f>'Building &amp; Fit-out Breakdown'!F480</f>
        <v/>
      </c>
      <c r="D44" s="954">
        <f>C44/$B$4</f>
        <v/>
      </c>
      <c r="E44" s="955" t="n"/>
    </row>
    <row r="45">
      <c r="A45" s="717" t="inlineStr">
        <is>
          <t>320000</t>
        </is>
      </c>
      <c r="B45" s="718" t="inlineStr">
        <is>
          <t>SITEWORK</t>
        </is>
      </c>
      <c r="C45" s="955">
        <f>'Building &amp; Fit-out Breakdown'!F488</f>
        <v/>
      </c>
      <c r="D45" s="954">
        <f>C45/$B$4</f>
        <v/>
      </c>
      <c r="E45" s="955" t="n"/>
    </row>
    <row r="46">
      <c r="A46" s="717" t="inlineStr">
        <is>
          <t>001000</t>
        </is>
      </c>
      <c r="B46" s="722" t="inlineStr">
        <is>
          <t>PRECONSTRUCTION</t>
        </is>
      </c>
      <c r="C46" s="955" t="n">
        <v>60000</v>
      </c>
      <c r="D46" s="954">
        <f>C46/$B$4</f>
        <v/>
      </c>
      <c r="E46" s="955" t="n"/>
      <c r="F46" s="759" t="n"/>
    </row>
    <row r="47" ht="24" customHeight="1">
      <c r="A47" s="264" t="inlineStr">
        <is>
          <t>010000</t>
        </is>
      </c>
      <c r="B47" s="266" t="inlineStr">
        <is>
          <t>GENERAL CONDITIONS</t>
        </is>
      </c>
      <c r="C47" s="961" t="n">
        <v>0</v>
      </c>
      <c r="D47" s="957">
        <f>C47/$B$4</f>
        <v/>
      </c>
      <c r="E47" s="962" t="inlineStr">
        <is>
          <t>Carried in budget summary</t>
        </is>
      </c>
      <c r="F47" s="963" t="n"/>
      <c r="G47" s="808" t="inlineStr">
        <is>
          <t>'Carried in budget summary' - and also carried as division 013000 in trade cost. One function, two places.</t>
        </is>
      </c>
    </row>
    <row r="48" ht="16" customHeight="1" thickBot="1">
      <c r="A48" s="264" t="inlineStr">
        <is>
          <t>010001</t>
        </is>
      </c>
      <c r="B48" s="266" t="inlineStr">
        <is>
          <t>BONDS</t>
        </is>
      </c>
      <c r="C48" s="964" t="n">
        <v>0</v>
      </c>
      <c r="D48" s="965">
        <f>C48/$B$4</f>
        <v/>
      </c>
      <c r="E48" s="962" t="inlineStr">
        <is>
          <t>NIC</t>
        </is>
      </c>
      <c r="F48" s="963" t="n"/>
    </row>
    <row r="49" ht="16" customHeight="1" thickBot="1">
      <c r="A49" s="286" t="n"/>
      <c r="B49" s="289" t="inlineStr">
        <is>
          <t>SUB TOTAL</t>
        </is>
      </c>
      <c r="C49" s="966">
        <f>SUM(C11:C47)</f>
        <v/>
      </c>
      <c r="D49" s="967">
        <f>C49/$B$4</f>
        <v/>
      </c>
      <c r="E49" s="966" t="n"/>
    </row>
    <row r="50" ht="36" customHeight="1">
      <c r="A50" s="278" t="inlineStr">
        <is>
          <t>500005</t>
        </is>
      </c>
      <c r="B50" s="279" t="inlineStr">
        <is>
          <t>G.L. INSURANCE</t>
        </is>
      </c>
      <c r="C50" s="968" t="n">
        <v>0</v>
      </c>
      <c r="D50" s="274">
        <f>C50/$B$4</f>
        <v/>
      </c>
      <c r="E50" s="969" t="n"/>
      <c r="G50" s="808" t="inlineStr">
        <is>
          <t>G.L. $0 and Builder's Risk $0 - both genuinely inside the 9% combined? Schimenti's equivalent line at 555 Johnson says 'Builder's Risk - Excluded' in writing. Can your broker quote both SEPARATELY, and quote an owner-controlled programme? We carry $385,000.</t>
        </is>
      </c>
    </row>
    <row r="51">
      <c r="A51" s="275" t="inlineStr">
        <is>
          <t>500006</t>
        </is>
      </c>
      <c r="B51" s="276" t="inlineStr">
        <is>
          <t>BUILDERS RISK INSURANCE</t>
        </is>
      </c>
      <c r="C51" s="968" t="n">
        <v>0</v>
      </c>
      <c r="D51" s="274">
        <f>C51/$B$4</f>
        <v/>
      </c>
      <c r="E51" s="969" t="n"/>
    </row>
    <row r="52" ht="16" customHeight="1" thickBot="1">
      <c r="A52" s="271" t="n"/>
      <c r="B52" s="270" t="inlineStr">
        <is>
          <t>C.M. OVERHEAD &amp; FEE</t>
        </is>
      </c>
      <c r="C52" s="970" t="n">
        <v>0</v>
      </c>
      <c r="D52" s="274">
        <f>C52/$B$4</f>
        <v/>
      </c>
      <c r="E52" s="970" t="n"/>
    </row>
    <row r="53" ht="16" customHeight="1" thickBot="1">
      <c r="A53" s="286" t="n"/>
      <c r="B53" s="289" t="inlineStr">
        <is>
          <t>SUB TOTAL</t>
        </is>
      </c>
      <c r="C53" s="966">
        <f>SUM(C49:C52)</f>
        <v/>
      </c>
      <c r="D53" s="288" t="n"/>
      <c r="E53" s="966" t="n"/>
    </row>
    <row r="54">
      <c r="A54" s="281" t="inlineStr">
        <is>
          <t>500010</t>
        </is>
      </c>
      <c r="B54" s="282" t="inlineStr">
        <is>
          <t>STATE/PROJECT TAX (IF APPLICABLE)</t>
        </is>
      </c>
      <c r="C54" s="971" t="n">
        <v>0</v>
      </c>
      <c r="D54" s="274">
        <f>C54/$B$4</f>
        <v/>
      </c>
      <c r="E54" s="971" t="n"/>
    </row>
    <row r="55">
      <c r="A55" s="283" t="inlineStr">
        <is>
          <t>700002</t>
        </is>
      </c>
      <c r="B55" s="284" t="inlineStr">
        <is>
          <t xml:space="preserve">DESIGN CONTINGENCY </t>
        </is>
      </c>
      <c r="C55" s="972" t="n">
        <v>0</v>
      </c>
      <c r="D55" s="274">
        <f>C55/$B$4</f>
        <v/>
      </c>
      <c r="E55" s="972" t="n"/>
    </row>
    <row r="56">
      <c r="A56" s="283" t="inlineStr">
        <is>
          <t>700003</t>
        </is>
      </c>
      <c r="B56" s="284" t="inlineStr">
        <is>
          <t>CONSTRUCTION CONTINGENCY</t>
        </is>
      </c>
      <c r="C56" s="972" t="n">
        <v>0</v>
      </c>
      <c r="D56" s="274">
        <f>C56/$B$4</f>
        <v/>
      </c>
      <c r="E56" s="972" t="n"/>
    </row>
    <row r="57" ht="16" customHeight="1" thickBot="1">
      <c r="A57" s="269" t="inlineStr">
        <is>
          <t>700004</t>
        </is>
      </c>
      <c r="B57" s="272" t="inlineStr">
        <is>
          <t>EXPEDITING/OVERTIME CONTINGENCY</t>
        </is>
      </c>
      <c r="C57" s="970" t="n">
        <v>0</v>
      </c>
      <c r="D57" s="274">
        <f>C57/$B$4</f>
        <v/>
      </c>
      <c r="E57" s="970" t="n"/>
    </row>
    <row r="58" ht="16" customHeight="1" thickBot="1">
      <c r="A58" s="286" t="n"/>
      <c r="B58" s="289" t="inlineStr">
        <is>
          <t xml:space="preserve">TOTAL </t>
        </is>
      </c>
      <c r="C58" s="966">
        <f>SUM(C53:C57)</f>
        <v/>
      </c>
      <c r="D58" s="288" t="n"/>
      <c r="E58" s="966" t="n"/>
    </row>
  </sheetData>
  <mergeCells count="3">
    <mergeCell ref="F46:F48"/>
    <mergeCell ref="A1:E1"/>
    <mergeCell ref="A7:E7"/>
  </mergeCells>
  <pageMargins left="0.7" right="0.7" top="0.75" bottom="0.75" header="0.3" footer="0.3"/>
  <pageSetup orientation="portrait"/>
</worksheet>
</file>

<file path=xl/worksheets/sheet5.xml><?xml version="1.0" encoding="utf-8"?>
<worksheet xmlns="http://schemas.openxmlformats.org/spreadsheetml/2006/main">
  <sheetPr>
    <tabColor rgb="FFFF0000"/>
    <outlinePr summaryBelow="1" summaryRight="1"/>
    <pageSetUpPr/>
  </sheetPr>
  <dimension ref="A1:K488"/>
  <sheetViews>
    <sheetView zoomScale="109" zoomScaleNormal="110" workbookViewId="0">
      <pane ySplit="10" topLeftCell="A173" activePane="bottomLeft" state="frozen"/>
      <selection pane="bottomLeft" activeCell="B176" sqref="B176"/>
    </sheetView>
  </sheetViews>
  <sheetFormatPr baseColWidth="10" defaultColWidth="9.1640625" defaultRowHeight="15"/>
  <cols>
    <col width="10.1640625" customWidth="1" style="1" min="1" max="1"/>
    <col width="71.33203125" bestFit="1" customWidth="1" style="1" min="2" max="2"/>
    <col width="10.5" customWidth="1" style="1" min="3" max="4"/>
    <col width="14" bestFit="1" customWidth="1" style="1" min="5" max="5"/>
    <col width="12.6640625" customWidth="1" style="1" min="6" max="6"/>
    <col width="30.33203125" bestFit="1" customWidth="1" style="1" min="7" max="7"/>
    <col width="9.1640625" customWidth="1" style="1" min="8" max="16384"/>
    <col width="78" customWidth="1" min="11" max="11"/>
  </cols>
  <sheetData>
    <row r="1" ht="19.5" customHeight="1">
      <c r="A1" s="758" t="inlineStr">
        <is>
          <t>Venue</t>
        </is>
      </c>
    </row>
    <row r="2" ht="15" customHeight="1">
      <c r="A2" s="387" t="inlineStr">
        <is>
          <t>Scope:</t>
        </is>
      </c>
      <c r="B2" s="756">
        <f>'Building &amp; Fit-outBudget Detail'!B2</f>
        <v/>
      </c>
      <c r="C2" s="746" t="n"/>
      <c r="D2" s="746" t="n"/>
    </row>
    <row r="3" ht="15" customHeight="1">
      <c r="A3" s="387" t="inlineStr">
        <is>
          <t>Capacity:</t>
        </is>
      </c>
      <c r="B3" s="686" t="n">
        <v>7440</v>
      </c>
      <c r="C3" s="746" t="n"/>
      <c r="D3" s="746" t="n"/>
    </row>
    <row r="4" ht="15" customHeight="1">
      <c r="A4" s="387" t="inlineStr">
        <is>
          <t>SF:</t>
        </is>
      </c>
      <c r="B4" s="756">
        <f>3500+69722+53379+9352</f>
        <v/>
      </c>
      <c r="C4" s="746" t="n"/>
      <c r="D4" s="746" t="n"/>
    </row>
    <row r="5" ht="15" customHeight="1">
      <c r="A5" s="387" t="inlineStr">
        <is>
          <t>Date:</t>
        </is>
      </c>
      <c r="B5" s="403">
        <f>'Building &amp; Fit-outBudget Detail'!B5</f>
        <v/>
      </c>
      <c r="C5" s="746" t="n"/>
      <c r="D5" s="746" t="n"/>
    </row>
    <row r="6" ht="15" customHeight="1">
      <c r="A6" s="387" t="inlineStr">
        <is>
          <t>Architect:</t>
        </is>
      </c>
      <c r="B6" s="756" t="inlineStr">
        <is>
          <t>Wake</t>
        </is>
      </c>
      <c r="C6" s="746" t="n"/>
      <c r="D6" s="746" t="n"/>
    </row>
    <row r="7" ht="15" customHeight="1">
      <c r="A7" s="387" t="inlineStr">
        <is>
          <t xml:space="preserve">Version: </t>
        </is>
      </c>
      <c r="B7" s="756">
        <f>'Building &amp; Fit-outBudget Detail'!B6</f>
        <v/>
      </c>
      <c r="C7" s="746" t="n"/>
      <c r="D7" s="746" t="n"/>
    </row>
    <row r="8" ht="7" customHeight="1" thickBot="1">
      <c r="A8" s="747" t="n"/>
      <c r="B8" s="814" t="n"/>
      <c r="C8" s="814" t="n"/>
      <c r="D8" s="814" t="n"/>
      <c r="E8" s="295" t="n"/>
      <c r="F8" s="295" t="n"/>
      <c r="G8" s="295" t="n"/>
    </row>
    <row r="9" ht="16" customHeight="1" thickBot="1"/>
    <row r="10" ht="30" customHeight="1" thickBot="1">
      <c r="A10" s="296" t="inlineStr">
        <is>
          <t>ITEM</t>
        </is>
      </c>
      <c r="B10" s="296" t="inlineStr">
        <is>
          <t>DESCRIPTION</t>
        </is>
      </c>
      <c r="C10" s="296" t="inlineStr">
        <is>
          <t>QTY</t>
        </is>
      </c>
      <c r="D10" s="315" t="inlineStr">
        <is>
          <t xml:space="preserve">UNIT    </t>
        </is>
      </c>
      <c r="E10" s="973" t="inlineStr">
        <is>
          <t>UNIT
PRICE</t>
        </is>
      </c>
      <c r="F10" s="974" t="inlineStr">
        <is>
          <t>TOTAL</t>
        </is>
      </c>
      <c r="G10" s="325" t="inlineStr">
        <is>
          <t>NOTES</t>
        </is>
      </c>
      <c r="K10" s="816" t="inlineStr">
        <is>
          <t>OUR QUESTION / ANALYSIS  (MT, 17 Sep)</t>
        </is>
      </c>
    </row>
    <row r="11">
      <c r="A11" s="300" t="n"/>
      <c r="B11" s="300" t="n"/>
      <c r="C11" s="300" t="n"/>
      <c r="D11" s="316" t="n"/>
      <c r="E11" s="975" t="n"/>
      <c r="F11" s="330" t="n"/>
      <c r="G11" s="976" t="n"/>
    </row>
    <row r="12">
      <c r="A12" s="301" t="inlineStr">
        <is>
          <t>013000</t>
        </is>
      </c>
      <c r="B12" s="301" t="inlineStr">
        <is>
          <t>PROJECT REQUIREMENTS</t>
        </is>
      </c>
      <c r="C12" s="302" t="n"/>
      <c r="D12" s="316" t="n"/>
      <c r="E12" s="975" t="n"/>
      <c r="F12" s="313" t="n"/>
      <c r="G12" s="977" t="n"/>
    </row>
    <row r="13">
      <c r="A13" s="679" t="n">
        <v>1</v>
      </c>
      <c r="B13" s="340" t="inlineStr">
        <is>
          <t>BIM Set Up &amp; Coordination</t>
        </is>
      </c>
      <c r="C13" s="302" t="n">
        <v>1</v>
      </c>
      <c r="D13" s="316" t="inlineStr">
        <is>
          <t>LS</t>
        </is>
      </c>
      <c r="E13" s="978" t="n">
        <v>30000</v>
      </c>
      <c r="F13" s="330">
        <f>C13*E13</f>
        <v/>
      </c>
      <c r="G13" s="977" t="n"/>
    </row>
    <row r="14">
      <c r="A14" s="679">
        <f>A13+1</f>
        <v/>
      </c>
      <c r="B14" s="340" t="inlineStr">
        <is>
          <t>Plans / Reprographics</t>
        </is>
      </c>
      <c r="C14" s="302" t="n">
        <v>1</v>
      </c>
      <c r="D14" s="316" t="inlineStr">
        <is>
          <t xml:space="preserve">LS </t>
        </is>
      </c>
      <c r="E14" s="978" t="n">
        <v>7500</v>
      </c>
      <c r="F14" s="330">
        <f>C14*E14</f>
        <v/>
      </c>
      <c r="G14" s="977" t="n"/>
    </row>
    <row r="15">
      <c r="A15" s="679">
        <f>A14+1</f>
        <v/>
      </c>
      <c r="B15" s="340" t="inlineStr">
        <is>
          <t>Site Office &amp; Equipment</t>
        </is>
      </c>
      <c r="C15" s="302" t="n">
        <v>1</v>
      </c>
      <c r="D15" s="316" t="inlineStr">
        <is>
          <t>LS</t>
        </is>
      </c>
      <c r="E15" s="978" t="n">
        <v>12000</v>
      </c>
      <c r="F15" s="330">
        <f>C15*E15</f>
        <v/>
      </c>
      <c r="G15" s="977" t="n"/>
    </row>
    <row r="16" ht="15" customHeight="1">
      <c r="A16" s="679">
        <f>A15+1</f>
        <v/>
      </c>
      <c r="B16" s="340" t="inlineStr">
        <is>
          <t>Field Techonology</t>
        </is>
      </c>
      <c r="C16" s="302" t="n">
        <v>1</v>
      </c>
      <c r="D16" s="316" t="inlineStr">
        <is>
          <t>LS</t>
        </is>
      </c>
      <c r="E16" s="978" t="n">
        <v>200000</v>
      </c>
      <c r="F16" s="979">
        <f>C16*E16</f>
        <v/>
      </c>
      <c r="G16" s="977" t="n"/>
      <c r="K16" s="808" t="inlineStr">
        <is>
          <t>What is included in Field Technology at $200,000?</t>
        </is>
      </c>
    </row>
    <row r="17">
      <c r="A17" s="679">
        <f>A16+1</f>
        <v/>
      </c>
      <c r="B17" s="340" t="inlineStr">
        <is>
          <t>Construction Signage</t>
        </is>
      </c>
      <c r="C17" s="302" t="n">
        <v>1</v>
      </c>
      <c r="D17" s="316" t="inlineStr">
        <is>
          <t xml:space="preserve">LS </t>
        </is>
      </c>
      <c r="E17" s="978" t="n">
        <v>4500</v>
      </c>
      <c r="F17" s="330">
        <f>C17*E17</f>
        <v/>
      </c>
      <c r="G17" s="977" t="n"/>
    </row>
    <row r="18">
      <c r="A18" s="679">
        <f>A17+1</f>
        <v/>
      </c>
      <c r="B18" s="340" t="inlineStr">
        <is>
          <t>Site Security</t>
        </is>
      </c>
      <c r="C18" s="302" t="n">
        <v>1</v>
      </c>
      <c r="D18" s="316" t="inlineStr">
        <is>
          <t>LS</t>
        </is>
      </c>
      <c r="E18" s="978" t="n">
        <v>13000</v>
      </c>
      <c r="F18" s="330">
        <f>C18*E18</f>
        <v/>
      </c>
      <c r="G18" s="977" t="n"/>
    </row>
    <row r="19">
      <c r="A19" s="679">
        <f>A18+1</f>
        <v/>
      </c>
      <c r="B19" s="340" t="inlineStr">
        <is>
          <t>Site Safety Plan / First Aid / TPP / FE's / Safety Inspector</t>
        </is>
      </c>
      <c r="C19" s="302" t="n">
        <v>1</v>
      </c>
      <c r="D19" s="316" t="inlineStr">
        <is>
          <t>LS</t>
        </is>
      </c>
      <c r="E19" s="978" t="n">
        <v>400000</v>
      </c>
      <c r="F19" s="330">
        <f>C19*E19</f>
        <v/>
      </c>
      <c r="G19" s="977" t="n"/>
    </row>
    <row r="20">
      <c r="A20" s="679">
        <f>A19+1</f>
        <v/>
      </c>
      <c r="B20" s="340" t="inlineStr">
        <is>
          <t>Portable Toilets</t>
        </is>
      </c>
      <c r="C20" s="302" t="n">
        <v>80</v>
      </c>
      <c r="D20" s="316" t="inlineStr">
        <is>
          <t>WK</t>
        </is>
      </c>
      <c r="E20" s="978" t="n">
        <v>400</v>
      </c>
      <c r="F20" s="330">
        <f>C20*E20</f>
        <v/>
      </c>
      <c r="G20" s="977" t="n"/>
    </row>
    <row r="21">
      <c r="A21" s="679">
        <f>A20+1</f>
        <v/>
      </c>
      <c r="B21" s="340" t="inlineStr">
        <is>
          <t>Clean up Materials</t>
        </is>
      </c>
      <c r="C21" s="302" t="n">
        <v>1</v>
      </c>
      <c r="D21" s="316" t="inlineStr">
        <is>
          <t>LS</t>
        </is>
      </c>
      <c r="E21" s="978" t="n">
        <v>65000</v>
      </c>
      <c r="F21" s="330">
        <f>C21*E21</f>
        <v/>
      </c>
      <c r="G21" s="977" t="n"/>
    </row>
    <row r="22">
      <c r="A22" s="679">
        <f>A21+1</f>
        <v/>
      </c>
      <c r="B22" s="340" t="inlineStr">
        <is>
          <t>Protection Materials</t>
        </is>
      </c>
      <c r="C22" s="302" t="n">
        <v>1</v>
      </c>
      <c r="D22" s="316" t="inlineStr">
        <is>
          <t>LS</t>
        </is>
      </c>
      <c r="E22" s="978" t="n">
        <v>50000</v>
      </c>
      <c r="F22" s="330">
        <f>C22*E22</f>
        <v/>
      </c>
      <c r="G22" s="977" t="n"/>
    </row>
    <row r="23" ht="24" customHeight="1">
      <c r="A23" s="679">
        <f>A22+1</f>
        <v/>
      </c>
      <c r="B23" s="340" t="inlineStr">
        <is>
          <t xml:space="preserve">Project Labor </t>
        </is>
      </c>
      <c r="C23" s="302" t="n">
        <v>1</v>
      </c>
      <c r="D23" s="316" t="inlineStr">
        <is>
          <t>LS</t>
        </is>
      </c>
      <c r="E23" s="978" t="n">
        <v>2000000</v>
      </c>
      <c r="F23" s="980">
        <f>C23*E23</f>
        <v/>
      </c>
      <c r="G23" s="977" t="n"/>
      <c r="K23" s="808" t="inlineStr">
        <is>
          <t>Crew, rate and weeks? The General Conditions tab already funds three supers + a general super for 90 weeks. No quantity behind this line.</t>
        </is>
      </c>
    </row>
    <row r="24">
      <c r="A24" s="679">
        <f>A23+1</f>
        <v/>
      </c>
      <c r="B24" s="340" t="inlineStr">
        <is>
          <t>Project Rubbish Removals</t>
        </is>
      </c>
      <c r="C24" s="302" t="n">
        <v>1</v>
      </c>
      <c r="D24" s="316" t="inlineStr">
        <is>
          <t>LS</t>
        </is>
      </c>
      <c r="E24" s="978" t="n">
        <v>120000</v>
      </c>
      <c r="F24" s="330">
        <f>C24*E24</f>
        <v/>
      </c>
      <c r="G24" s="977" t="n"/>
    </row>
    <row r="25">
      <c r="A25" s="679">
        <f>A24+1</f>
        <v/>
      </c>
      <c r="B25" s="340" t="inlineStr">
        <is>
          <t>Final Clean</t>
        </is>
      </c>
      <c r="C25" s="302" t="n">
        <v>1</v>
      </c>
      <c r="D25" s="316" t="inlineStr">
        <is>
          <t xml:space="preserve">LS </t>
        </is>
      </c>
      <c r="E25" s="978" t="n">
        <v>100000</v>
      </c>
      <c r="F25" s="330">
        <f>C25*E25</f>
        <v/>
      </c>
      <c r="G25" s="977" t="n"/>
    </row>
    <row r="26" ht="16" customHeight="1" thickBot="1">
      <c r="A26" s="302" t="n"/>
      <c r="B26" s="302" t="n"/>
      <c r="C26" s="302" t="n"/>
      <c r="D26" s="316" t="n"/>
      <c r="E26" s="978" t="n"/>
      <c r="F26" s="330" t="n"/>
      <c r="G26" s="977" t="n"/>
    </row>
    <row r="27" ht="24" customHeight="1" thickBot="1">
      <c r="A27" s="335" t="inlineStr">
        <is>
          <t>Sub Total</t>
        </is>
      </c>
      <c r="B27" s="335">
        <f>B12</f>
        <v/>
      </c>
      <c r="C27" s="335" t="n"/>
      <c r="D27" s="336" t="n"/>
      <c r="E27" s="981" t="n"/>
      <c r="F27" s="982">
        <f>SUM(F11:F26)</f>
        <v/>
      </c>
      <c r="G27" s="983" t="n"/>
      <c r="K27" s="808" t="inlineStr">
        <is>
          <t>All of this division reads as general conditions. Is it meant to sit inside trade cost AND under the GC line on the summary? We think it is one function in two places.</t>
        </is>
      </c>
    </row>
    <row r="28">
      <c r="A28" s="302" t="n"/>
      <c r="B28" s="302" t="n"/>
      <c r="C28" s="302" t="n"/>
      <c r="D28" s="316" t="n"/>
      <c r="E28" s="975" t="n"/>
      <c r="F28" s="330" t="n"/>
      <c r="G28" s="977" t="n"/>
    </row>
    <row r="29">
      <c r="A29" s="301" t="inlineStr">
        <is>
          <t>015800</t>
        </is>
      </c>
      <c r="B29" s="301" t="inlineStr">
        <is>
          <t>SCAFFOLDING &amp; HOARDING</t>
        </is>
      </c>
      <c r="C29" s="302" t="n"/>
      <c r="D29" s="316" t="n"/>
      <c r="E29" s="975" t="n"/>
      <c r="F29" s="330" t="n"/>
      <c r="G29" s="977" t="n"/>
    </row>
    <row r="30" ht="48" customHeight="1">
      <c r="A30" s="303" t="n">
        <v>1</v>
      </c>
      <c r="B30" s="341" t="inlineStr">
        <is>
          <t>Install sidewalk bridge and scaffolding around building</t>
        </is>
      </c>
      <c r="C30" s="303" t="n">
        <v>1</v>
      </c>
      <c r="D30" s="317" t="inlineStr">
        <is>
          <t>LS</t>
        </is>
      </c>
      <c r="E30" s="984" t="n">
        <v>4000000</v>
      </c>
      <c r="F30" s="985">
        <f>E30*C30</f>
        <v/>
      </c>
      <c r="G30" s="986" t="n"/>
      <c r="I30" s="1" t="inlineStr">
        <is>
          <t>500/LF bridge</t>
        </is>
      </c>
      <c r="K30" s="808" t="inlineStr">
        <is>
          <t>The lump says $4,000,000. The two rows beneath it - 1,126 LF @ $500 and 27,024 SF @ $75 - foot to $2,589,800. Which is right? And how many LF of PUBLIC sidewalk does the building front? A shed is only required where there is one; the alleys and lot lines have none. We carry 1,089 LF perimeter x $210 erected + 24 months rental.</t>
        </is>
      </c>
    </row>
    <row r="31" hidden="1">
      <c r="A31" s="303" t="n"/>
      <c r="B31" s="341" t="n"/>
      <c r="C31" s="303" t="n">
        <v>1126</v>
      </c>
      <c r="D31" s="317" t="inlineStr">
        <is>
          <t>LF</t>
        </is>
      </c>
      <c r="E31" s="984" t="n">
        <v>500</v>
      </c>
      <c r="F31" s="331" t="n"/>
      <c r="G31" s="986" t="n"/>
    </row>
    <row r="32" hidden="1">
      <c r="A32" s="303" t="n"/>
      <c r="B32" s="341" t="n"/>
      <c r="C32" s="303">
        <f>(1126*6)*4</f>
        <v/>
      </c>
      <c r="D32" s="317" t="inlineStr">
        <is>
          <t>SF</t>
        </is>
      </c>
      <c r="E32" s="984" t="n">
        <v>75</v>
      </c>
      <c r="F32" s="331" t="n"/>
      <c r="G32" s="986" t="n"/>
    </row>
    <row r="33" ht="36" customHeight="1">
      <c r="A33" s="303" t="n">
        <v>2</v>
      </c>
      <c r="B33" s="341" t="inlineStr">
        <is>
          <t>Interior scaffolding</t>
        </is>
      </c>
      <c r="C33" s="303" t="n">
        <v>1</v>
      </c>
      <c r="D33" s="317" t="inlineStr">
        <is>
          <t>LS</t>
        </is>
      </c>
      <c r="E33" s="984" t="n">
        <v>2000000</v>
      </c>
      <c r="F33" s="987">
        <f>E33*C33</f>
        <v/>
      </c>
      <c r="G33" s="986" t="n"/>
      <c r="I33" s="1" t="inlineStr">
        <is>
          <t>$75/SF for scaffolding</t>
        </is>
      </c>
      <c r="K33" s="808" t="inlineStr">
        <is>
          <t>What is being staged, at what rate, for how many weeks? The high roof is only 8.65 lb/SF of short-span W12/W6 framing - not a heavy erection. And the ground-supported stage and production towers are erected FIRST; can they carry the access instead of renting it twice?</t>
        </is>
      </c>
    </row>
    <row r="34">
      <c r="A34" s="303" t="n">
        <v>3</v>
      </c>
      <c r="B34" s="341" t="inlineStr">
        <is>
          <t>Barricades</t>
        </is>
      </c>
      <c r="C34" s="303" t="n">
        <v>1</v>
      </c>
      <c r="D34" s="317" t="inlineStr">
        <is>
          <t>LS</t>
        </is>
      </c>
      <c r="E34" s="984" t="n">
        <v>150000</v>
      </c>
      <c r="F34" s="331">
        <f>E34*C34</f>
        <v/>
      </c>
      <c r="G34" s="986" t="n"/>
    </row>
    <row r="35">
      <c r="A35" s="303" t="n"/>
      <c r="B35" s="342" t="inlineStr">
        <is>
          <t>Site safety During Erection</t>
        </is>
      </c>
      <c r="C35" s="303" t="n">
        <v>1</v>
      </c>
      <c r="D35" s="317" t="inlineStr">
        <is>
          <t>LS</t>
        </is>
      </c>
      <c r="E35" s="984" t="n">
        <v>20000</v>
      </c>
      <c r="F35" s="331">
        <f>E35*C35</f>
        <v/>
      </c>
      <c r="G35" s="986" t="n"/>
    </row>
    <row r="36" ht="16" customHeight="1" thickBot="1">
      <c r="A36" s="302" t="n">
        <v>4</v>
      </c>
      <c r="B36" s="302" t="n"/>
      <c r="C36" s="302" t="n"/>
      <c r="D36" s="316" t="n"/>
      <c r="E36" s="975" t="n"/>
      <c r="F36" s="330" t="n"/>
      <c r="G36" s="977" t="n"/>
    </row>
    <row r="37" ht="16" customHeight="1" thickBot="1">
      <c r="A37" s="335" t="inlineStr">
        <is>
          <t>Sub Total</t>
        </is>
      </c>
      <c r="B37" s="335">
        <f>B29</f>
        <v/>
      </c>
      <c r="C37" s="335" t="n"/>
      <c r="D37" s="336" t="n"/>
      <c r="E37" s="981" t="n"/>
      <c r="F37" s="338">
        <f>SUM(F28:F36)</f>
        <v/>
      </c>
      <c r="G37" s="983" t="n"/>
    </row>
    <row r="38">
      <c r="A38" s="302" t="n"/>
      <c r="B38" s="302" t="n"/>
      <c r="C38" s="302" t="n"/>
      <c r="D38" s="316" t="n"/>
      <c r="E38" s="975" t="n"/>
      <c r="F38" s="330" t="n"/>
      <c r="G38" s="977" t="n"/>
    </row>
    <row r="39">
      <c r="A39" s="301" t="inlineStr">
        <is>
          <t>024100</t>
        </is>
      </c>
      <c r="B39" s="308" t="inlineStr">
        <is>
          <t>DEMOLITION</t>
        </is>
      </c>
      <c r="C39" s="302" t="n"/>
      <c r="D39" s="316" t="n"/>
      <c r="E39" s="975" t="n"/>
      <c r="F39" s="330" t="n"/>
      <c r="G39" s="977" t="n"/>
    </row>
    <row r="40">
      <c r="A40" s="303" t="n">
        <v>1</v>
      </c>
      <c r="B40" s="340" t="inlineStr">
        <is>
          <t>Demo existing CMU/masonry walls at new Entry/Lobby area</t>
        </is>
      </c>
      <c r="C40" s="302" t="n">
        <v>2500</v>
      </c>
      <c r="D40" s="316" t="inlineStr">
        <is>
          <t>SF</t>
        </is>
      </c>
      <c r="E40" s="975" t="n">
        <v>12</v>
      </c>
      <c r="F40" s="330">
        <f>C40*E40</f>
        <v/>
      </c>
      <c r="G40" s="977" t="n"/>
    </row>
    <row r="41">
      <c r="A41" s="706">
        <f>A40+1</f>
        <v/>
      </c>
      <c r="B41" s="340" t="inlineStr">
        <is>
          <t>Demo 8" CMU interior wall 20' tall</t>
        </is>
      </c>
      <c r="C41" s="302" t="n">
        <v>1975</v>
      </c>
      <c r="D41" s="316" t="inlineStr">
        <is>
          <t>SF</t>
        </is>
      </c>
      <c r="E41" s="975" t="n">
        <v>12</v>
      </c>
      <c r="F41" s="330">
        <f>C41*E41</f>
        <v/>
      </c>
      <c r="G41" s="977" t="n"/>
    </row>
    <row r="42">
      <c r="A42" s="706">
        <f>A41+1</f>
        <v/>
      </c>
      <c r="B42" s="340" t="inlineStr">
        <is>
          <t>Demo 8" CMU interior wall 12' tall</t>
        </is>
      </c>
      <c r="C42" s="302">
        <f>628*12</f>
        <v/>
      </c>
      <c r="D42" s="316" t="inlineStr">
        <is>
          <t>SF</t>
        </is>
      </c>
      <c r="E42" s="975" t="n">
        <v>12</v>
      </c>
      <c r="F42" s="330">
        <f>C42*E42</f>
        <v/>
      </c>
      <c r="G42" s="977" t="n"/>
    </row>
    <row r="43">
      <c r="A43" s="706">
        <f>A42+1</f>
        <v/>
      </c>
      <c r="B43" s="340" t="inlineStr">
        <is>
          <t>Demo office area partitions, ceilings, doors, flooring MEP's, (CMU walls line above)</t>
        </is>
      </c>
      <c r="C43" s="302" t="n">
        <v>6825</v>
      </c>
      <c r="D43" s="316" t="inlineStr">
        <is>
          <t>SF</t>
        </is>
      </c>
      <c r="E43" s="975" t="n">
        <v>5</v>
      </c>
      <c r="F43" s="330">
        <f>C43*E43</f>
        <v/>
      </c>
      <c r="G43" s="977" t="n"/>
    </row>
    <row r="44">
      <c r="A44" s="706">
        <f>A43+1</f>
        <v/>
      </c>
      <c r="B44" s="340" t="inlineStr">
        <is>
          <t>Demo existing exterior roll up doors</t>
        </is>
      </c>
      <c r="C44" s="302" t="n">
        <v>8</v>
      </c>
      <c r="D44" s="316" t="inlineStr">
        <is>
          <t>EA</t>
        </is>
      </c>
      <c r="E44" s="975" t="n">
        <v>5000</v>
      </c>
      <c r="F44" s="330">
        <f>C44*E44</f>
        <v/>
      </c>
      <c r="G44" s="977" t="n"/>
    </row>
    <row r="45">
      <c r="A45" s="706">
        <f>A44+1</f>
        <v/>
      </c>
      <c r="B45" s="340" t="inlineStr">
        <is>
          <t>Demo existing exterior doors</t>
        </is>
      </c>
      <c r="C45" s="302" t="n">
        <v>7</v>
      </c>
      <c r="D45" s="316" t="inlineStr">
        <is>
          <t>EA</t>
        </is>
      </c>
      <c r="E45" s="975" t="n">
        <v>250</v>
      </c>
      <c r="F45" s="330">
        <f>C45*E45</f>
        <v/>
      </c>
      <c r="G45" s="977" t="n"/>
    </row>
    <row r="46">
      <c r="A46" s="706">
        <f>A45+1</f>
        <v/>
      </c>
      <c r="B46" s="340" t="inlineStr">
        <is>
          <t>Demo existing windows 1'x10'</t>
        </is>
      </c>
      <c r="C46" s="302" t="n">
        <v>34</v>
      </c>
      <c r="D46" s="316" t="inlineStr">
        <is>
          <t>EA</t>
        </is>
      </c>
      <c r="E46" s="975" t="n">
        <v>300</v>
      </c>
      <c r="F46" s="330">
        <f>C46*E46</f>
        <v/>
      </c>
      <c r="G46" s="977" t="n"/>
    </row>
    <row r="47">
      <c r="A47" s="706">
        <f>A46+1</f>
        <v/>
      </c>
      <c r="B47" s="340" t="inlineStr">
        <is>
          <t>Demo ceiling mount steam heaters and associated piping</t>
        </is>
      </c>
      <c r="C47" s="302" t="n">
        <v>28</v>
      </c>
      <c r="D47" s="316" t="inlineStr">
        <is>
          <t>EA</t>
        </is>
      </c>
      <c r="E47" s="975" t="n">
        <v>750</v>
      </c>
      <c r="F47" s="330">
        <f>C47*E47</f>
        <v/>
      </c>
      <c r="G47" s="977" t="n"/>
    </row>
    <row r="48">
      <c r="A48" s="706">
        <f>A47+1</f>
        <v/>
      </c>
      <c r="B48" s="340" t="inlineStr">
        <is>
          <t>Demo 5,250MBH boiler and piping (15'x6'x7' 13,000lbs)</t>
        </is>
      </c>
      <c r="C48" s="302" t="n">
        <v>2</v>
      </c>
      <c r="D48" s="316" t="inlineStr">
        <is>
          <t>EA</t>
        </is>
      </c>
      <c r="E48" s="975" t="n">
        <v>20000</v>
      </c>
      <c r="F48" s="330">
        <f>C48*E48</f>
        <v/>
      </c>
      <c r="G48" s="977" t="n"/>
    </row>
    <row r="49">
      <c r="A49" s="706">
        <f>A48+1</f>
        <v/>
      </c>
      <c r="B49" s="340" t="inlineStr">
        <is>
          <t>Demo misc. piping, lighting, electrical panels / switchgear / appurtenances throughout space</t>
        </is>
      </c>
      <c r="C49" s="302" t="n">
        <v>1</v>
      </c>
      <c r="D49" s="316" t="inlineStr">
        <is>
          <t>SF</t>
        </is>
      </c>
      <c r="E49" s="975" t="n">
        <v>74000</v>
      </c>
      <c r="F49" s="330">
        <f>C49*E49</f>
        <v/>
      </c>
      <c r="G49" s="977" t="n"/>
    </row>
    <row r="50">
      <c r="A50" s="706">
        <f>A49+1</f>
        <v/>
      </c>
      <c r="B50" s="340" t="inlineStr">
        <is>
          <t>Demo dock levelers</t>
        </is>
      </c>
      <c r="C50" s="302" t="n">
        <v>3</v>
      </c>
      <c r="D50" s="316" t="inlineStr">
        <is>
          <t>EA</t>
        </is>
      </c>
      <c r="E50" s="975" t="n">
        <v>2500</v>
      </c>
      <c r="F50" s="330">
        <f>C50*E50</f>
        <v/>
      </c>
      <c r="G50" s="977" t="n"/>
    </row>
    <row r="51">
      <c r="A51" s="706">
        <f>A50+1</f>
        <v/>
      </c>
      <c r="B51" s="340" t="inlineStr">
        <is>
          <t>Demo slab at load-in ramp plan west</t>
        </is>
      </c>
      <c r="C51" s="302" t="n">
        <v>1423</v>
      </c>
      <c r="D51" s="316" t="inlineStr">
        <is>
          <t>SF</t>
        </is>
      </c>
      <c r="E51" s="975" t="n">
        <v>10</v>
      </c>
      <c r="F51" s="330">
        <f>C51*E51</f>
        <v/>
      </c>
      <c r="G51" s="977" t="n"/>
    </row>
    <row r="52">
      <c r="A52" s="706">
        <f>A51+1</f>
        <v/>
      </c>
      <c r="B52" s="340" t="inlineStr">
        <is>
          <t>Trench slab for new grade beams at new façade</t>
        </is>
      </c>
      <c r="C52" s="302" t="n">
        <v>132</v>
      </c>
      <c r="D52" s="316" t="inlineStr">
        <is>
          <t>LF</t>
        </is>
      </c>
      <c r="E52" s="975" t="n">
        <v>100</v>
      </c>
      <c r="F52" s="330">
        <f>C52*E52</f>
        <v/>
      </c>
      <c r="G52" s="977" t="n"/>
      <c r="H52" s="1" t="inlineStr">
        <is>
          <t>$2,500/cy</t>
        </is>
      </c>
    </row>
    <row r="53">
      <c r="A53" s="706">
        <f>A52+1</f>
        <v/>
      </c>
      <c r="B53" s="340" t="inlineStr">
        <is>
          <t>Demo / excavate 6" slab 4' tall at load-in area</t>
        </is>
      </c>
      <c r="C53" s="302">
        <f>890+1750</f>
        <v/>
      </c>
      <c r="D53" s="316" t="inlineStr">
        <is>
          <t>SF</t>
        </is>
      </c>
      <c r="E53" s="975" t="n">
        <v>12</v>
      </c>
      <c r="F53" s="330">
        <f>C53*E53</f>
        <v/>
      </c>
      <c r="G53" s="977" t="n"/>
      <c r="H53" s="1" t="inlineStr">
        <is>
          <t>$2,500/cy</t>
        </is>
      </c>
    </row>
    <row r="54">
      <c r="A54" s="706">
        <f>A53+1</f>
        <v/>
      </c>
      <c r="B54" s="340" t="inlineStr">
        <is>
          <t>Trench slab for below grade sanitary line for bars and bathrooms</t>
        </is>
      </c>
      <c r="C54" s="302" t="n">
        <v>800</v>
      </c>
      <c r="D54" s="316" t="inlineStr">
        <is>
          <t>LF</t>
        </is>
      </c>
      <c r="E54" s="975" t="n">
        <v>80</v>
      </c>
      <c r="F54" s="330">
        <f>C54*E54</f>
        <v/>
      </c>
      <c r="G54" s="977" t="n"/>
      <c r="H54" s="1" t="inlineStr">
        <is>
          <t>Trenching $150/LF Pour back $50K/LF</t>
        </is>
      </c>
    </row>
    <row r="55">
      <c r="A55" s="706">
        <f>A54+1</f>
        <v/>
      </c>
      <c r="B55" s="340" t="inlineStr">
        <is>
          <t>Demo / excavate elevator pits</t>
        </is>
      </c>
      <c r="C55" s="302" t="n">
        <v>2</v>
      </c>
      <c r="D55" s="316" t="inlineStr">
        <is>
          <t>EA</t>
        </is>
      </c>
      <c r="E55" s="975" t="n">
        <v>25000</v>
      </c>
      <c r="F55" s="330">
        <f>C55*E55</f>
        <v/>
      </c>
      <c r="G55" s="977" t="n"/>
      <c r="H55" s="1" t="inlineStr">
        <is>
          <t>New Elvator 4' pit $50K excavate and concrete</t>
        </is>
      </c>
    </row>
    <row r="56">
      <c r="A56" s="706">
        <f>A55+1</f>
        <v/>
      </c>
      <c r="B56" s="340" t="inlineStr">
        <is>
          <t>Shoring Demo of Steel</t>
        </is>
      </c>
      <c r="C56" s="302" t="n">
        <v>1</v>
      </c>
      <c r="D56" s="316" t="inlineStr">
        <is>
          <t>LS</t>
        </is>
      </c>
      <c r="E56" s="975" t="n">
        <v>50000</v>
      </c>
      <c r="F56" s="330">
        <f>C56*E56</f>
        <v/>
      </c>
      <c r="G56" s="977" t="n"/>
    </row>
    <row r="57">
      <c r="A57" s="706">
        <f>A56+1</f>
        <v/>
      </c>
      <c r="B57" s="340" t="inlineStr">
        <is>
          <t>Demo Steel Columns / Roof Steel</t>
        </is>
      </c>
      <c r="C57" s="302" t="n">
        <v>1</v>
      </c>
      <c r="D57" s="316" t="inlineStr">
        <is>
          <t>EA</t>
        </is>
      </c>
      <c r="E57" s="975" t="n">
        <v>100000</v>
      </c>
      <c r="F57" s="330">
        <f>C57*E57</f>
        <v/>
      </c>
      <c r="G57" s="977" t="n"/>
    </row>
    <row r="58" ht="36" customHeight="1">
      <c r="A58" s="706">
        <f>A57+1</f>
        <v/>
      </c>
      <c r="B58" s="340" t="inlineStr">
        <is>
          <t>Demo Pre-cast concrete roof</t>
        </is>
      </c>
      <c r="C58" s="302" t="n">
        <v>74000</v>
      </c>
      <c r="D58" s="316" t="inlineStr">
        <is>
          <t>SF</t>
        </is>
      </c>
      <c r="E58" s="975" t="n">
        <v>8</v>
      </c>
      <c r="F58" s="979">
        <f>C58*E58</f>
        <v/>
      </c>
      <c r="G58" s="977" t="inlineStr">
        <is>
          <t>Abatement by others</t>
        </is>
      </c>
      <c r="K58" s="808" t="inlineStr">
        <is>
          <t>Confirms the REBUILD method, which the RFEM model also uses and which we now accept. Separate question: is the existing roof genuinely pre-cast concrete? It decides whether a PARTIAL lift over the 27,393 SF high-roof zone is even possible.</t>
        </is>
      </c>
    </row>
    <row r="59">
      <c r="A59" s="706">
        <f>A58+1</f>
        <v/>
      </c>
      <c r="B59" s="340" t="inlineStr">
        <is>
          <t>Allow for Floor trenching for MEPS</t>
        </is>
      </c>
      <c r="C59" s="302" t="n">
        <v>0</v>
      </c>
      <c r="D59" s="316" t="inlineStr">
        <is>
          <t>LS</t>
        </is>
      </c>
      <c r="E59" s="975" t="n">
        <v>50000</v>
      </c>
      <c r="F59" s="330">
        <f>C59*E59</f>
        <v/>
      </c>
      <c r="G59" s="977" t="n"/>
    </row>
    <row r="60">
      <c r="A60" s="706">
        <f>A59+1</f>
        <v/>
      </c>
      <c r="B60" s="343" t="inlineStr">
        <is>
          <t>Demo floor for Recessed floor - Include Excavation</t>
        </is>
      </c>
      <c r="C60" s="302" t="n">
        <v>0</v>
      </c>
      <c r="D60" s="316" t="inlineStr">
        <is>
          <t>SF</t>
        </is>
      </c>
      <c r="E60" s="975" t="n">
        <v>0</v>
      </c>
      <c r="F60" s="330">
        <f>C60*E60</f>
        <v/>
      </c>
      <c r="G60" s="977" t="inlineStr">
        <is>
          <t>Included Above</t>
        </is>
      </c>
    </row>
    <row r="61">
      <c r="A61" s="706">
        <f>A60+1</f>
        <v/>
      </c>
      <c r="B61" s="343" t="inlineStr">
        <is>
          <t>Misc Façade Demo Along Johnson Ave (Doors, Roll-ups, Windows, etc.)</t>
        </is>
      </c>
      <c r="C61" s="302" t="n">
        <v>0</v>
      </c>
      <c r="D61" s="316" t="inlineStr">
        <is>
          <t>LS</t>
        </is>
      </c>
      <c r="E61" s="975" t="n">
        <v>20000</v>
      </c>
      <c r="F61" s="330">
        <f>C61*E61</f>
        <v/>
      </c>
      <c r="G61" s="977" t="n"/>
    </row>
    <row r="62" ht="16" customHeight="1" thickBot="1">
      <c r="A62" s="302" t="n"/>
      <c r="B62" s="302" t="n"/>
      <c r="C62" s="302" t="n"/>
      <c r="D62" s="316" t="n"/>
      <c r="E62" s="978" t="n"/>
      <c r="F62" s="330" t="n"/>
      <c r="G62" s="977" t="n"/>
    </row>
    <row r="63" ht="16" customHeight="1" thickBot="1">
      <c r="A63" s="335" t="inlineStr">
        <is>
          <t>Sub Total</t>
        </is>
      </c>
      <c r="B63" s="335">
        <f>B39</f>
        <v/>
      </c>
      <c r="C63" s="335" t="n"/>
      <c r="D63" s="336" t="n"/>
      <c r="E63" s="981" t="n"/>
      <c r="F63" s="338">
        <f>SUM(F38:F62)</f>
        <v/>
      </c>
      <c r="G63" s="983" t="inlineStr">
        <is>
          <t>$10/SF</t>
        </is>
      </c>
    </row>
    <row r="64">
      <c r="A64" s="303" t="n"/>
      <c r="B64" s="303" t="n"/>
      <c r="C64" s="303" t="n"/>
      <c r="D64" s="317" t="n"/>
      <c r="E64" s="984" t="n"/>
      <c r="F64" s="331" t="n"/>
      <c r="G64" s="986" t="n"/>
    </row>
    <row r="65">
      <c r="A65" s="304" t="inlineStr">
        <is>
          <t>033000</t>
        </is>
      </c>
      <c r="B65" s="309" t="inlineStr">
        <is>
          <t>CONCRETE</t>
        </is>
      </c>
      <c r="C65" s="303" t="n"/>
      <c r="D65" s="317" t="n"/>
      <c r="E65" s="984" t="n"/>
      <c r="F65" s="331" t="n"/>
      <c r="G65" s="986" t="n"/>
    </row>
    <row r="66">
      <c r="A66" s="303" t="n">
        <v>1</v>
      </c>
      <c r="B66" s="341" t="inlineStr">
        <is>
          <t>Excavation related to New Columns at Music hall</t>
        </is>
      </c>
      <c r="C66" s="303" t="n">
        <v>0</v>
      </c>
      <c r="D66" s="317" t="inlineStr">
        <is>
          <t>SF</t>
        </is>
      </c>
      <c r="E66" s="984" t="n">
        <v>6.5</v>
      </c>
      <c r="F66" s="331">
        <f>E66*C66</f>
        <v/>
      </c>
      <c r="G66" s="986" t="inlineStr">
        <is>
          <t>Based on Footprint of New Roof</t>
        </is>
      </c>
    </row>
    <row r="67" ht="30" customHeight="1">
      <c r="A67" s="303" t="n">
        <v>2</v>
      </c>
      <c r="B67" s="341" t="inlineStr">
        <is>
          <t>CMU wall footing excavation allow 2' deep for new Load bearing wall at Music hall-  East wall</t>
        </is>
      </c>
      <c r="C67" s="303" t="n">
        <v>0</v>
      </c>
      <c r="D67" s="317" t="inlineStr">
        <is>
          <t>LF</t>
        </is>
      </c>
      <c r="E67" s="984" t="n">
        <v>150</v>
      </c>
      <c r="F67" s="331">
        <f>E67*C67</f>
        <v/>
      </c>
      <c r="G67" s="986" t="n"/>
    </row>
    <row r="68">
      <c r="A68" s="303" t="n">
        <v>3</v>
      </c>
      <c r="B68" s="341" t="inlineStr">
        <is>
          <t>Concrete at New footings</t>
        </is>
      </c>
      <c r="C68" s="303" t="n">
        <v>0</v>
      </c>
      <c r="D68" s="317" t="inlineStr">
        <is>
          <t>EA</t>
        </is>
      </c>
      <c r="E68" s="984" t="n">
        <v>7500</v>
      </c>
      <c r="F68" s="331">
        <f>E68*C68</f>
        <v/>
      </c>
      <c r="G68" s="986" t="n"/>
    </row>
    <row r="69">
      <c r="A69" s="303" t="n"/>
      <c r="B69" s="341" t="inlineStr">
        <is>
          <t xml:space="preserve">Excavate &amp; Install New Footings at Stage </t>
        </is>
      </c>
      <c r="C69" s="303" t="n"/>
      <c r="D69" s="317" t="n"/>
      <c r="E69" s="984" t="n"/>
      <c r="F69" s="331">
        <f>E69*C69</f>
        <v/>
      </c>
      <c r="G69" s="986" t="n"/>
    </row>
    <row r="70">
      <c r="A70" s="303" t="n"/>
      <c r="B70" s="341" t="n"/>
      <c r="C70" s="303" t="n"/>
      <c r="D70" s="317" t="n"/>
      <c r="E70" s="984" t="n"/>
      <c r="F70" s="331">
        <f>E70*C70</f>
        <v/>
      </c>
      <c r="G70" s="986" t="n"/>
      <c r="H70" s="1" t="n">
        <v>4</v>
      </c>
    </row>
    <row r="71">
      <c r="A71" s="303" t="n"/>
      <c r="B71" s="341" t="inlineStr">
        <is>
          <t>1st Floor Raised Slab - Concrete on Styrofoam 24"</t>
        </is>
      </c>
      <c r="C71" s="712" t="n">
        <v>1500</v>
      </c>
      <c r="D71" s="713" t="inlineStr">
        <is>
          <t>CY</t>
        </is>
      </c>
      <c r="E71" s="988" t="n">
        <v>70</v>
      </c>
      <c r="F71" s="331">
        <f>E71*C71</f>
        <v/>
      </c>
      <c r="G71" s="986" t="inlineStr">
        <is>
          <t>20,314 SF (Includes two ramps down to GA)</t>
        </is>
      </c>
    </row>
    <row r="72">
      <c r="A72" s="303" t="n"/>
      <c r="B72" s="341" t="inlineStr">
        <is>
          <t>Concrete ramp stage</t>
        </is>
      </c>
      <c r="C72" s="303" t="n"/>
      <c r="D72" s="317" t="n"/>
      <c r="E72" s="984" t="n"/>
      <c r="F72" s="331">
        <f>E72*C72</f>
        <v/>
      </c>
      <c r="G72" s="986" t="n"/>
    </row>
    <row r="73">
      <c r="A73" s="303" t="n"/>
      <c r="B73" s="342" t="inlineStr">
        <is>
          <t>Concrete  4'6" H on Styrofoam</t>
        </is>
      </c>
      <c r="C73" s="303" t="n">
        <v>0</v>
      </c>
      <c r="D73" s="317" t="inlineStr">
        <is>
          <t>SF</t>
        </is>
      </c>
      <c r="E73" s="984" t="n">
        <v>50</v>
      </c>
      <c r="F73" s="331">
        <f>E73*C73</f>
        <v/>
      </c>
      <c r="G73" s="986" t="n"/>
    </row>
    <row r="74">
      <c r="A74" s="303" t="n"/>
      <c r="B74" s="342" t="inlineStr">
        <is>
          <t>Concrete at Stage Platform 4'6" H on Styrofoam</t>
        </is>
      </c>
      <c r="C74" s="303" t="n">
        <v>0</v>
      </c>
      <c r="D74" s="317" t="inlineStr">
        <is>
          <t>SF</t>
        </is>
      </c>
      <c r="E74" s="984" t="n">
        <v>50</v>
      </c>
      <c r="F74" s="331">
        <f>E74*C74</f>
        <v/>
      </c>
      <c r="G74" s="986" t="n"/>
    </row>
    <row r="75">
      <c r="A75" s="303" t="n"/>
      <c r="B75" s="341" t="n"/>
      <c r="C75" s="303" t="n"/>
      <c r="D75" s="317" t="n"/>
      <c r="E75" s="984" t="n"/>
      <c r="F75" s="331">
        <f>E75*C75</f>
        <v/>
      </c>
      <c r="G75" s="986" t="n"/>
    </row>
    <row r="76">
      <c r="A76" s="303" t="n"/>
      <c r="B76" s="341" t="n"/>
      <c r="C76" s="303" t="n"/>
      <c r="D76" s="317" t="n"/>
      <c r="E76" s="984" t="n"/>
      <c r="F76" s="331">
        <f>E76*C76</f>
        <v/>
      </c>
      <c r="G76" s="986" t="n"/>
    </row>
    <row r="77">
      <c r="A77" s="303" t="n"/>
      <c r="B77" s="341" t="inlineStr">
        <is>
          <t>F/I new foundation wall / perimeter grade beam</t>
        </is>
      </c>
      <c r="C77" s="303" t="n">
        <v>132</v>
      </c>
      <c r="D77" s="317" t="inlineStr">
        <is>
          <t>LF</t>
        </is>
      </c>
      <c r="E77" s="984" t="n">
        <v>300</v>
      </c>
      <c r="F77" s="331">
        <f>E77*C77</f>
        <v/>
      </c>
      <c r="G77" s="986" t="n"/>
      <c r="H77" s="1" t="inlineStr">
        <is>
          <t>$750/CY</t>
        </is>
      </c>
    </row>
    <row r="78">
      <c r="A78" s="303" t="n"/>
      <c r="B78" s="341" t="inlineStr">
        <is>
          <t>F/I new retaining wall at load-in area excavate slab 4' tall</t>
        </is>
      </c>
      <c r="C78" s="303" t="n">
        <v>219</v>
      </c>
      <c r="D78" s="317" t="inlineStr">
        <is>
          <t>LF</t>
        </is>
      </c>
      <c r="E78" s="984" t="n">
        <v>150</v>
      </c>
      <c r="F78" s="331">
        <f>E78*C78</f>
        <v/>
      </c>
      <c r="G78" s="986" t="inlineStr">
        <is>
          <t>877 SF</t>
        </is>
      </c>
      <c r="H78" s="1" t="inlineStr">
        <is>
          <t>$100/CY</t>
        </is>
      </c>
    </row>
    <row r="79">
      <c r="A79" s="303" t="n">
        <v>4</v>
      </c>
      <c r="B79" s="342" t="inlineStr">
        <is>
          <t>Concrete at CMU footing</t>
        </is>
      </c>
      <c r="C79" s="303" t="n">
        <v>0</v>
      </c>
      <c r="D79" s="317" t="inlineStr">
        <is>
          <t>LF</t>
        </is>
      </c>
      <c r="E79" s="984" t="n">
        <v>100</v>
      </c>
      <c r="F79" s="331">
        <f>E79*C79</f>
        <v/>
      </c>
      <c r="G79" s="986" t="n"/>
    </row>
    <row r="80">
      <c r="A80" s="303" t="n">
        <v>5</v>
      </c>
      <c r="B80" s="342" t="inlineStr">
        <is>
          <t>Patch slab due to New footing</t>
        </is>
      </c>
      <c r="C80" s="303" t="n">
        <v>0</v>
      </c>
      <c r="D80" s="317" t="inlineStr">
        <is>
          <t>SF</t>
        </is>
      </c>
      <c r="E80" s="984" t="n">
        <v>30</v>
      </c>
      <c r="F80" s="331">
        <f>E80*C80</f>
        <v/>
      </c>
      <c r="G80" s="986" t="n"/>
    </row>
    <row r="81">
      <c r="A81" s="303" t="n">
        <v>6</v>
      </c>
      <c r="B81" s="342" t="inlineStr">
        <is>
          <t>Patch conc. At Trenching for MEPS</t>
        </is>
      </c>
      <c r="C81" s="303" t="n">
        <v>0</v>
      </c>
      <c r="D81" s="317" t="inlineStr">
        <is>
          <t>SF</t>
        </is>
      </c>
      <c r="E81" s="984" t="n">
        <v>30</v>
      </c>
      <c r="F81" s="331">
        <f>E81*C81</f>
        <v/>
      </c>
      <c r="G81" s="986" t="n"/>
    </row>
    <row r="82">
      <c r="A82" s="303">
        <f>A81+1</f>
        <v/>
      </c>
      <c r="B82" s="342" t="inlineStr">
        <is>
          <t>New slab Pour-back at Excavated Areas</t>
        </is>
      </c>
      <c r="C82" s="303" t="n">
        <v>0</v>
      </c>
      <c r="D82" s="317" t="inlineStr">
        <is>
          <t>SF</t>
        </is>
      </c>
      <c r="E82" s="984" t="n">
        <v>30</v>
      </c>
      <c r="F82" s="331">
        <f>E82*C82</f>
        <v/>
      </c>
      <c r="G82" s="986" t="n"/>
    </row>
    <row r="83">
      <c r="A83" s="303">
        <f>A82+1</f>
        <v/>
      </c>
      <c r="B83" s="342" t="inlineStr">
        <is>
          <t>New slab at Recessed floor</t>
        </is>
      </c>
      <c r="C83" s="303" t="n">
        <v>0</v>
      </c>
      <c r="D83" s="317" t="inlineStr">
        <is>
          <t>SF</t>
        </is>
      </c>
      <c r="E83" s="984" t="n">
        <v>0</v>
      </c>
      <c r="F83" s="331">
        <f>E83*C83</f>
        <v/>
      </c>
      <c r="G83" s="986" t="inlineStr">
        <is>
          <t>Included Above</t>
        </is>
      </c>
    </row>
    <row r="84">
      <c r="A84" s="303">
        <f>A83+1</f>
        <v/>
      </c>
      <c r="B84" s="342" t="inlineStr">
        <is>
          <t>Concrete on Deck for Mezz of Music Hall with Platforms</t>
        </is>
      </c>
      <c r="C84" s="303" t="n">
        <v>0</v>
      </c>
      <c r="D84" s="317" t="inlineStr">
        <is>
          <t>SF</t>
        </is>
      </c>
      <c r="E84" s="984" t="n">
        <v>25</v>
      </c>
      <c r="F84" s="331">
        <f>E84*C84</f>
        <v/>
      </c>
      <c r="G84" s="986" t="n"/>
    </row>
    <row r="85">
      <c r="A85" s="303">
        <f>A84+1</f>
        <v/>
      </c>
      <c r="B85" s="342" t="inlineStr">
        <is>
          <t>Concrete In-fill on New Pan Stairs</t>
        </is>
      </c>
      <c r="C85" s="303" t="n">
        <v>0</v>
      </c>
      <c r="D85" s="317" t="inlineStr">
        <is>
          <t>EA</t>
        </is>
      </c>
      <c r="E85" s="984" t="n">
        <v>4000</v>
      </c>
      <c r="F85" s="331">
        <f>E85*C85</f>
        <v/>
      </c>
      <c r="G85" s="986" t="inlineStr">
        <is>
          <t>(2) Feature Stairs, (2) BOH Stairs</t>
        </is>
      </c>
    </row>
    <row r="86">
      <c r="A86" s="303">
        <f>A85+1</f>
        <v/>
      </c>
      <c r="B86" s="342" t="inlineStr">
        <is>
          <t>Grouting at Steel Trusses &amp; Column Base Plates</t>
        </is>
      </c>
      <c r="C86" s="303" t="n">
        <v>0</v>
      </c>
      <c r="D86" s="317" t="inlineStr">
        <is>
          <t>LS</t>
        </is>
      </c>
      <c r="E86" s="984" t="n">
        <v>15000</v>
      </c>
      <c r="F86" s="331">
        <f>E86*C86</f>
        <v/>
      </c>
      <c r="G86" s="986" t="n"/>
    </row>
    <row r="87">
      <c r="A87" s="303">
        <f>A86+1</f>
        <v/>
      </c>
      <c r="B87" s="342" t="inlineStr">
        <is>
          <t>Polished concrete</t>
        </is>
      </c>
      <c r="C87" s="303" t="n">
        <v>0</v>
      </c>
      <c r="D87" s="317" t="inlineStr">
        <is>
          <t>SF</t>
        </is>
      </c>
      <c r="E87" s="984" t="n">
        <v>8</v>
      </c>
      <c r="F87" s="331">
        <f>E87*C87</f>
        <v/>
      </c>
      <c r="G87" s="986" t="n"/>
    </row>
    <row r="88">
      <c r="A88" s="303">
        <f>A87+1</f>
        <v/>
      </c>
      <c r="B88" s="342" t="inlineStr">
        <is>
          <t>Concrete pads</t>
        </is>
      </c>
      <c r="C88" s="303" t="n">
        <v>0</v>
      </c>
      <c r="D88" s="317" t="inlineStr">
        <is>
          <t>LS</t>
        </is>
      </c>
      <c r="E88" s="984" t="n">
        <v>10000</v>
      </c>
      <c r="F88" s="331">
        <f>E88*C88</f>
        <v/>
      </c>
      <c r="G88" s="986" t="n"/>
    </row>
    <row r="89">
      <c r="A89" s="303">
        <f>A88+1</f>
        <v/>
      </c>
      <c r="B89" s="342" t="inlineStr">
        <is>
          <t>Patch sidewalk</t>
        </is>
      </c>
      <c r="C89" s="303" t="n">
        <v>0</v>
      </c>
      <c r="D89" s="317" t="inlineStr">
        <is>
          <t>LS</t>
        </is>
      </c>
      <c r="E89" s="984" t="n">
        <v>35000</v>
      </c>
      <c r="F89" s="331">
        <f>E89*C89</f>
        <v/>
      </c>
      <c r="G89" s="986" t="n"/>
    </row>
    <row r="90">
      <c r="A90" s="303">
        <f>A89+1</f>
        <v/>
      </c>
      <c r="B90" s="342" t="inlineStr">
        <is>
          <t>Misc. Equipment Pads</t>
        </is>
      </c>
      <c r="C90" s="303" t="n">
        <v>0</v>
      </c>
      <c r="D90" s="317" t="inlineStr">
        <is>
          <t>LS</t>
        </is>
      </c>
      <c r="E90" s="984" t="n">
        <v>25000</v>
      </c>
      <c r="F90" s="331">
        <f>E90*C90</f>
        <v/>
      </c>
      <c r="G90" s="986" t="n"/>
    </row>
    <row r="91">
      <c r="A91" s="303">
        <f>A90+1</f>
        <v/>
      </c>
      <c r="B91" s="342" t="inlineStr">
        <is>
          <t>Concrete at Stage Platform 4'6" H on Styrofoam</t>
        </is>
      </c>
      <c r="C91" s="303" t="n">
        <v>0</v>
      </c>
      <c r="D91" s="317" t="inlineStr">
        <is>
          <t>SF</t>
        </is>
      </c>
      <c r="E91" s="984" t="n">
        <v>50</v>
      </c>
      <c r="F91" s="331">
        <f>E91*C91</f>
        <v/>
      </c>
      <c r="G91" s="986" t="n"/>
    </row>
    <row r="92" ht="16" customHeight="1" thickBot="1">
      <c r="A92" s="302" t="n"/>
      <c r="B92" s="302" t="n"/>
      <c r="C92" s="302" t="n"/>
      <c r="D92" s="316" t="n"/>
      <c r="E92" s="975" t="n"/>
      <c r="F92" s="330" t="n"/>
      <c r="G92" s="977" t="n"/>
    </row>
    <row r="93" ht="36" customHeight="1" thickBot="1">
      <c r="A93" s="335" t="inlineStr">
        <is>
          <t>Sub Total</t>
        </is>
      </c>
      <c r="B93" s="335">
        <f>B65</f>
        <v/>
      </c>
      <c r="C93" s="335" t="n"/>
      <c r="D93" s="336" t="n"/>
      <c r="E93" s="981" t="n"/>
      <c r="F93" s="982">
        <f>SUM(F64:F92)</f>
        <v/>
      </c>
      <c r="G93" s="983" t="n"/>
      <c r="K93" s="808" t="inlineStr">
        <is>
          <t>Nearly every line zero quantity - no footings, no stage slab, no mezzanine deck pour, no base-plate grout. The takeoff gives 124 footing locations (up from 81 in Rev 43). We carry $2,543,000 of foundations.</t>
        </is>
      </c>
    </row>
    <row r="94">
      <c r="A94" s="302" t="n"/>
      <c r="B94" s="302" t="n"/>
      <c r="C94" s="302" t="n"/>
      <c r="D94" s="316" t="n"/>
      <c r="E94" s="975" t="n"/>
      <c r="F94" s="330" t="n"/>
      <c r="G94" s="977" t="n"/>
    </row>
    <row r="95">
      <c r="A95" s="301" t="inlineStr">
        <is>
          <t>042000</t>
        </is>
      </c>
      <c r="B95" s="308" t="inlineStr">
        <is>
          <t>MASONRY</t>
        </is>
      </c>
      <c r="C95" s="302" t="n"/>
      <c r="D95" s="316" t="n"/>
      <c r="E95" s="975" t="n"/>
      <c r="F95" s="330" t="n"/>
      <c r="G95" s="977" t="n"/>
    </row>
    <row r="96">
      <c r="A96" s="301" t="n"/>
      <c r="B96" s="308" t="inlineStr">
        <is>
          <t>FIRST FLOOR</t>
        </is>
      </c>
      <c r="C96" s="302" t="n"/>
      <c r="D96" s="316" t="n"/>
      <c r="E96" s="975" t="n"/>
      <c r="F96" s="330" t="n"/>
      <c r="G96" s="977" t="n"/>
    </row>
    <row r="97">
      <c r="A97" s="302" t="n">
        <v>1</v>
      </c>
      <c r="B97" s="340" t="inlineStr">
        <is>
          <t xml:space="preserve">Patch &amp; Repair Existing Masonry Wall </t>
        </is>
      </c>
      <c r="C97" s="703" t="n">
        <v>9972</v>
      </c>
      <c r="D97" s="316" t="inlineStr">
        <is>
          <t>SF</t>
        </is>
      </c>
      <c r="E97" s="975" t="n">
        <v>10</v>
      </c>
      <c r="F97" s="330">
        <f>C97*E97</f>
        <v/>
      </c>
      <c r="G97" s="977" t="n"/>
    </row>
    <row r="98">
      <c r="A98" s="302" t="n"/>
      <c r="B98" s="340" t="inlineStr">
        <is>
          <t>New Masonry Wall at Entry Lobby Area</t>
        </is>
      </c>
      <c r="C98" s="302" t="n">
        <v>2022</v>
      </c>
      <c r="D98" s="316" t="inlineStr">
        <is>
          <t>SF</t>
        </is>
      </c>
      <c r="E98" s="975" t="n"/>
      <c r="F98" s="330" t="n"/>
      <c r="G98" s="977" t="n"/>
    </row>
    <row r="99">
      <c r="A99" s="302" t="n"/>
      <c r="B99" s="340" t="inlineStr">
        <is>
          <t>CMU and Brick façade at removed windows</t>
        </is>
      </c>
      <c r="C99" s="302" t="n">
        <v>34</v>
      </c>
      <c r="D99" s="316" t="inlineStr">
        <is>
          <t>SF</t>
        </is>
      </c>
      <c r="E99" s="975" t="n"/>
      <c r="F99" s="330" t="n"/>
      <c r="G99" s="977" t="n"/>
    </row>
    <row r="100">
      <c r="A100" s="302" t="n"/>
      <c r="B100" s="340" t="inlineStr">
        <is>
          <t>CMU and Brick façade at removed doors</t>
        </is>
      </c>
      <c r="C100" s="302" t="n"/>
      <c r="D100" s="316" t="n"/>
      <c r="E100" s="975" t="n"/>
      <c r="F100" s="330" t="n"/>
      <c r="G100" s="977" t="n"/>
    </row>
    <row r="101">
      <c r="A101" s="302" t="n"/>
      <c r="B101" s="340" t="inlineStr">
        <is>
          <t>CMU and Brick façade at removed rolling grilles</t>
        </is>
      </c>
      <c r="C101" s="302" t="n"/>
      <c r="D101" s="316" t="n"/>
      <c r="E101" s="975" t="n"/>
      <c r="F101" s="330" t="n"/>
      <c r="G101" s="977" t="n"/>
    </row>
    <row r="102">
      <c r="A102" s="302" t="n"/>
      <c r="B102" s="340" t="inlineStr">
        <is>
          <t>Patch masonry at new exterior doors</t>
        </is>
      </c>
      <c r="C102" s="302" t="n"/>
      <c r="D102" s="316" t="n"/>
      <c r="E102" s="975" t="n"/>
      <c r="F102" s="330" t="n"/>
      <c r="G102" s="977" t="n"/>
    </row>
    <row r="103">
      <c r="A103" s="302" t="n"/>
      <c r="B103" s="340" t="inlineStr">
        <is>
          <t>Patch Masonry at louver openings</t>
        </is>
      </c>
      <c r="C103" s="302" t="n"/>
      <c r="D103" s="316" t="n"/>
      <c r="E103" s="975" t="n"/>
      <c r="F103" s="330" t="n"/>
      <c r="G103" s="977" t="n"/>
    </row>
    <row r="104">
      <c r="A104" s="302" t="n"/>
      <c r="B104" s="340" t="n"/>
      <c r="C104" s="302" t="n"/>
      <c r="D104" s="316" t="n"/>
      <c r="E104" s="975" t="n"/>
      <c r="F104" s="330" t="n"/>
      <c r="G104" s="977" t="n"/>
    </row>
    <row r="105">
      <c r="A105" s="302" t="n"/>
      <c r="B105" s="340" t="inlineStr">
        <is>
          <t>F&amp;I CMU wall vestibule stair tower 1 1st FL</t>
        </is>
      </c>
      <c r="C105" s="302" t="n">
        <v>0</v>
      </c>
      <c r="D105" s="316" t="inlineStr">
        <is>
          <t>SF</t>
        </is>
      </c>
      <c r="E105" s="975" t="n">
        <v>35</v>
      </c>
      <c r="F105" s="330" t="n"/>
      <c r="G105" s="977" t="n"/>
    </row>
    <row r="106" ht="16" customHeight="1">
      <c r="A106" s="302" t="n"/>
      <c r="B106" s="340" t="inlineStr">
        <is>
          <t>F&amp;I CMU wall vestibule stair tower 2 1st Fl</t>
        </is>
      </c>
      <c r="C106" s="302" t="n"/>
      <c r="D106" s="316" t="n"/>
      <c r="E106" s="975" t="n"/>
      <c r="F106" s="330" t="n"/>
      <c r="G106" s="977" t="n"/>
    </row>
    <row r="107" ht="16" customHeight="1">
      <c r="A107" s="302" t="n"/>
      <c r="B107" s="340" t="inlineStr">
        <is>
          <t>F&amp;I CMU wall vestibule stair tower 1 2nd FL</t>
        </is>
      </c>
      <c r="C107" s="302" t="n"/>
      <c r="D107" s="316" t="n"/>
      <c r="E107" s="975" t="n"/>
      <c r="F107" s="330" t="n"/>
      <c r="G107" s="977" t="n"/>
    </row>
    <row r="108" ht="16" customHeight="1">
      <c r="A108" s="302" t="n"/>
      <c r="B108" s="340" t="inlineStr">
        <is>
          <t>F&amp;I CMU wall vestibule stair tower 2 2nd FL</t>
        </is>
      </c>
      <c r="C108" s="302" t="n"/>
      <c r="D108" s="316" t="n"/>
      <c r="E108" s="975" t="n"/>
      <c r="F108" s="330" t="n"/>
      <c r="G108" s="977" t="n"/>
    </row>
    <row r="109" ht="16" customHeight="1">
      <c r="A109" s="302" t="n"/>
      <c r="B109" s="340" t="inlineStr">
        <is>
          <t>F&amp;I CMU wall vestibule stair tower 1 3rd Fl</t>
        </is>
      </c>
      <c r="C109" s="302" t="n"/>
      <c r="D109" s="316" t="n"/>
      <c r="E109" s="975" t="n"/>
      <c r="F109" s="330" t="n"/>
      <c r="G109" s="977" t="n"/>
    </row>
    <row r="110" ht="16" customHeight="1">
      <c r="A110" s="302" t="n"/>
      <c r="B110" s="340" t="inlineStr">
        <is>
          <t>F&amp;I CMU wall vestibule stair tower 2 3rd Fl</t>
        </is>
      </c>
      <c r="C110" s="302" t="n"/>
      <c r="D110" s="316" t="n"/>
      <c r="E110" s="975" t="n"/>
      <c r="F110" s="330" t="n"/>
      <c r="G110" s="977" t="n"/>
    </row>
    <row r="111" ht="16" customHeight="1">
      <c r="A111" s="302" t="n"/>
      <c r="B111" s="340" t="inlineStr">
        <is>
          <t>F&amp;I CMU elevator tower entrance</t>
        </is>
      </c>
      <c r="C111" s="302" t="n">
        <v>3220</v>
      </c>
      <c r="D111" s="316" t="inlineStr">
        <is>
          <t>SF</t>
        </is>
      </c>
      <c r="E111" s="975" t="n">
        <v>35</v>
      </c>
      <c r="F111" s="330">
        <f>C111*E111</f>
        <v/>
      </c>
      <c r="G111" s="977" t="n"/>
    </row>
    <row r="112" ht="16" customHeight="1">
      <c r="A112" s="302" t="n"/>
      <c r="B112" s="340" t="inlineStr">
        <is>
          <t>F&amp;I CMU elevator tower Stage</t>
        </is>
      </c>
      <c r="C112" s="302" t="n">
        <v>2977</v>
      </c>
      <c r="D112" s="316" t="inlineStr">
        <is>
          <t>SF</t>
        </is>
      </c>
      <c r="E112" s="975" t="n">
        <v>35</v>
      </c>
      <c r="F112" s="330">
        <f>C112*E112</f>
        <v/>
      </c>
      <c r="G112" s="977" t="n"/>
    </row>
    <row r="113">
      <c r="A113" s="302" t="n"/>
      <c r="B113" s="340" t="inlineStr">
        <is>
          <t>F&amp;I  CMU  at back wall of music hall</t>
        </is>
      </c>
      <c r="C113" s="302" t="n">
        <v>6097</v>
      </c>
      <c r="D113" s="316" t="inlineStr">
        <is>
          <t>SF</t>
        </is>
      </c>
      <c r="E113" s="975" t="n">
        <v>35</v>
      </c>
      <c r="F113" s="330">
        <f>C113*E113</f>
        <v/>
      </c>
      <c r="G113" s="977" t="n"/>
    </row>
    <row r="114">
      <c r="A114" s="302" t="n">
        <v>2</v>
      </c>
      <c r="B114" s="340" t="inlineStr">
        <is>
          <t>F&amp;I Brick façade at music hall bump up</t>
        </is>
      </c>
      <c r="C114" s="302" t="n">
        <v>0</v>
      </c>
      <c r="D114" s="316" t="inlineStr">
        <is>
          <t>SF</t>
        </is>
      </c>
      <c r="E114" s="975" t="n">
        <v>35</v>
      </c>
      <c r="F114" s="330">
        <f>C114*E114</f>
        <v/>
      </c>
      <c r="G114" s="977" t="n"/>
    </row>
    <row r="115">
      <c r="A115" s="302" t="n">
        <v>3</v>
      </c>
      <c r="B115" s="340" t="inlineStr">
        <is>
          <t>CMU and Brick infills at old windows and door opening</t>
        </is>
      </c>
      <c r="C115" s="302" t="n">
        <v>0</v>
      </c>
      <c r="D115" s="316" t="inlineStr">
        <is>
          <t>SF</t>
        </is>
      </c>
      <c r="E115" s="975" t="n">
        <v>70</v>
      </c>
      <c r="F115" s="330">
        <f>C115*E115</f>
        <v/>
      </c>
      <c r="G115" s="977" t="n"/>
    </row>
    <row r="116">
      <c r="A116" s="302" t="n">
        <v>4</v>
      </c>
      <c r="B116" s="340" t="inlineStr">
        <is>
          <t xml:space="preserve">Repair/ cleaning and minor repointing of existing brick facade </t>
        </is>
      </c>
      <c r="C116" s="302" t="n">
        <v>0</v>
      </c>
      <c r="D116" s="316" t="inlineStr">
        <is>
          <t>SF</t>
        </is>
      </c>
      <c r="E116" s="975" t="n">
        <v>10</v>
      </c>
      <c r="F116" s="330">
        <f>E116*C116</f>
        <v/>
      </c>
      <c r="G116" s="977" t="n"/>
    </row>
    <row r="117">
      <c r="A117" s="302" t="n">
        <v>5</v>
      </c>
      <c r="B117" s="340" t="inlineStr">
        <is>
          <t>Misc. Patching allow at penetrations</t>
        </is>
      </c>
      <c r="C117" s="302" t="n">
        <v>0</v>
      </c>
      <c r="D117" s="316" t="inlineStr">
        <is>
          <t>LS</t>
        </is>
      </c>
      <c r="E117" s="975" t="n">
        <v>5000</v>
      </c>
      <c r="F117" s="330">
        <f>E117*C117</f>
        <v/>
      </c>
      <c r="G117" s="977" t="n"/>
    </row>
    <row r="118" ht="16" customHeight="1" thickBot="1">
      <c r="A118" s="302" t="n"/>
      <c r="B118" s="302" t="n"/>
      <c r="C118" s="302" t="n"/>
      <c r="D118" s="316" t="n"/>
      <c r="E118" s="975" t="n"/>
      <c r="F118" s="330" t="n"/>
      <c r="G118" s="977" t="n"/>
    </row>
    <row r="119" ht="16" customHeight="1" thickBot="1">
      <c r="A119" s="335" t="inlineStr">
        <is>
          <t>Sub Total</t>
        </is>
      </c>
      <c r="B119" s="335">
        <f>B95</f>
        <v/>
      </c>
      <c r="C119" s="335" t="n"/>
      <c r="D119" s="336" t="n"/>
      <c r="E119" s="981" t="n"/>
      <c r="F119" s="338">
        <f>SUM(F94:F118)</f>
        <v/>
      </c>
      <c r="G119" s="983" t="n"/>
    </row>
    <row r="120">
      <c r="A120" s="302" t="n"/>
      <c r="B120" s="302" t="n"/>
      <c r="C120" s="302" t="n"/>
      <c r="D120" s="316" t="n"/>
      <c r="E120" s="975" t="n"/>
      <c r="F120" s="330" t="n"/>
      <c r="G120" s="977" t="n"/>
    </row>
    <row r="121">
      <c r="A121" s="301" t="inlineStr">
        <is>
          <t>044200</t>
        </is>
      </c>
      <c r="B121" s="308" t="inlineStr">
        <is>
          <t>STONE &amp; CERAMICS</t>
        </is>
      </c>
      <c r="C121" s="302" t="n"/>
      <c r="D121" s="316" t="n"/>
      <c r="E121" s="975" t="n"/>
      <c r="F121" s="330" t="n"/>
      <c r="G121" s="977" t="n"/>
    </row>
    <row r="122">
      <c r="A122" s="302" t="n">
        <v>1</v>
      </c>
      <c r="B122" s="340" t="inlineStr">
        <is>
          <t>Lobby stone flooring</t>
        </is>
      </c>
      <c r="C122" s="302">
        <f>5420+495+527</f>
        <v/>
      </c>
      <c r="D122" s="316" t="inlineStr">
        <is>
          <t>SF</t>
        </is>
      </c>
      <c r="E122" s="975" t="n">
        <v>45</v>
      </c>
      <c r="F122" s="330">
        <f>E122*C122</f>
        <v/>
      </c>
      <c r="G122" s="977" t="n"/>
    </row>
    <row r="123">
      <c r="A123" s="302" t="n">
        <v>2</v>
      </c>
      <c r="B123" s="340" t="inlineStr">
        <is>
          <t>VIP Lounge Stone Floorin</t>
        </is>
      </c>
      <c r="C123" s="302" t="n">
        <v>1614</v>
      </c>
      <c r="D123" s="316" t="inlineStr">
        <is>
          <t>SF</t>
        </is>
      </c>
      <c r="E123" s="975" t="n">
        <v>45</v>
      </c>
      <c r="F123" s="330">
        <f>E123*C123</f>
        <v/>
      </c>
      <c r="G123" s="977" t="n"/>
    </row>
    <row r="124">
      <c r="A124" s="302" t="n">
        <v>3</v>
      </c>
      <c r="B124" s="340" t="inlineStr">
        <is>
          <t>Roof Lobby Stone Flooring</t>
        </is>
      </c>
      <c r="C124" s="302">
        <f>1545+271</f>
        <v/>
      </c>
      <c r="D124" s="316" t="inlineStr">
        <is>
          <t>SF</t>
        </is>
      </c>
      <c r="E124" s="975" t="n">
        <v>45</v>
      </c>
      <c r="F124" s="330">
        <f>E124*C124</f>
        <v/>
      </c>
      <c r="G124" s="977" t="n"/>
    </row>
    <row r="125">
      <c r="A125" s="302" t="n">
        <v>4</v>
      </c>
      <c r="B125" s="340" t="inlineStr">
        <is>
          <t>Courtyard Stone Pavers</t>
        </is>
      </c>
      <c r="C125" s="302" t="n">
        <v>4268</v>
      </c>
      <c r="D125" s="316" t="inlineStr">
        <is>
          <t>SF</t>
        </is>
      </c>
      <c r="E125" s="975" t="n">
        <v>75</v>
      </c>
      <c r="F125" s="330">
        <f>E125*C125</f>
        <v/>
      </c>
      <c r="G125" s="977" t="n"/>
    </row>
    <row r="126" ht="16" customHeight="1" thickBot="1">
      <c r="A126" s="302" t="n"/>
      <c r="B126" s="302" t="n"/>
      <c r="C126" s="302" t="n"/>
      <c r="D126" s="316" t="n"/>
      <c r="E126" s="975" t="n"/>
      <c r="F126" s="330" t="n"/>
      <c r="G126" s="977" t="n"/>
    </row>
    <row r="127" ht="16" customHeight="1" thickBot="1">
      <c r="A127" s="335" t="inlineStr">
        <is>
          <t>Sub Total</t>
        </is>
      </c>
      <c r="B127" s="335">
        <f>B121</f>
        <v/>
      </c>
      <c r="C127" s="335" t="n"/>
      <c r="D127" s="336" t="n"/>
      <c r="E127" s="981" t="n"/>
      <c r="F127" s="338">
        <f>SUM(F120:F126)</f>
        <v/>
      </c>
      <c r="G127" s="983" t="n"/>
    </row>
    <row r="128">
      <c r="A128" s="302" t="n"/>
      <c r="B128" s="302" t="n"/>
      <c r="C128" s="302" t="n"/>
      <c r="D128" s="316" t="n"/>
      <c r="E128" s="978" t="n"/>
      <c r="F128" s="330" t="n"/>
      <c r="G128" s="977" t="n"/>
    </row>
    <row r="129">
      <c r="A129" s="301" t="inlineStr">
        <is>
          <t>055100</t>
        </is>
      </c>
      <c r="B129" s="308" t="inlineStr">
        <is>
          <t>STRUCTURAL STEEL &amp; MISC METALS</t>
        </is>
      </c>
      <c r="C129" s="302" t="n"/>
      <c r="D129" s="316" t="n"/>
      <c r="E129" s="975" t="n"/>
      <c r="F129" s="330" t="n"/>
      <c r="G129" s="977" t="n"/>
    </row>
    <row r="130">
      <c r="A130" s="302" t="n">
        <v>1</v>
      </c>
      <c r="B130" s="340" t="inlineStr">
        <is>
          <t>Disconnect roof framing for Demo &amp; Shore at select areas</t>
        </is>
      </c>
      <c r="C130" s="302" t="n">
        <v>0</v>
      </c>
      <c r="D130" s="316" t="inlineStr">
        <is>
          <t>SF</t>
        </is>
      </c>
      <c r="E130" s="975" t="n">
        <v>5</v>
      </c>
      <c r="F130" s="330">
        <f>C130*E130</f>
        <v/>
      </c>
      <c r="G130" s="977" t="n"/>
    </row>
    <row r="131" ht="36" customHeight="1">
      <c r="A131" s="302" t="n">
        <v>2</v>
      </c>
      <c r="B131" s="340" t="inlineStr">
        <is>
          <t>F&amp;I new Roof Trusses, girders, Columns at Music Hall area</t>
        </is>
      </c>
      <c r="C131" s="302" t="n">
        <v>0</v>
      </c>
      <c r="D131" s="316" t="inlineStr">
        <is>
          <t>TONS</t>
        </is>
      </c>
      <c r="E131" s="989" t="n">
        <v>6000</v>
      </c>
      <c r="F131" s="330">
        <f>C131*E131</f>
        <v/>
      </c>
      <c r="G131" s="977" t="n"/>
      <c r="K131" s="808" t="inlineStr">
        <is>
          <t>202.0 tons of the columns are BUILT-UP PLATE GIRDERS (I 48/24 through I 69.023/24, 60 LF each on grids B and E), not rolled shapes. Does $6,000/TON apply to shop-welded plate? We carry $8,400.</t>
        </is>
      </c>
    </row>
    <row r="132">
      <c r="A132" s="302" t="n">
        <v>3</v>
      </c>
      <c r="B132" s="340" t="inlineStr">
        <is>
          <t>F&amp;I Roof deck</t>
        </is>
      </c>
      <c r="C132" s="302" t="n">
        <v>0</v>
      </c>
      <c r="D132" s="316" t="inlineStr">
        <is>
          <t>SF</t>
        </is>
      </c>
      <c r="E132" s="975" t="n">
        <v>4</v>
      </c>
      <c r="F132" s="330">
        <f>E132*C132</f>
        <v/>
      </c>
      <c r="G132" s="977" t="n"/>
    </row>
    <row r="133">
      <c r="A133" s="302" t="n"/>
      <c r="B133" s="340" t="inlineStr">
        <is>
          <t>F&amp;I Steel for Stage Support</t>
        </is>
      </c>
      <c r="C133" s="302" t="n"/>
      <c r="D133" s="316" t="n"/>
      <c r="E133" s="975" t="n"/>
      <c r="F133" s="330" t="n"/>
      <c r="G133" s="977" t="n"/>
    </row>
    <row r="134">
      <c r="A134" s="302" t="n"/>
      <c r="B134" s="340" t="n"/>
      <c r="C134" s="302" t="n"/>
      <c r="D134" s="316" t="n"/>
      <c r="E134" s="975" t="n"/>
      <c r="F134" s="330" t="n"/>
      <c r="G134" s="977" t="n"/>
    </row>
    <row r="135">
      <c r="A135" s="302" t="n"/>
      <c r="B135" s="340" t="n"/>
      <c r="C135" s="302" t="n"/>
      <c r="D135" s="316" t="n"/>
      <c r="E135" s="975" t="n"/>
      <c r="F135" s="330" t="n"/>
      <c r="G135" s="977" t="n"/>
    </row>
    <row r="136">
      <c r="A136" s="302" t="n"/>
      <c r="B136" s="340" t="inlineStr">
        <is>
          <t>F/I metal decking Stage</t>
        </is>
      </c>
      <c r="C136" s="302" t="n"/>
      <c r="D136" s="316" t="n"/>
      <c r="E136" s="975" t="n"/>
      <c r="F136" s="330" t="n"/>
      <c r="G136" s="977" t="n"/>
    </row>
    <row r="137">
      <c r="A137" s="302" t="n"/>
      <c r="B137" s="340" t="n"/>
      <c r="C137" s="302" t="n"/>
      <c r="D137" s="316" t="n"/>
      <c r="E137" s="975" t="n"/>
      <c r="F137" s="330" t="n"/>
      <c r="G137" s="977" t="n"/>
    </row>
    <row r="138">
      <c r="A138" s="302" t="n">
        <v>4</v>
      </c>
      <c r="B138" s="343" t="inlineStr">
        <is>
          <t>Steel Framing at Mezz area - Including Elevated Standing &amp; Box Seating</t>
        </is>
      </c>
      <c r="C138" s="302" t="n">
        <v>0</v>
      </c>
      <c r="D138" s="316" t="inlineStr">
        <is>
          <t>TONS</t>
        </is>
      </c>
      <c r="E138" s="975" t="n">
        <v>6000</v>
      </c>
      <c r="F138" s="330">
        <f>E138*C138</f>
        <v/>
      </c>
      <c r="G138" s="977" t="n"/>
    </row>
    <row r="139">
      <c r="A139" s="302" t="n">
        <v>5</v>
      </c>
      <c r="B139" s="340" t="inlineStr">
        <is>
          <t>Steel Framing at upper balcony - incluing balcony seating</t>
        </is>
      </c>
      <c r="C139" s="302" t="n">
        <v>0</v>
      </c>
      <c r="D139" s="316" t="inlineStr">
        <is>
          <t>TONS</t>
        </is>
      </c>
      <c r="E139" s="975" t="n">
        <v>6000</v>
      </c>
      <c r="F139" s="330">
        <f>E139*C139</f>
        <v/>
      </c>
      <c r="G139" s="977" t="n"/>
    </row>
    <row r="140" ht="36" customHeight="1">
      <c r="A140" s="302" t="n">
        <v>6</v>
      </c>
      <c r="B140" s="340" t="inlineStr">
        <is>
          <t xml:space="preserve">Stage Lighting &amp; AV support structure </t>
        </is>
      </c>
      <c r="C140" s="302" t="n">
        <v>0</v>
      </c>
      <c r="D140" s="316" t="inlineStr">
        <is>
          <t>LBS</t>
        </is>
      </c>
      <c r="E140" s="989" t="n">
        <v>8</v>
      </c>
      <c r="F140" s="330">
        <f>C140*E140</f>
        <v/>
      </c>
      <c r="G140" s="977" t="n"/>
      <c r="K140" s="808" t="inlineStr">
        <is>
          <t>Your $8.00/LB here corroborates our ground-supported rigging grid, which works out to $9.21/LB. Note: the stage carries the rigging, not the roof. Please confirm the roof design loads EXCLUDE production rigging.</t>
        </is>
      </c>
    </row>
    <row r="141">
      <c r="A141" s="302" t="n">
        <v>7</v>
      </c>
      <c r="B141" s="340" t="inlineStr">
        <is>
          <t>Small stair to access Stage</t>
        </is>
      </c>
      <c r="C141" s="302" t="n">
        <v>0</v>
      </c>
      <c r="D141" s="316" t="inlineStr">
        <is>
          <t>EA</t>
        </is>
      </c>
      <c r="E141" s="975" t="n">
        <v>13000</v>
      </c>
      <c r="F141" s="330">
        <f>C141*E141</f>
        <v/>
      </c>
      <c r="G141" s="977" t="n"/>
    </row>
    <row r="142">
      <c r="A142" s="302" t="n">
        <v>8</v>
      </c>
      <c r="B142" s="340" t="inlineStr">
        <is>
          <t>Roof Dunnage for HVAC Equipment's</t>
        </is>
      </c>
      <c r="C142" s="302" t="n">
        <v>0</v>
      </c>
      <c r="D142" s="316" t="inlineStr">
        <is>
          <t>LOC</t>
        </is>
      </c>
      <c r="E142" s="975" t="n">
        <v>20000</v>
      </c>
      <c r="F142" s="330">
        <f>C142*E142</f>
        <v/>
      </c>
      <c r="G142" s="977" t="n"/>
    </row>
    <row r="143">
      <c r="A143" s="302" t="n">
        <v>9</v>
      </c>
      <c r="B143" s="340" t="inlineStr">
        <is>
          <t>Roof Penetrations framing for Toilet exhaust &amp; Kitchen exhaust</t>
        </is>
      </c>
      <c r="C143" s="302" t="n">
        <v>0</v>
      </c>
      <c r="D143" s="316" t="inlineStr">
        <is>
          <t>LS</t>
        </is>
      </c>
      <c r="E143" s="975" t="n">
        <v>25000</v>
      </c>
      <c r="F143" s="330">
        <f>C143*E143</f>
        <v/>
      </c>
      <c r="G143" s="977" t="n"/>
    </row>
    <row r="144">
      <c r="A144" s="302" t="n">
        <v>10</v>
      </c>
      <c r="B144" s="340" t="inlineStr">
        <is>
          <t xml:space="preserve">Stairs </t>
        </is>
      </c>
      <c r="C144" s="302" t="n">
        <v>0</v>
      </c>
      <c r="D144" s="316" t="inlineStr">
        <is>
          <t>FL</t>
        </is>
      </c>
      <c r="E144" s="975" t="n">
        <v>30000</v>
      </c>
      <c r="F144" s="330">
        <f>C144*E144</f>
        <v/>
      </c>
      <c r="G144" s="977" t="n"/>
    </row>
    <row r="145">
      <c r="A145" s="302" t="n">
        <v>11</v>
      </c>
      <c r="B145" s="340" t="inlineStr">
        <is>
          <t>Allow for Unistrut at select area of stage</t>
        </is>
      </c>
      <c r="C145" s="302" t="n">
        <v>0</v>
      </c>
      <c r="D145" s="316" t="inlineStr">
        <is>
          <t>SF</t>
        </is>
      </c>
      <c r="E145" s="975" t="n">
        <v>35</v>
      </c>
      <c r="F145" s="330">
        <f>C145*E145</f>
        <v/>
      </c>
      <c r="G145" s="977" t="n"/>
    </row>
    <row r="146">
      <c r="A146" s="302" t="n">
        <v>12</v>
      </c>
      <c r="B146" s="340" t="inlineStr">
        <is>
          <t>Railing at Roof Deck</t>
        </is>
      </c>
      <c r="C146" s="302" t="n">
        <v>0</v>
      </c>
      <c r="D146" s="316" t="inlineStr">
        <is>
          <t>LF</t>
        </is>
      </c>
      <c r="E146" s="975" t="n">
        <v>500</v>
      </c>
      <c r="F146" s="330">
        <f>C146*E146</f>
        <v/>
      </c>
      <c r="G146" s="977" t="n"/>
    </row>
    <row r="147">
      <c r="A147" s="302" t="n">
        <v>13</v>
      </c>
      <c r="B147" s="340" t="inlineStr">
        <is>
          <t>Railing at Theatre</t>
        </is>
      </c>
      <c r="C147" s="302" t="n">
        <v>0</v>
      </c>
      <c r="D147" s="316" t="inlineStr">
        <is>
          <t>LF</t>
        </is>
      </c>
      <c r="E147" s="975" t="n">
        <v>275</v>
      </c>
      <c r="F147" s="330">
        <f>C147*E147</f>
        <v/>
      </c>
      <c r="G147" s="977" t="n"/>
    </row>
    <row r="148">
      <c r="A148" s="302" t="n">
        <v>14</v>
      </c>
      <c r="B148" s="340" t="inlineStr">
        <is>
          <t>Misc. Lintels</t>
        </is>
      </c>
      <c r="C148" s="302" t="n">
        <v>0</v>
      </c>
      <c r="D148" s="316" t="inlineStr">
        <is>
          <t>LS</t>
        </is>
      </c>
      <c r="E148" s="975" t="n">
        <v>10000</v>
      </c>
      <c r="F148" s="330">
        <f>C148*E148</f>
        <v/>
      </c>
      <c r="G148" s="977" t="n"/>
    </row>
    <row r="149">
      <c r="A149" s="302" t="n">
        <v>15</v>
      </c>
      <c r="B149" s="340" t="inlineStr">
        <is>
          <t>Allow for access Ladders at Stage Overhead lighting grid area</t>
        </is>
      </c>
      <c r="C149" s="302" t="n">
        <v>0</v>
      </c>
      <c r="D149" s="316" t="inlineStr">
        <is>
          <t>LS</t>
        </is>
      </c>
      <c r="E149" s="975" t="n">
        <v>15000</v>
      </c>
      <c r="F149" s="330">
        <f>C149*E149</f>
        <v/>
      </c>
      <c r="G149" s="977" t="n"/>
    </row>
    <row r="150" ht="16" customHeight="1" thickBot="1">
      <c r="A150" s="302" t="n"/>
      <c r="B150" s="302" t="n"/>
      <c r="C150" s="302" t="n"/>
      <c r="D150" s="316" t="n"/>
      <c r="E150" s="975" t="n"/>
      <c r="F150" s="330" t="n"/>
      <c r="G150" s="977" t="n"/>
    </row>
    <row r="151" ht="48" customHeight="1" thickBot="1">
      <c r="A151" s="335" t="inlineStr">
        <is>
          <t>Sub Total</t>
        </is>
      </c>
      <c r="B151" s="335">
        <f>B129</f>
        <v/>
      </c>
      <c r="C151" s="335" t="n"/>
      <c r="D151" s="336" t="n"/>
      <c r="E151" s="981" t="n"/>
      <c r="F151" s="990">
        <f>SUM(F128:F150)</f>
        <v/>
      </c>
      <c r="G151" s="983" t="n"/>
      <c r="K151" s="808" t="inlineStr">
        <is>
          <t>ALL 19 LINES ZERO. The RFEM takeoff (VE1) gives 997.2 SHORT TONS: beams/girders 508.4, columns 360.6, trusses 67.7, braces 40.2, CFS 20.3 (11,557 LF). Please price off the lb column - the file's 't' column is metric tonnes (904.6) and using it understates steel by 10.2%. Your own $6,000/TON on line 2 is right for rolled framing.</t>
        </is>
      </c>
    </row>
    <row r="152">
      <c r="A152" s="302" t="n"/>
      <c r="B152" s="302" t="n"/>
      <c r="C152" s="302" t="n"/>
      <c r="D152" s="316" t="n"/>
      <c r="E152" s="975" t="n"/>
      <c r="F152" s="330" t="n"/>
      <c r="G152" s="977" t="n"/>
    </row>
    <row r="153">
      <c r="A153" s="305" t="inlineStr">
        <is>
          <t>062000</t>
        </is>
      </c>
      <c r="B153" s="308" t="inlineStr">
        <is>
          <t>Rough Carpentry/OSHA Protection</t>
        </is>
      </c>
      <c r="C153" s="302" t="n"/>
      <c r="D153" s="316" t="n"/>
      <c r="E153" s="975" t="n"/>
      <c r="F153" s="330" t="n"/>
      <c r="G153" s="977" t="n"/>
    </row>
    <row r="154">
      <c r="A154" s="302" t="n">
        <v>1</v>
      </c>
      <c r="B154" s="340" t="inlineStr">
        <is>
          <t>Safety Protection at Roof cut out</t>
        </is>
      </c>
      <c r="C154" s="302" t="n">
        <v>0</v>
      </c>
      <c r="D154" s="316" t="inlineStr">
        <is>
          <t>LS</t>
        </is>
      </c>
      <c r="E154" s="975" t="n">
        <v>35000</v>
      </c>
      <c r="F154" s="330">
        <f>C154*E154</f>
        <v/>
      </c>
      <c r="G154" s="977" t="n"/>
    </row>
    <row r="155">
      <c r="A155" s="302">
        <f>1+A154</f>
        <v/>
      </c>
      <c r="B155" s="340" t="inlineStr">
        <is>
          <t>Safety Protection at Footings trenches</t>
        </is>
      </c>
      <c r="C155" s="302" t="n">
        <v>0</v>
      </c>
      <c r="D155" s="316" t="inlineStr">
        <is>
          <t>LS</t>
        </is>
      </c>
      <c r="E155" s="975" t="n">
        <v>30000</v>
      </c>
      <c r="F155" s="330">
        <f>C155*E155</f>
        <v/>
      </c>
      <c r="G155" s="977" t="n"/>
    </row>
    <row r="156">
      <c r="A156" s="302" t="n">
        <v>2</v>
      </c>
      <c r="B156" s="340" t="inlineStr">
        <is>
          <t>Entry Barricade</t>
        </is>
      </c>
      <c r="C156" s="302" t="n">
        <v>0</v>
      </c>
      <c r="D156" s="316" t="inlineStr">
        <is>
          <t>SF</t>
        </is>
      </c>
      <c r="E156" s="975" t="n">
        <v>40</v>
      </c>
      <c r="F156" s="330">
        <f>C156*E156</f>
        <v/>
      </c>
      <c r="G156" s="977" t="n"/>
    </row>
    <row r="157">
      <c r="A157" s="302">
        <f>1+A156</f>
        <v/>
      </c>
      <c r="B157" s="340" t="inlineStr">
        <is>
          <t>Safety at New Mezz Build outs</t>
        </is>
      </c>
      <c r="C157" s="302" t="n">
        <v>0</v>
      </c>
      <c r="D157" s="316" t="inlineStr">
        <is>
          <t>SF</t>
        </is>
      </c>
      <c r="E157" s="975" t="n">
        <v>2</v>
      </c>
      <c r="F157" s="330">
        <f>C157*E157</f>
        <v/>
      </c>
      <c r="G157" s="977" t="n"/>
    </row>
    <row r="158">
      <c r="A158" s="302" t="n">
        <v>3</v>
      </c>
      <c r="B158" s="340" t="inlineStr">
        <is>
          <t>Rough Carpentry work at Stage area</t>
        </is>
      </c>
      <c r="C158" s="302" t="n">
        <v>0</v>
      </c>
      <c r="D158" s="316" t="inlineStr">
        <is>
          <t>SF</t>
        </is>
      </c>
      <c r="E158" s="975" t="n">
        <v>5</v>
      </c>
      <c r="F158" s="330">
        <f>C158*E158</f>
        <v/>
      </c>
      <c r="G158" s="977" t="n"/>
    </row>
    <row r="159" ht="16" customHeight="1" thickBot="1">
      <c r="A159" s="302" t="n"/>
      <c r="B159" s="302" t="n"/>
      <c r="C159" s="302" t="n"/>
      <c r="D159" s="316" t="n"/>
      <c r="E159" s="975" t="n"/>
      <c r="F159" s="330" t="n"/>
      <c r="G159" s="977" t="n"/>
    </row>
    <row r="160" ht="16" customHeight="1" thickBot="1">
      <c r="A160" s="335" t="inlineStr">
        <is>
          <t>Sub Total</t>
        </is>
      </c>
      <c r="B160" s="335">
        <f>B153</f>
        <v/>
      </c>
      <c r="C160" s="335" t="n"/>
      <c r="D160" s="336" t="n"/>
      <c r="E160" s="981" t="n"/>
      <c r="F160" s="338">
        <f>SUM(F152:F159)</f>
        <v/>
      </c>
      <c r="G160" s="983" t="n"/>
    </row>
    <row r="161">
      <c r="A161" s="306" t="n"/>
      <c r="B161" s="306" t="n"/>
      <c r="C161" s="310" t="n"/>
      <c r="D161" s="318" t="n"/>
      <c r="E161" s="991" t="n"/>
      <c r="F161" s="332" t="n"/>
      <c r="G161" s="992" t="n"/>
    </row>
    <row r="162">
      <c r="A162" s="301" t="inlineStr">
        <is>
          <t>064000</t>
        </is>
      </c>
      <c r="B162" s="308" t="inlineStr">
        <is>
          <t>MILLWORK</t>
        </is>
      </c>
      <c r="C162" s="302" t="n"/>
      <c r="D162" s="316" t="n"/>
      <c r="E162" s="975" t="n"/>
      <c r="F162" s="330" t="n"/>
      <c r="G162" s="977" t="n"/>
    </row>
    <row r="163">
      <c r="A163" s="302" t="n">
        <v>1</v>
      </c>
      <c r="B163" s="340" t="inlineStr">
        <is>
          <t>Lobby Bar/Back Bar - Complete</t>
        </is>
      </c>
      <c r="C163" s="302" t="n">
        <v>0</v>
      </c>
      <c r="D163" s="316" t="inlineStr">
        <is>
          <t>LF</t>
        </is>
      </c>
      <c r="E163" s="975" t="n">
        <v>2000</v>
      </c>
      <c r="F163" s="330">
        <f>C163*E163</f>
        <v/>
      </c>
      <c r="G163" s="977" t="n"/>
    </row>
    <row r="164">
      <c r="A164" s="302" t="n">
        <v>2</v>
      </c>
      <c r="B164" s="340" t="inlineStr">
        <is>
          <t>VIP Bar/Back Bar - Complete</t>
        </is>
      </c>
      <c r="C164" s="302" t="n">
        <v>0</v>
      </c>
      <c r="D164" s="316" t="inlineStr">
        <is>
          <t>LF</t>
        </is>
      </c>
      <c r="E164" s="975" t="n">
        <v>2000</v>
      </c>
      <c r="F164" s="330">
        <f>C164*E164</f>
        <v/>
      </c>
      <c r="G164" s="977" t="n"/>
    </row>
    <row r="165">
      <c r="A165" s="302">
        <f>A164+1</f>
        <v/>
      </c>
      <c r="B165" s="340" t="inlineStr">
        <is>
          <t>Music Hall GA Bar/Back Bars - Complete</t>
        </is>
      </c>
      <c r="C165" s="302" t="n">
        <v>0</v>
      </c>
      <c r="D165" s="316" t="inlineStr">
        <is>
          <t>LF</t>
        </is>
      </c>
      <c r="E165" s="975" t="n">
        <v>2000</v>
      </c>
      <c r="F165" s="330">
        <f>C165*E165</f>
        <v/>
      </c>
      <c r="G165" s="977" t="n"/>
    </row>
    <row r="166">
      <c r="A166" s="302">
        <f>A165+1</f>
        <v/>
      </c>
      <c r="B166" s="340" t="inlineStr">
        <is>
          <t>Mezzanine Bar/Back Bars - Complete</t>
        </is>
      </c>
      <c r="C166" s="302" t="n">
        <v>0</v>
      </c>
      <c r="D166" s="316" t="inlineStr">
        <is>
          <t>LF</t>
        </is>
      </c>
      <c r="E166" s="975" t="n">
        <v>2000</v>
      </c>
      <c r="F166" s="330">
        <f>C166*E166</f>
        <v/>
      </c>
      <c r="G166" s="977" t="n"/>
    </row>
    <row r="167">
      <c r="A167" s="302">
        <f>A166+1</f>
        <v/>
      </c>
      <c r="B167" s="340" t="inlineStr">
        <is>
          <t>Balcony bar/back bar- complete</t>
        </is>
      </c>
      <c r="C167" s="302" t="n">
        <v>0</v>
      </c>
      <c r="D167" s="316" t="inlineStr">
        <is>
          <t>LF</t>
        </is>
      </c>
      <c r="E167" s="975" t="n">
        <v>2000</v>
      </c>
      <c r="F167" s="330">
        <f>C167*E167</f>
        <v/>
      </c>
      <c r="G167" s="977" t="n"/>
    </row>
    <row r="168">
      <c r="A168" s="302">
        <f>A167+1</f>
        <v/>
      </c>
      <c r="B168" s="340" t="inlineStr">
        <is>
          <t>Upper lounge bar/back bar- complete</t>
        </is>
      </c>
      <c r="C168" s="302" t="n">
        <v>0</v>
      </c>
      <c r="D168" s="316" t="inlineStr">
        <is>
          <t>LF</t>
        </is>
      </c>
      <c r="E168" s="975" t="n">
        <v>2000</v>
      </c>
      <c r="F168" s="330">
        <f>C168*E168</f>
        <v/>
      </c>
      <c r="G168" s="977" t="n"/>
    </row>
    <row r="169">
      <c r="A169" s="302">
        <f>A168+1</f>
        <v/>
      </c>
      <c r="B169" s="340" t="inlineStr">
        <is>
          <t>Lower lounge bar/back bar- complete</t>
        </is>
      </c>
      <c r="C169" s="302" t="n">
        <v>0</v>
      </c>
      <c r="D169" s="316" t="inlineStr">
        <is>
          <t>LF</t>
        </is>
      </c>
      <c r="E169" s="975" t="n">
        <v>2000</v>
      </c>
      <c r="F169" s="330">
        <f>C169*E169</f>
        <v/>
      </c>
      <c r="G169" s="977" t="n"/>
    </row>
    <row r="170">
      <c r="A170" s="302">
        <f>A169+1</f>
        <v/>
      </c>
      <c r="B170" s="340" t="inlineStr">
        <is>
          <t>Foundry bar/back bar- complete</t>
        </is>
      </c>
      <c r="C170" s="302" t="n">
        <v>0</v>
      </c>
      <c r="D170" s="316" t="inlineStr">
        <is>
          <t>LF</t>
        </is>
      </c>
      <c r="E170" s="975" t="n">
        <v>2000</v>
      </c>
      <c r="F170" s="330">
        <f>C170*E170</f>
        <v/>
      </c>
      <c r="G170" s="977" t="n"/>
    </row>
    <row r="171">
      <c r="A171" s="302">
        <f>A170+1</f>
        <v/>
      </c>
      <c r="B171" s="340" t="inlineStr">
        <is>
          <t>Decorative Features Above Each Back Bar</t>
        </is>
      </c>
      <c r="C171" s="302" t="n">
        <v>0</v>
      </c>
      <c r="D171" s="316" t="inlineStr">
        <is>
          <t>EA</t>
        </is>
      </c>
      <c r="E171" s="975" t="n">
        <v>10000</v>
      </c>
      <c r="F171" s="330">
        <f>C171*E171</f>
        <v/>
      </c>
      <c r="G171" s="977" t="n"/>
    </row>
    <row r="172">
      <c r="A172" s="302">
        <f>A171+1</f>
        <v/>
      </c>
      <c r="B172" s="340" t="inlineStr">
        <is>
          <t>Green room Bathrooms &amp; Counter tops</t>
        </is>
      </c>
      <c r="C172" s="302" t="n">
        <v>0</v>
      </c>
      <c r="D172" s="316" t="inlineStr">
        <is>
          <t>LF</t>
        </is>
      </c>
      <c r="E172" s="975" t="n">
        <v>350</v>
      </c>
      <c r="F172" s="330">
        <f>C172*E172</f>
        <v/>
      </c>
      <c r="G172" s="977" t="n"/>
    </row>
    <row r="173">
      <c r="A173" s="302">
        <f>A172+1</f>
        <v/>
      </c>
      <c r="B173" s="340" t="inlineStr">
        <is>
          <t>Public Bathroom Counter top</t>
        </is>
      </c>
      <c r="C173" s="302" t="n">
        <v>0</v>
      </c>
      <c r="D173" s="316" t="inlineStr">
        <is>
          <t>LF</t>
        </is>
      </c>
      <c r="E173" s="975" t="n">
        <v>400</v>
      </c>
      <c r="F173" s="330">
        <f>E173*C173</f>
        <v/>
      </c>
      <c r="G173" s="977" t="n"/>
    </row>
    <row r="174">
      <c r="A174" s="302">
        <f>A173+1</f>
        <v/>
      </c>
      <c r="B174" s="340" t="inlineStr">
        <is>
          <t>Millwork at Merchandise</t>
        </is>
      </c>
      <c r="C174" s="302" t="n">
        <v>0</v>
      </c>
      <c r="D174" s="316" t="inlineStr">
        <is>
          <t>LS</t>
        </is>
      </c>
      <c r="E174" s="975" t="n">
        <v>12000</v>
      </c>
      <c r="F174" s="330">
        <f>E174*C174</f>
        <v/>
      </c>
      <c r="G174" s="977" t="inlineStr">
        <is>
          <t> </t>
        </is>
      </c>
    </row>
    <row r="175">
      <c r="A175" s="302">
        <f>A174+1</f>
        <v/>
      </c>
      <c r="B175" s="340" t="inlineStr">
        <is>
          <t>Pantry at Office Area</t>
        </is>
      </c>
      <c r="C175" s="302" t="n">
        <v>0</v>
      </c>
      <c r="D175" s="316" t="inlineStr">
        <is>
          <t>LF</t>
        </is>
      </c>
      <c r="E175" s="975" t="n">
        <v>850</v>
      </c>
      <c r="F175" s="330">
        <f>E175*C175</f>
        <v/>
      </c>
      <c r="G175" s="977" t="n"/>
    </row>
    <row r="176">
      <c r="A176" s="302">
        <f>A175+1</f>
        <v/>
      </c>
      <c r="B176" s="340" t="inlineStr">
        <is>
          <t>Millwork shelf &amp; Pole at Coat closet area</t>
        </is>
      </c>
      <c r="C176" s="302" t="n">
        <v>0</v>
      </c>
      <c r="D176" s="316" t="inlineStr">
        <is>
          <t>LF</t>
        </is>
      </c>
      <c r="E176" s="975" t="n">
        <v>150</v>
      </c>
      <c r="F176" s="330">
        <f>E176*C176</f>
        <v/>
      </c>
      <c r="G176" s="977" t="n"/>
    </row>
    <row r="177">
      <c r="A177" s="302">
        <f>A176+1</f>
        <v/>
      </c>
      <c r="B177" s="340" t="inlineStr">
        <is>
          <t>Install Furniture</t>
        </is>
      </c>
      <c r="C177" s="302" t="n">
        <v>0</v>
      </c>
      <c r="D177" s="316" t="inlineStr">
        <is>
          <t>LS</t>
        </is>
      </c>
      <c r="E177" s="975" t="n">
        <v>25000</v>
      </c>
      <c r="F177" s="330">
        <f>E177*C177</f>
        <v/>
      </c>
      <c r="G177" s="977" t="n"/>
    </row>
    <row r="178">
      <c r="A178" s="302">
        <f>A177+1</f>
        <v/>
      </c>
      <c r="B178" s="340" t="inlineStr">
        <is>
          <t>Additional millwork in public areas</t>
        </is>
      </c>
      <c r="C178" s="302" t="n">
        <v>0</v>
      </c>
      <c r="D178" s="316" t="inlineStr">
        <is>
          <t>LS</t>
        </is>
      </c>
      <c r="E178" s="975" t="n">
        <v>30000</v>
      </c>
      <c r="F178" s="330">
        <f>E178*C178</f>
        <v/>
      </c>
      <c r="G178" s="977" t="n"/>
    </row>
    <row r="179">
      <c r="A179" s="302">
        <f>A178+1</f>
        <v/>
      </c>
      <c r="B179" s="340" t="inlineStr">
        <is>
          <t>Decorative Millwork at Proscenium</t>
        </is>
      </c>
      <c r="C179" s="302" t="n">
        <v>0</v>
      </c>
      <c r="D179" s="316" t="inlineStr">
        <is>
          <t>EA</t>
        </is>
      </c>
      <c r="E179" s="975" t="n">
        <v>10000</v>
      </c>
      <c r="F179" s="330">
        <f>E179*C179</f>
        <v/>
      </c>
      <c r="G179" s="977" t="n"/>
    </row>
    <row r="180">
      <c r="A180" s="302">
        <f>A179+1</f>
        <v/>
      </c>
      <c r="B180" s="340" t="inlineStr">
        <is>
          <t>Millwork at BOX Office</t>
        </is>
      </c>
      <c r="C180" s="302" t="n">
        <v>0</v>
      </c>
      <c r="D180" s="316" t="inlineStr">
        <is>
          <t>LF</t>
        </is>
      </c>
      <c r="E180" s="975" t="n">
        <v>500</v>
      </c>
      <c r="F180" s="330">
        <f>E180*C180</f>
        <v/>
      </c>
      <c r="G180" s="977" t="n"/>
    </row>
    <row r="181" ht="16" customHeight="1" thickBot="1">
      <c r="A181" s="302" t="n"/>
      <c r="B181" s="302" t="n"/>
      <c r="C181" s="302" t="n"/>
      <c r="D181" s="316" t="n"/>
      <c r="E181" s="978" t="n"/>
      <c r="F181" s="330" t="n"/>
      <c r="G181" s="977" t="n"/>
    </row>
    <row r="182" ht="36" customHeight="1" thickBot="1">
      <c r="A182" s="335" t="inlineStr">
        <is>
          <t>Sub Total</t>
        </is>
      </c>
      <c r="B182" s="335">
        <f>B162</f>
        <v/>
      </c>
      <c r="C182" s="335" t="n"/>
      <c r="D182" s="336" t="n"/>
      <c r="E182" s="981" t="n"/>
      <c r="F182" s="990">
        <f>SUM(F161:F181)</f>
        <v/>
      </c>
      <c r="G182" s="983" t="n"/>
      <c r="K182" s="808" t="inlineStr">
        <is>
          <t>Every bar and back bar at $2,000/LF with no linear feet - but 220000 already carries NINE bars roughed at $30,000 each. Nate can give you the LF off the test fit. We carry $510,500 of millwork.</t>
        </is>
      </c>
    </row>
    <row r="183">
      <c r="A183" s="302" t="n"/>
      <c r="B183" s="302" t="n"/>
      <c r="C183" s="302" t="n"/>
      <c r="D183" s="316" t="n"/>
      <c r="E183" s="978" t="n"/>
      <c r="F183" s="330" t="n"/>
      <c r="G183" s="977" t="n"/>
    </row>
    <row r="184">
      <c r="A184" s="301" t="inlineStr">
        <is>
          <t>075000</t>
        </is>
      </c>
      <c r="B184" s="308" t="inlineStr">
        <is>
          <t>ROOFING</t>
        </is>
      </c>
      <c r="C184" s="302" t="n"/>
      <c r="D184" s="316" t="n"/>
      <c r="E184" s="978" t="n"/>
      <c r="F184" s="330" t="n"/>
      <c r="G184" s="977" t="n"/>
    </row>
    <row r="185">
      <c r="A185" s="302" t="n">
        <v>1</v>
      </c>
      <c r="B185" s="340" t="inlineStr">
        <is>
          <t>2nd Floor Terrace Roof Membrane</t>
        </is>
      </c>
      <c r="C185" s="302" t="n">
        <v>2041</v>
      </c>
      <c r="D185" s="316" t="inlineStr">
        <is>
          <t>SF</t>
        </is>
      </c>
      <c r="E185" s="978" t="n">
        <v>36</v>
      </c>
      <c r="F185" s="330">
        <f>E185*C185</f>
        <v/>
      </c>
      <c r="G185" s="977" t="inlineStr">
        <is>
          <t> </t>
        </is>
      </c>
    </row>
    <row r="186">
      <c r="A186" s="302">
        <f>A185+1</f>
        <v/>
      </c>
      <c r="B186" s="340" t="inlineStr">
        <is>
          <t>3rd Floor Terrace Roof Membrane VIP</t>
        </is>
      </c>
      <c r="C186" s="302" t="n">
        <v>1592</v>
      </c>
      <c r="D186" s="316" t="inlineStr">
        <is>
          <t>SF</t>
        </is>
      </c>
      <c r="E186" s="978" t="n">
        <v>36</v>
      </c>
      <c r="F186" s="330">
        <f>E186*C186</f>
        <v/>
      </c>
      <c r="G186" s="977" t="n"/>
    </row>
    <row r="187">
      <c r="A187" s="302">
        <f>A186+1</f>
        <v/>
      </c>
      <c r="B187" s="340" t="inlineStr">
        <is>
          <t xml:space="preserve">3rd Floor Terrace Roof Membrane Restaurant </t>
        </is>
      </c>
      <c r="C187" s="302" t="n">
        <v>4432</v>
      </c>
      <c r="D187" s="316" t="inlineStr">
        <is>
          <t>SF</t>
        </is>
      </c>
      <c r="E187" s="978" t="n">
        <v>36</v>
      </c>
      <c r="F187" s="330">
        <f>E187*C187</f>
        <v/>
      </c>
      <c r="G187" s="977" t="n"/>
    </row>
    <row r="188">
      <c r="A188" s="302">
        <f>A187+1</f>
        <v/>
      </c>
      <c r="B188" s="340" t="inlineStr">
        <is>
          <t>Music Hall low roof</t>
        </is>
      </c>
      <c r="C188" s="302" t="n">
        <v>17547</v>
      </c>
      <c r="D188" s="316" t="inlineStr">
        <is>
          <t>SF</t>
        </is>
      </c>
      <c r="E188" s="978" t="n">
        <v>36</v>
      </c>
      <c r="F188" s="330">
        <f>E188*C188</f>
        <v/>
      </c>
      <c r="G188" s="977" t="n"/>
    </row>
    <row r="189">
      <c r="A189" s="302">
        <f>A188+1</f>
        <v/>
      </c>
      <c r="B189" s="340" t="inlineStr">
        <is>
          <t>Music Hall Upper level</t>
        </is>
      </c>
      <c r="C189" s="302" t="n">
        <v>30000</v>
      </c>
      <c r="D189" s="316" t="inlineStr">
        <is>
          <t>SF</t>
        </is>
      </c>
      <c r="E189" s="978" t="n">
        <v>36</v>
      </c>
      <c r="F189" s="330">
        <f>E189*C189</f>
        <v/>
      </c>
      <c r="G189" s="977" t="n"/>
    </row>
    <row r="190">
      <c r="A190" s="302">
        <f>A189+1</f>
        <v/>
      </c>
      <c r="B190" s="340" t="inlineStr">
        <is>
          <t>3rd Floor Roof</t>
        </is>
      </c>
      <c r="C190" s="302" t="n">
        <v>8538</v>
      </c>
      <c r="D190" s="316" t="inlineStr">
        <is>
          <t>SF</t>
        </is>
      </c>
      <c r="E190" s="978" t="n">
        <v>36</v>
      </c>
      <c r="F190" s="330">
        <f>E190*C190</f>
        <v/>
      </c>
      <c r="G190" s="977" t="n"/>
    </row>
    <row r="191">
      <c r="A191" s="302">
        <f>A190+1</f>
        <v/>
      </c>
      <c r="B191" s="340" t="inlineStr">
        <is>
          <t>2nd Floor concrete pavers on pedestals</t>
        </is>
      </c>
      <c r="C191" s="302" t="n">
        <v>2041</v>
      </c>
      <c r="D191" s="316" t="inlineStr">
        <is>
          <t>SF</t>
        </is>
      </c>
      <c r="E191" s="978" t="n">
        <v>36</v>
      </c>
      <c r="F191" s="330">
        <f>E191*C191</f>
        <v/>
      </c>
      <c r="G191" s="977" t="n"/>
    </row>
    <row r="192">
      <c r="A192" s="302">
        <f>A191+1</f>
        <v/>
      </c>
      <c r="B192" s="340" t="inlineStr">
        <is>
          <t>3rd Floor Terrace concrete pavers on pedestals VIP</t>
        </is>
      </c>
      <c r="C192" s="302" t="n">
        <v>0</v>
      </c>
      <c r="D192" s="316" t="inlineStr">
        <is>
          <t>SF</t>
        </is>
      </c>
      <c r="E192" s="978" t="n">
        <v>31</v>
      </c>
      <c r="F192" s="330">
        <f>E192*C192</f>
        <v/>
      </c>
      <c r="G192" s="977" t="n"/>
    </row>
    <row r="193">
      <c r="A193" s="302">
        <f>A192+1</f>
        <v/>
      </c>
      <c r="B193" s="340" t="inlineStr">
        <is>
          <t>3rd Floor Terrace concrete pavers on pedestals Restaurant</t>
        </is>
      </c>
      <c r="C193" s="302" t="n">
        <v>4432</v>
      </c>
      <c r="D193" s="316" t="inlineStr">
        <is>
          <t>SF</t>
        </is>
      </c>
      <c r="E193" s="978" t="n">
        <v>36</v>
      </c>
      <c r="F193" s="330">
        <f>E193*C193</f>
        <v/>
      </c>
      <c r="G193" s="977" t="n"/>
    </row>
    <row r="194">
      <c r="A194" s="302">
        <f>A193+1</f>
        <v/>
      </c>
      <c r="B194" s="340" t="inlineStr">
        <is>
          <t>Patch roofing at Misc. Penetrations</t>
        </is>
      </c>
      <c r="C194" s="302" t="n">
        <v>1</v>
      </c>
      <c r="D194" s="316" t="inlineStr">
        <is>
          <t>LS</t>
        </is>
      </c>
      <c r="E194" s="978" t="n">
        <v>15000</v>
      </c>
      <c r="F194" s="330">
        <f>E194*C194</f>
        <v/>
      </c>
      <c r="G194" s="977" t="n"/>
    </row>
    <row r="195" ht="16" customHeight="1" thickBot="1">
      <c r="A195" s="302" t="n"/>
      <c r="B195" s="302" t="n"/>
      <c r="C195" s="302" t="n"/>
      <c r="D195" s="316" t="n"/>
      <c r="E195" s="978" t="n"/>
      <c r="F195" s="330" t="n"/>
      <c r="G195" s="977" t="n"/>
    </row>
    <row r="196" ht="16" customHeight="1" thickBot="1">
      <c r="A196" s="335" t="inlineStr">
        <is>
          <t>Sub Total</t>
        </is>
      </c>
      <c r="B196" s="335">
        <f>B184</f>
        <v/>
      </c>
      <c r="C196" s="335" t="n"/>
      <c r="D196" s="336" t="n"/>
      <c r="E196" s="981" t="n"/>
      <c r="F196" s="338">
        <f>SUM(F183:F195)</f>
        <v/>
      </c>
      <c r="G196" s="983" t="n"/>
    </row>
    <row r="197">
      <c r="A197" s="302" t="n"/>
      <c r="B197" s="302" t="n"/>
      <c r="C197" s="302" t="n"/>
      <c r="D197" s="316" t="n"/>
      <c r="E197" s="978" t="n"/>
      <c r="F197" s="330" t="n"/>
      <c r="G197" s="977" t="n"/>
    </row>
    <row r="198">
      <c r="A198" s="301" t="inlineStr">
        <is>
          <t>078100</t>
        </is>
      </c>
      <c r="B198" s="308" t="inlineStr">
        <is>
          <t xml:space="preserve">FIREPROOFING </t>
        </is>
      </c>
      <c r="C198" s="302" t="n"/>
      <c r="D198" s="316" t="n"/>
      <c r="E198" s="978" t="n"/>
      <c r="F198" s="330" t="n"/>
      <c r="G198" s="977" t="n"/>
    </row>
    <row r="199">
      <c r="A199" s="302" t="n">
        <v>1</v>
      </c>
      <c r="B199" s="340" t="inlineStr">
        <is>
          <t>Allow for fireproofing at New steel at Roof</t>
        </is>
      </c>
      <c r="C199" s="302" t="n">
        <v>0</v>
      </c>
      <c r="D199" s="316" t="inlineStr">
        <is>
          <t>SF</t>
        </is>
      </c>
      <c r="E199" s="978" t="n">
        <v>5</v>
      </c>
      <c r="F199" s="330">
        <f>(C199*E199)</f>
        <v/>
      </c>
      <c r="G199" s="993" t="n"/>
    </row>
    <row r="200">
      <c r="A200" s="302" t="n">
        <v>2</v>
      </c>
      <c r="B200" s="340" t="inlineStr">
        <is>
          <t>Allow for fireproofing at New steel at Mezzanine</t>
        </is>
      </c>
      <c r="C200" s="302" t="n">
        <v>0</v>
      </c>
      <c r="D200" s="316" t="inlineStr">
        <is>
          <t>SF</t>
        </is>
      </c>
      <c r="E200" s="978" t="n">
        <v>5</v>
      </c>
      <c r="F200" s="330">
        <f>(C200*E200)</f>
        <v/>
      </c>
      <c r="G200" s="993" t="n"/>
    </row>
    <row r="201">
      <c r="A201" s="302" t="n">
        <v>3</v>
      </c>
      <c r="B201" s="340" t="inlineStr">
        <is>
          <t>Add fireproofing to existing roof steel</t>
        </is>
      </c>
      <c r="C201" s="302" t="n">
        <v>0</v>
      </c>
      <c r="D201" s="316" t="inlineStr">
        <is>
          <t>SF</t>
        </is>
      </c>
      <c r="E201" s="978" t="n">
        <v>5</v>
      </c>
      <c r="F201" s="330">
        <f>(C201*E201)</f>
        <v/>
      </c>
      <c r="G201" s="993" t="n"/>
    </row>
    <row r="202">
      <c r="A202" s="302" t="n"/>
      <c r="B202" s="302" t="n"/>
      <c r="C202" s="302" t="n"/>
      <c r="D202" s="316" t="n"/>
      <c r="E202" s="978" t="n"/>
      <c r="F202" s="330" t="n"/>
      <c r="G202" s="993" t="inlineStr">
        <is>
          <t> </t>
        </is>
      </c>
    </row>
    <row r="203" ht="16" customHeight="1" thickBot="1">
      <c r="A203" s="302" t="n"/>
      <c r="B203" s="302" t="n"/>
      <c r="C203" s="302" t="n"/>
      <c r="D203" s="316" t="n"/>
      <c r="E203" s="978" t="n"/>
      <c r="F203" s="330" t="inlineStr">
        <is>
          <t> </t>
        </is>
      </c>
      <c r="G203" s="977" t="n"/>
    </row>
    <row r="204" ht="24" customHeight="1" thickBot="1">
      <c r="A204" s="335" t="inlineStr">
        <is>
          <t>Sub Total</t>
        </is>
      </c>
      <c r="B204" s="335">
        <f>B198</f>
        <v/>
      </c>
      <c r="C204" s="335" t="n"/>
      <c r="D204" s="336" t="n"/>
      <c r="E204" s="981" t="n"/>
      <c r="F204" s="982">
        <f>SUM(F197:F203)</f>
        <v/>
      </c>
      <c r="G204" s="983" t="n"/>
      <c r="K204" s="808" t="inlineStr">
        <is>
          <t>All three lines zero at $5.00/SF. On ~107,000 SF of new deck and roof that is about $536,000 at your own rate.</t>
        </is>
      </c>
    </row>
    <row r="205">
      <c r="A205" s="302" t="n"/>
      <c r="B205" s="302" t="n"/>
      <c r="C205" s="302" t="n"/>
      <c r="D205" s="316" t="n"/>
      <c r="E205" s="975" t="n"/>
      <c r="F205" s="330" t="n"/>
      <c r="G205" s="977" t="n"/>
    </row>
    <row r="206">
      <c r="A206" s="301" t="inlineStr">
        <is>
          <t>081000</t>
        </is>
      </c>
      <c r="B206" s="308" t="inlineStr">
        <is>
          <t>DOORS, FRAMES &amp; HARDWARE</t>
        </is>
      </c>
      <c r="C206" s="302" t="n"/>
      <c r="D206" s="316" t="n"/>
      <c r="E206" s="975" t="n"/>
      <c r="F206" s="330" t="inlineStr">
        <is>
          <t> </t>
        </is>
      </c>
      <c r="G206" s="977" t="n"/>
    </row>
    <row r="207">
      <c r="A207" s="302" t="n">
        <v>1</v>
      </c>
      <c r="B207" s="343" t="inlineStr">
        <is>
          <t>Single Hollow Metal Doors - Non-Acoustical</t>
        </is>
      </c>
      <c r="C207" s="302" t="n">
        <v>0</v>
      </c>
      <c r="D207" s="316" t="inlineStr">
        <is>
          <t>EA</t>
        </is>
      </c>
      <c r="E207" s="975" t="n">
        <v>2200</v>
      </c>
      <c r="F207" s="330">
        <f>C207*E207</f>
        <v/>
      </c>
      <c r="G207" s="977" t="n"/>
      <c r="H207" s="1" t="inlineStr">
        <is>
          <t>Storefront double door</t>
        </is>
      </c>
    </row>
    <row r="208">
      <c r="A208" s="302" t="n">
        <v>2</v>
      </c>
      <c r="B208" s="343" t="inlineStr">
        <is>
          <t>Double Hollow Metal Doors - Non-Acoustical</t>
        </is>
      </c>
      <c r="C208" s="302" t="n">
        <v>0</v>
      </c>
      <c r="D208" s="316" t="inlineStr">
        <is>
          <t>EA</t>
        </is>
      </c>
      <c r="E208" s="975" t="n">
        <v>3200</v>
      </c>
      <c r="F208" s="330">
        <f>C208*E208</f>
        <v/>
      </c>
      <c r="G208" s="977" t="n"/>
      <c r="H208" s="1" t="inlineStr">
        <is>
          <t>F/I HM Double Door &amp; hardware</t>
        </is>
      </c>
    </row>
    <row r="209">
      <c r="A209" s="302" t="n">
        <v>3</v>
      </c>
      <c r="B209" s="340" t="inlineStr">
        <is>
          <t>Acoustical doors at Music Hall</t>
        </is>
      </c>
      <c r="C209" s="302" t="n">
        <v>0</v>
      </c>
      <c r="D209" s="316" t="inlineStr">
        <is>
          <t>EA</t>
        </is>
      </c>
      <c r="E209" s="975" t="n">
        <v>10000</v>
      </c>
      <c r="F209" s="330">
        <f>C209*E209</f>
        <v/>
      </c>
      <c r="G209" s="977" t="n"/>
    </row>
    <row r="210">
      <c r="A210" s="302" t="n">
        <v>4</v>
      </c>
      <c r="B210" s="340" t="inlineStr">
        <is>
          <t>Acoustical double doors at Music Hall</t>
        </is>
      </c>
      <c r="C210" s="302" t="n">
        <v>0</v>
      </c>
      <c r="D210" s="316" t="inlineStr">
        <is>
          <t>PAIR</t>
        </is>
      </c>
      <c r="E210" s="975" t="n">
        <v>20000</v>
      </c>
      <c r="F210" s="330">
        <f>C210*E210</f>
        <v/>
      </c>
      <c r="G210" s="977" t="n"/>
    </row>
    <row r="211">
      <c r="A211" s="302" t="n"/>
      <c r="B211" s="302" t="n"/>
      <c r="C211" s="302" t="n"/>
      <c r="D211" s="316" t="n"/>
      <c r="E211" s="975" t="n"/>
      <c r="F211" s="330" t="n"/>
      <c r="G211" s="977" t="n"/>
    </row>
    <row r="212" ht="16" customHeight="1" thickBot="1">
      <c r="A212" s="302" t="n"/>
      <c r="B212" s="302" t="n"/>
      <c r="C212" s="302" t="n"/>
      <c r="D212" s="316" t="n"/>
      <c r="E212" s="975" t="n"/>
      <c r="F212" s="330" t="n"/>
      <c r="G212" s="977" t="n"/>
    </row>
    <row r="213" ht="24" customHeight="1" thickBot="1">
      <c r="A213" s="335" t="inlineStr">
        <is>
          <t>Sub Total</t>
        </is>
      </c>
      <c r="B213" s="335">
        <f>B206</f>
        <v/>
      </c>
      <c r="C213" s="335" t="n"/>
      <c r="D213" s="336" t="n"/>
      <c r="E213" s="981" t="n"/>
      <c r="F213" s="982">
        <f>SUM(F205:F212)</f>
        <v/>
      </c>
      <c r="G213" s="983" t="n"/>
      <c r="K213" s="808" t="inlineStr">
        <is>
          <t>Zero, including every acoustical door and pair into the music hall at $10,000 / $20,000. We carry $546,800.</t>
        </is>
      </c>
    </row>
    <row r="214">
      <c r="A214" s="306" t="n"/>
      <c r="B214" s="306" t="n"/>
      <c r="C214" s="310" t="n"/>
      <c r="D214" s="318" t="n"/>
      <c r="E214" s="991" t="n"/>
      <c r="F214" s="332" t="n"/>
      <c r="G214" s="992" t="n"/>
    </row>
    <row r="215">
      <c r="A215" s="307" t="inlineStr">
        <is>
          <t>083000</t>
        </is>
      </c>
      <c r="B215" s="310" t="inlineStr">
        <is>
          <t>SPECIAL DOORS</t>
        </is>
      </c>
      <c r="C215" s="310" t="n"/>
      <c r="D215" s="318" t="n"/>
      <c r="E215" s="991" t="n"/>
      <c r="F215" s="332" t="n"/>
      <c r="G215" s="992" t="n"/>
    </row>
    <row r="216">
      <c r="A216" s="302" t="n">
        <v>1</v>
      </c>
      <c r="B216" s="343" t="inlineStr">
        <is>
          <t>Eliason doors</t>
        </is>
      </c>
      <c r="C216" s="302" t="n">
        <v>2</v>
      </c>
      <c r="D216" s="316" t="inlineStr">
        <is>
          <t>EA</t>
        </is>
      </c>
      <c r="E216" s="975" t="n">
        <v>3000</v>
      </c>
      <c r="F216" s="330">
        <f>C216*E216</f>
        <v/>
      </c>
      <c r="G216" s="977" t="n"/>
    </row>
    <row r="217">
      <c r="A217" s="302" t="n"/>
      <c r="B217" s="343" t="inlineStr">
        <is>
          <t>Rolling Grille</t>
        </is>
      </c>
      <c r="C217" s="302" t="n">
        <v>40</v>
      </c>
      <c r="D217" s="316" t="inlineStr">
        <is>
          <t>LF</t>
        </is>
      </c>
      <c r="E217" s="994" t="n">
        <v>1750</v>
      </c>
      <c r="F217" s="330">
        <f>C217*E217</f>
        <v/>
      </c>
      <c r="G217" s="977" t="n"/>
    </row>
    <row r="218" ht="16" customHeight="1" thickBot="1">
      <c r="A218" s="302" t="n"/>
      <c r="B218" s="302" t="n"/>
      <c r="C218" s="302" t="n"/>
      <c r="D218" s="316" t="n"/>
      <c r="E218" s="978" t="n"/>
      <c r="F218" s="330" t="n"/>
      <c r="G218" s="977" t="n"/>
    </row>
    <row r="219" ht="16" customHeight="1" thickBot="1">
      <c r="A219" s="335" t="inlineStr">
        <is>
          <t>Sub Total</t>
        </is>
      </c>
      <c r="B219" s="335">
        <f>B215</f>
        <v/>
      </c>
      <c r="C219" s="335" t="n"/>
      <c r="D219" s="336" t="n"/>
      <c r="E219" s="981" t="n"/>
      <c r="F219" s="338">
        <f>SUM(F214:F218)</f>
        <v/>
      </c>
      <c r="G219" s="983" t="n"/>
    </row>
    <row r="220">
      <c r="A220" s="302" t="n"/>
      <c r="B220" s="302" t="n"/>
      <c r="C220" s="302" t="n"/>
      <c r="D220" s="316" t="n"/>
      <c r="E220" s="975" t="n"/>
      <c r="F220" s="330" t="n"/>
      <c r="G220" s="976" t="n"/>
    </row>
    <row r="221">
      <c r="A221" s="301" t="inlineStr">
        <is>
          <t>084100</t>
        </is>
      </c>
      <c r="B221" s="308" t="inlineStr">
        <is>
          <t>STOREFRONT</t>
        </is>
      </c>
      <c r="C221" s="302" t="n"/>
      <c r="D221" s="316" t="n"/>
      <c r="E221" s="975" t="n"/>
      <c r="F221" s="330" t="n"/>
      <c r="G221" s="976" t="n"/>
    </row>
    <row r="222">
      <c r="A222" s="302" t="n">
        <v>1</v>
      </c>
      <c r="B222" s="340" t="inlineStr">
        <is>
          <t>F&amp;I New Storefront with Doors</t>
        </is>
      </c>
      <c r="C222" s="302" t="n">
        <v>0</v>
      </c>
      <c r="D222" s="316" t="inlineStr">
        <is>
          <t>SF</t>
        </is>
      </c>
      <c r="E222" s="975" t="n">
        <v>250</v>
      </c>
      <c r="F222" s="330">
        <f>E222*C222</f>
        <v/>
      </c>
      <c r="G222" s="976" t="n"/>
    </row>
    <row r="223">
      <c r="A223" s="302" t="n">
        <v>2</v>
      </c>
      <c r="B223" s="340" t="inlineStr">
        <is>
          <t>F&amp;I New Storefront with doors to roof deck</t>
        </is>
      </c>
      <c r="C223" s="302" t="n">
        <v>0</v>
      </c>
      <c r="D223" s="316" t="inlineStr">
        <is>
          <t>SF</t>
        </is>
      </c>
      <c r="E223" s="975" t="n">
        <v>150</v>
      </c>
      <c r="F223" s="330">
        <f>E223*C223</f>
        <v/>
      </c>
      <c r="G223" s="976" t="n"/>
    </row>
    <row r="224">
      <c r="A224" s="302" t="n">
        <v>3</v>
      </c>
      <c r="B224" s="340" t="inlineStr">
        <is>
          <t>Storefront double door to roof deck</t>
        </is>
      </c>
      <c r="C224" s="302" t="n">
        <v>0</v>
      </c>
      <c r="D224" s="316" t="inlineStr">
        <is>
          <t>PAIRS</t>
        </is>
      </c>
      <c r="E224" s="975" t="n">
        <v>4500</v>
      </c>
      <c r="F224" s="330">
        <f>E224*C224</f>
        <v/>
      </c>
      <c r="G224" s="976" t="n"/>
    </row>
    <row r="225">
      <c r="A225" s="302" t="n">
        <v>4</v>
      </c>
      <c r="B225" s="340" t="inlineStr">
        <is>
          <t>Interior Storefront at VIP Lounge</t>
        </is>
      </c>
      <c r="C225" s="302" t="n">
        <v>0</v>
      </c>
      <c r="D225" s="316" t="inlineStr">
        <is>
          <t>SF</t>
        </is>
      </c>
      <c r="E225" s="975" t="n">
        <v>75</v>
      </c>
      <c r="F225" s="330">
        <f>E225*C225</f>
        <v/>
      </c>
      <c r="G225" s="976" t="n"/>
    </row>
    <row r="226">
      <c r="A226" s="302" t="n">
        <v>5</v>
      </c>
      <c r="B226" s="340" t="inlineStr">
        <is>
          <t xml:space="preserve">Interior Storefront  at  foundry </t>
        </is>
      </c>
      <c r="C226" s="302" t="n">
        <v>0</v>
      </c>
      <c r="D226" s="316" t="inlineStr">
        <is>
          <t>SF</t>
        </is>
      </c>
      <c r="E226" s="975" t="n">
        <v>75</v>
      </c>
      <c r="F226" s="330">
        <f>E226*C226</f>
        <v/>
      </c>
      <c r="G226" s="976" t="n"/>
    </row>
    <row r="227">
      <c r="A227" s="302" t="n">
        <v>6</v>
      </c>
      <c r="B227" s="340" t="inlineStr">
        <is>
          <t>Interior double door at VIP Lounge</t>
        </is>
      </c>
      <c r="C227" s="302" t="n">
        <v>0</v>
      </c>
      <c r="D227" s="316" t="inlineStr">
        <is>
          <t>PAIR</t>
        </is>
      </c>
      <c r="E227" s="975" t="n">
        <v>4500</v>
      </c>
      <c r="F227" s="330">
        <f>E227*C227</f>
        <v/>
      </c>
      <c r="G227" s="976" t="n"/>
    </row>
    <row r="228" ht="16" customHeight="1" thickBot="1">
      <c r="A228" s="302" t="n"/>
      <c r="B228" s="302" t="n"/>
      <c r="C228" s="302" t="n"/>
      <c r="D228" s="316" t="n"/>
      <c r="E228" s="975" t="n"/>
      <c r="F228" s="330" t="n"/>
      <c r="G228" s="976" t="n"/>
    </row>
    <row r="229" ht="16" customHeight="1" thickBot="1">
      <c r="A229" s="335" t="inlineStr">
        <is>
          <t>Sub Total</t>
        </is>
      </c>
      <c r="B229" s="335">
        <f>B221</f>
        <v/>
      </c>
      <c r="C229" s="335" t="n"/>
      <c r="D229" s="336" t="n"/>
      <c r="E229" s="981" t="n"/>
      <c r="F229" s="982">
        <f>SUM(F221:F228)</f>
        <v/>
      </c>
      <c r="G229" s="983" t="n"/>
      <c r="K229" s="808" t="inlineStr">
        <is>
          <t>Zero. We carry $292,000 for storefront and glazing together.</t>
        </is>
      </c>
    </row>
    <row r="230">
      <c r="A230" s="302" t="n"/>
      <c r="B230" s="302" t="n"/>
      <c r="C230" s="302" t="n"/>
      <c r="D230" s="316" t="n"/>
      <c r="E230" s="975" t="n"/>
      <c r="F230" s="330" t="n"/>
      <c r="G230" s="976" t="n"/>
    </row>
    <row r="231">
      <c r="A231" s="301" t="inlineStr">
        <is>
          <t>088000</t>
        </is>
      </c>
      <c r="B231" s="308" t="inlineStr">
        <is>
          <t>GLAZING</t>
        </is>
      </c>
      <c r="C231" s="302" t="n"/>
      <c r="D231" s="316" t="n"/>
      <c r="E231" s="975" t="n"/>
      <c r="F231" s="330" t="inlineStr">
        <is>
          <t> </t>
        </is>
      </c>
      <c r="G231" s="977" t="n"/>
    </row>
    <row r="232">
      <c r="A232" s="302" t="n">
        <v>2</v>
      </c>
      <c r="B232" s="343" t="inlineStr">
        <is>
          <t>Mirror at Bathrooms- Public</t>
        </is>
      </c>
      <c r="C232" s="302" t="n">
        <v>0</v>
      </c>
      <c r="D232" s="316" t="inlineStr">
        <is>
          <t>SF</t>
        </is>
      </c>
      <c r="E232" s="975" t="n">
        <v>50</v>
      </c>
      <c r="F232" s="330">
        <f>C232*E232</f>
        <v/>
      </c>
      <c r="G232" s="977" t="n"/>
    </row>
    <row r="233">
      <c r="A233" s="302" t="n">
        <v>3</v>
      </c>
      <c r="B233" s="343" t="inlineStr">
        <is>
          <t>Mirror at Green room</t>
        </is>
      </c>
      <c r="C233" s="302" t="n">
        <v>0</v>
      </c>
      <c r="D233" s="316" t="inlineStr">
        <is>
          <t>SF</t>
        </is>
      </c>
      <c r="E233" s="975" t="n">
        <v>50</v>
      </c>
      <c r="F233" s="330">
        <f>C233*E233</f>
        <v/>
      </c>
      <c r="G233" s="977" t="n"/>
    </row>
    <row r="234">
      <c r="A234" s="302" t="n">
        <v>4</v>
      </c>
      <c r="B234" s="343" t="inlineStr">
        <is>
          <t>Mirror behind bars</t>
        </is>
      </c>
      <c r="C234" s="302" t="n">
        <v>0</v>
      </c>
      <c r="D234" s="316" t="inlineStr">
        <is>
          <t>LOT</t>
        </is>
      </c>
      <c r="E234" s="975" t="n">
        <v>35000</v>
      </c>
      <c r="F234" s="330">
        <f>C234*E234</f>
        <v/>
      </c>
      <c r="G234" s="977" t="n"/>
    </row>
    <row r="235">
      <c r="A235" s="302">
        <f>A234+1</f>
        <v/>
      </c>
      <c r="B235" s="343" t="inlineStr">
        <is>
          <t>Ballistic Box office window</t>
        </is>
      </c>
      <c r="C235" s="302" t="n">
        <v>0</v>
      </c>
      <c r="D235" s="316" t="inlineStr">
        <is>
          <t>LOT</t>
        </is>
      </c>
      <c r="E235" s="975" t="n">
        <v>10000</v>
      </c>
      <c r="F235" s="330">
        <f>C235*E235</f>
        <v/>
      </c>
      <c r="G235" s="977" t="n"/>
    </row>
    <row r="236" ht="16" customHeight="1" thickBot="1">
      <c r="A236" s="302" t="n"/>
      <c r="B236" s="302" t="n"/>
      <c r="C236" s="302" t="n"/>
      <c r="D236" s="316" t="n"/>
      <c r="E236" s="978" t="n"/>
      <c r="F236" s="330" t="n"/>
      <c r="G236" s="977" t="n"/>
    </row>
    <row r="237" ht="16" customHeight="1" thickBot="1">
      <c r="A237" s="335" t="inlineStr">
        <is>
          <t>Sub Total</t>
        </is>
      </c>
      <c r="B237" s="335">
        <f>B231</f>
        <v/>
      </c>
      <c r="C237" s="335" t="n"/>
      <c r="D237" s="336" t="n"/>
      <c r="E237" s="981" t="n"/>
      <c r="F237" s="338">
        <f>SUM(F230:F236)</f>
        <v/>
      </c>
      <c r="G237" s="983" t="n"/>
    </row>
    <row r="238">
      <c r="A238" s="302" t="n"/>
      <c r="B238" s="302" t="n"/>
      <c r="C238" s="302" t="n"/>
      <c r="D238" s="316" t="n"/>
      <c r="E238" s="978" t="n"/>
      <c r="F238" s="330" t="n"/>
      <c r="G238" s="977" t="n"/>
    </row>
    <row r="239">
      <c r="A239" s="301" t="inlineStr">
        <is>
          <t>092000</t>
        </is>
      </c>
      <c r="B239" s="308" t="inlineStr">
        <is>
          <t>DRYWALL</t>
        </is>
      </c>
      <c r="C239" s="302" t="n"/>
      <c r="D239" s="316" t="n"/>
      <c r="E239" s="975" t="inlineStr">
        <is>
          <t> </t>
        </is>
      </c>
      <c r="F239" s="330" t="inlineStr">
        <is>
          <t> </t>
        </is>
      </c>
      <c r="G239" s="977" t="n"/>
    </row>
    <row r="240">
      <c r="A240" s="301" t="n"/>
      <c r="B240" s="308" t="inlineStr">
        <is>
          <t>FIRST FLOOR</t>
        </is>
      </c>
      <c r="C240" s="302" t="n"/>
      <c r="D240" s="316" t="n"/>
      <c r="E240" s="975" t="n"/>
      <c r="F240" s="330" t="n"/>
      <c r="G240" s="977" t="n"/>
    </row>
    <row r="241">
      <c r="A241" s="302" t="n">
        <v>1</v>
      </c>
      <c r="B241" s="340" t="inlineStr">
        <is>
          <t>Perimeter wall partition at existing exterior wall</t>
        </is>
      </c>
      <c r="C241" s="302" t="n">
        <v>9972</v>
      </c>
      <c r="D241" s="316" t="inlineStr">
        <is>
          <t>SF</t>
        </is>
      </c>
      <c r="E241" s="975" t="n">
        <v>12</v>
      </c>
      <c r="F241" s="330">
        <f>E241*C241</f>
        <v/>
      </c>
      <c r="G241" s="977" t="n"/>
    </row>
    <row r="242">
      <c r="A242" s="302" t="n"/>
      <c r="B242" s="340" t="inlineStr">
        <is>
          <t>Perimeter wall partition at new exterior wall</t>
        </is>
      </c>
      <c r="C242" s="302" t="n">
        <v>2022</v>
      </c>
      <c r="D242" s="316" t="inlineStr">
        <is>
          <t>SF</t>
        </is>
      </c>
      <c r="E242" s="975" t="n"/>
      <c r="F242" s="330" t="n"/>
      <c r="G242" s="977" t="n"/>
    </row>
    <row r="243">
      <c r="A243" s="302" t="n"/>
      <c r="B243" s="340" t="inlineStr">
        <is>
          <t>2HR Fire Rated Wall Reat Stage - 20' High</t>
        </is>
      </c>
      <c r="C243" s="302" t="n">
        <v>5565</v>
      </c>
      <c r="D243" s="316" t="inlineStr">
        <is>
          <t>SF</t>
        </is>
      </c>
      <c r="E243" s="975" t="n"/>
      <c r="F243" s="330" t="n"/>
      <c r="G243" s="977" t="n"/>
    </row>
    <row r="244">
      <c r="A244" s="302" t="n"/>
      <c r="B244" s="340" t="inlineStr">
        <is>
          <t>2HR Fire Rated Wall Rear Music Hall - 20' High</t>
        </is>
      </c>
      <c r="C244" s="302" t="n">
        <v>2857</v>
      </c>
      <c r="D244" s="316" t="inlineStr">
        <is>
          <t>SF</t>
        </is>
      </c>
      <c r="E244" s="975" t="n"/>
      <c r="F244" s="330" t="n"/>
      <c r="G244" s="977" t="n"/>
    </row>
    <row r="245">
      <c r="A245" s="302" t="n"/>
      <c r="B245" s="340" t="inlineStr">
        <is>
          <t>F/I Plywood 8'AFF at Stage Walls</t>
        </is>
      </c>
      <c r="C245" s="302">
        <f>209*8</f>
        <v/>
      </c>
      <c r="D245" s="316" t="inlineStr">
        <is>
          <t>SF</t>
        </is>
      </c>
      <c r="E245" s="975" t="n"/>
      <c r="F245" s="330" t="n"/>
      <c r="G245" s="977" t="n"/>
    </row>
    <row r="246">
      <c r="A246" s="302" t="n"/>
      <c r="B246" s="340" t="inlineStr">
        <is>
          <t>F/I 2" Insulation above 8' AFF Floor to 38'AFF</t>
        </is>
      </c>
      <c r="C246" s="302">
        <f>6292+640</f>
        <v/>
      </c>
      <c r="D246" s="316" t="inlineStr">
        <is>
          <t>SF</t>
        </is>
      </c>
      <c r="E246" s="975" t="n"/>
      <c r="F246" s="330" t="n"/>
      <c r="G246" s="977" t="n"/>
    </row>
    <row r="247">
      <c r="A247" s="302" t="n"/>
      <c r="B247" s="340" t="inlineStr">
        <is>
          <t>F/I Proscenium Wall</t>
        </is>
      </c>
      <c r="C247" s="302">
        <f>6274-2080</f>
        <v/>
      </c>
      <c r="D247" s="316" t="inlineStr">
        <is>
          <t>SF</t>
        </is>
      </c>
      <c r="E247" s="975" t="n"/>
      <c r="F247" s="330" t="n"/>
      <c r="G247" s="977" t="n"/>
    </row>
    <row r="248">
      <c r="A248" s="302" t="n"/>
      <c r="B248" s="340" t="n"/>
      <c r="C248" s="302" t="n"/>
      <c r="D248" s="316" t="n"/>
      <c r="E248" s="975" t="n"/>
      <c r="F248" s="330" t="n"/>
      <c r="G248" s="977" t="n"/>
    </row>
    <row r="249">
      <c r="A249" s="302" t="n"/>
      <c r="B249" s="308" t="inlineStr">
        <is>
          <t>SECOND FLOOR</t>
        </is>
      </c>
      <c r="C249" s="302" t="n"/>
      <c r="D249" s="316" t="n"/>
      <c r="E249" s="975" t="n"/>
      <c r="F249" s="330" t="n"/>
      <c r="G249" s="977" t="n"/>
    </row>
    <row r="250">
      <c r="A250" s="302" t="n"/>
      <c r="B250" s="308" t="n"/>
      <c r="C250" s="302" t="n"/>
      <c r="D250" s="316" t="n"/>
      <c r="E250" s="975" t="n"/>
      <c r="F250" s="330" t="n"/>
      <c r="G250" s="977" t="n"/>
    </row>
    <row r="251">
      <c r="A251" s="302" t="n"/>
      <c r="B251" s="308" t="n"/>
      <c r="C251" s="302" t="n"/>
      <c r="D251" s="316" t="n"/>
      <c r="E251" s="975" t="n"/>
      <c r="F251" s="330" t="n"/>
      <c r="G251" s="977" t="n"/>
    </row>
    <row r="252">
      <c r="A252" s="302" t="n"/>
      <c r="B252" s="308" t="n"/>
      <c r="C252" s="302" t="n"/>
      <c r="D252" s="316" t="n"/>
      <c r="E252" s="975" t="n"/>
      <c r="F252" s="330" t="n"/>
      <c r="G252" s="977" t="n"/>
    </row>
    <row r="253">
      <c r="A253" s="302" t="n"/>
      <c r="B253" s="308" t="inlineStr">
        <is>
          <t>THIRD FLOOR</t>
        </is>
      </c>
      <c r="C253" s="302" t="n"/>
      <c r="D253" s="316" t="n"/>
      <c r="E253" s="975" t="n"/>
      <c r="F253" s="330" t="n"/>
      <c r="G253" s="977" t="n"/>
    </row>
    <row r="254">
      <c r="A254" s="302" t="n"/>
      <c r="B254" s="308" t="n"/>
      <c r="C254" s="302" t="n"/>
      <c r="D254" s="316" t="n"/>
      <c r="E254" s="975" t="n"/>
      <c r="F254" s="330" t="n"/>
      <c r="G254" s="977" t="n"/>
    </row>
    <row r="255">
      <c r="A255" s="302" t="n"/>
      <c r="B255" s="308" t="n"/>
      <c r="C255" s="302" t="n"/>
      <c r="D255" s="316" t="n"/>
      <c r="E255" s="975" t="n"/>
      <c r="F255" s="330" t="n"/>
      <c r="G255" s="977" t="n"/>
    </row>
    <row r="256">
      <c r="A256" s="302" t="n"/>
      <c r="B256" s="308" t="n"/>
      <c r="C256" s="302" t="n"/>
      <c r="D256" s="316" t="n"/>
      <c r="E256" s="975" t="n"/>
      <c r="F256" s="330" t="n"/>
      <c r="G256" s="977" t="n"/>
    </row>
    <row r="257">
      <c r="A257" s="302" t="n"/>
      <c r="B257" s="308" t="n"/>
      <c r="C257" s="302" t="n"/>
      <c r="D257" s="316" t="n"/>
      <c r="E257" s="975" t="n"/>
      <c r="F257" s="330" t="n"/>
      <c r="G257" s="977" t="n"/>
    </row>
    <row r="258">
      <c r="A258" s="302" t="n"/>
      <c r="B258" s="340" t="n"/>
      <c r="C258" s="302" t="n"/>
      <c r="D258" s="316" t="n"/>
      <c r="E258" s="975" t="n"/>
      <c r="F258" s="330" t="n"/>
      <c r="G258" s="977" t="n"/>
    </row>
    <row r="259">
      <c r="A259" s="302" t="n">
        <v>2</v>
      </c>
      <c r="B259" s="340" t="inlineStr">
        <is>
          <t>Perimeter wall furring/sheathing at new  Music Hall bump up</t>
        </is>
      </c>
      <c r="C259" s="302" t="n">
        <v>0</v>
      </c>
      <c r="D259" s="316" t="inlineStr">
        <is>
          <t>SF</t>
        </is>
      </c>
      <c r="E259" s="975" t="n">
        <v>20</v>
      </c>
      <c r="F259" s="330">
        <f>E259*C259</f>
        <v/>
      </c>
      <c r="G259" s="977" t="n"/>
    </row>
    <row r="260">
      <c r="A260" s="302" t="n">
        <v>3</v>
      </c>
      <c r="B260" s="343" t="inlineStr">
        <is>
          <t>Interior Sound/Fire rated walls at music hall, stair ways and elevator shafts</t>
        </is>
      </c>
      <c r="C260" s="302" t="n">
        <v>0</v>
      </c>
      <c r="D260" s="316" t="inlineStr">
        <is>
          <t>SF</t>
        </is>
      </c>
      <c r="E260" s="975" t="n">
        <v>20</v>
      </c>
      <c r="F260" s="330">
        <f>E260*C260</f>
        <v/>
      </c>
      <c r="G260" s="977" t="n"/>
    </row>
    <row r="261">
      <c r="A261" s="302" t="n">
        <v>4</v>
      </c>
      <c r="B261" s="340" t="inlineStr">
        <is>
          <t>Interior Non Sound walls</t>
        </is>
      </c>
      <c r="C261" s="302" t="n">
        <v>0</v>
      </c>
      <c r="D261" s="316" t="inlineStr">
        <is>
          <t>SF</t>
        </is>
      </c>
      <c r="E261" s="975" t="n">
        <v>12</v>
      </c>
      <c r="F261" s="330">
        <f>E261*C261</f>
        <v/>
      </c>
      <c r="G261" s="977" t="n"/>
    </row>
    <row r="262">
      <c r="A262" s="302" t="n">
        <v>5</v>
      </c>
      <c r="B262" s="340" t="inlineStr">
        <is>
          <t>Drywall ceilings</t>
        </is>
      </c>
      <c r="C262" s="302" t="n">
        <v>0</v>
      </c>
      <c r="D262" s="316" t="inlineStr">
        <is>
          <t>SF</t>
        </is>
      </c>
      <c r="E262" s="975" t="n">
        <v>12</v>
      </c>
      <c r="F262" s="330">
        <f>C262*E262</f>
        <v/>
      </c>
      <c r="G262" s="977" t="n"/>
    </row>
    <row r="263">
      <c r="A263" s="302" t="n">
        <v>6</v>
      </c>
      <c r="B263" s="340" t="inlineStr">
        <is>
          <t>Acoustical Ceilngs</t>
        </is>
      </c>
      <c r="C263" s="302" t="n">
        <v>0</v>
      </c>
      <c r="D263" s="316" t="inlineStr">
        <is>
          <t>SF</t>
        </is>
      </c>
      <c r="E263" s="975" t="n">
        <v>10</v>
      </c>
      <c r="F263" s="330">
        <f>C263*E263</f>
        <v/>
      </c>
      <c r="G263" s="977" t="n"/>
    </row>
    <row r="264">
      <c r="A264" s="302" t="n">
        <v>7</v>
      </c>
      <c r="B264" s="340" t="inlineStr">
        <is>
          <t>Install Doors/Frames/Hardware</t>
        </is>
      </c>
      <c r="C264" s="302" t="n">
        <v>0</v>
      </c>
      <c r="D264" s="316" t="inlineStr">
        <is>
          <t>EA</t>
        </is>
      </c>
      <c r="E264" s="975" t="n">
        <v>650</v>
      </c>
      <c r="F264" s="330">
        <f>C264*E264</f>
        <v/>
      </c>
      <c r="G264" s="977" t="n"/>
    </row>
    <row r="265">
      <c r="A265" s="302" t="n">
        <v>8</v>
      </c>
      <c r="B265" s="340" t="inlineStr">
        <is>
          <t>Blocking</t>
        </is>
      </c>
      <c r="C265" s="302" t="n">
        <v>0</v>
      </c>
      <c r="D265" s="316" t="inlineStr">
        <is>
          <t>LS</t>
        </is>
      </c>
      <c r="E265" s="975" t="n">
        <v>30000</v>
      </c>
      <c r="F265" s="330">
        <f>C265*E265</f>
        <v/>
      </c>
      <c r="G265" s="977" t="n"/>
    </row>
    <row r="266">
      <c r="A266" s="302" t="n">
        <v>9</v>
      </c>
      <c r="B266" s="340" t="inlineStr">
        <is>
          <t>FRP Kitchen walls</t>
        </is>
      </c>
      <c r="C266" s="302" t="n">
        <v>0</v>
      </c>
      <c r="D266" s="316" t="inlineStr">
        <is>
          <t>SF</t>
        </is>
      </c>
      <c r="E266" s="975" t="n">
        <v>15</v>
      </c>
      <c r="F266" s="330">
        <f>C266*E266</f>
        <v/>
      </c>
      <c r="G266" s="977" t="n"/>
    </row>
    <row r="267">
      <c r="A267" s="302" t="n">
        <v>10</v>
      </c>
      <c r="B267" s="340" t="inlineStr">
        <is>
          <t>Diamond wall plates at Loading dock area for wall protection</t>
        </is>
      </c>
      <c r="C267" s="302" t="n">
        <v>0</v>
      </c>
      <c r="D267" s="316" t="inlineStr">
        <is>
          <t>SF</t>
        </is>
      </c>
      <c r="E267" s="975" t="n">
        <v>15</v>
      </c>
      <c r="F267" s="330">
        <f>C267*E267</f>
        <v/>
      </c>
      <c r="G267" s="977" t="n"/>
    </row>
    <row r="268">
      <c r="A268" s="302" t="n">
        <v>11</v>
      </c>
      <c r="B268" s="340" t="inlineStr">
        <is>
          <t>Install Items Furnished By Others</t>
        </is>
      </c>
      <c r="C268" s="302" t="n">
        <v>0</v>
      </c>
      <c r="D268" s="316" t="inlineStr">
        <is>
          <t>LS</t>
        </is>
      </c>
      <c r="E268" s="975" t="n">
        <v>25000</v>
      </c>
      <c r="F268" s="330">
        <f>C268*E268</f>
        <v/>
      </c>
      <c r="G268" s="977" t="n"/>
    </row>
    <row r="269" ht="16" customHeight="1" thickBot="1">
      <c r="A269" s="308" t="n"/>
      <c r="B269" s="308" t="n"/>
      <c r="C269" s="302" t="n"/>
      <c r="D269" s="316" t="n"/>
      <c r="E269" s="978" t="n"/>
      <c r="F269" s="330" t="inlineStr">
        <is>
          <t> </t>
        </is>
      </c>
      <c r="G269" s="977" t="n"/>
    </row>
    <row r="270" ht="24" customHeight="1" thickBot="1">
      <c r="A270" s="335" t="inlineStr">
        <is>
          <t>Sub Total</t>
        </is>
      </c>
      <c r="B270" s="335">
        <f>B239</f>
        <v/>
      </c>
      <c r="C270" s="335" t="n"/>
      <c r="D270" s="336" t="n"/>
      <c r="E270" s="981" t="n"/>
      <c r="F270" s="982">
        <f>SUM(F238:F269)</f>
        <v/>
      </c>
      <c r="G270" s="983" t="n"/>
      <c r="K270" s="808" t="inlineStr">
        <is>
          <t>9 of 10 lines zero. $119,664 looks like a fraction of a room needing sound-rated separation between a 7,440-capacity hall and everything else. We carry $1,019,276.</t>
        </is>
      </c>
    </row>
    <row r="271">
      <c r="A271" s="302" t="n"/>
      <c r="B271" s="302" t="n"/>
      <c r="C271" s="302" t="n"/>
      <c r="D271" s="316" t="n"/>
      <c r="E271" s="978" t="n"/>
      <c r="F271" s="330" t="n"/>
      <c r="G271" s="977" t="n"/>
    </row>
    <row r="272">
      <c r="A272" s="301" t="inlineStr">
        <is>
          <t>092300</t>
        </is>
      </c>
      <c r="B272" s="308" t="inlineStr">
        <is>
          <t>TILE</t>
        </is>
      </c>
      <c r="C272" s="302" t="n"/>
      <c r="D272" s="316" t="n"/>
      <c r="E272" s="975" t="inlineStr">
        <is>
          <t> </t>
        </is>
      </c>
      <c r="F272" s="330" t="inlineStr">
        <is>
          <t> </t>
        </is>
      </c>
      <c r="G272" s="977" t="n"/>
    </row>
    <row r="273">
      <c r="A273" s="302" t="n">
        <v>1</v>
      </c>
      <c r="B273" s="340" t="inlineStr">
        <is>
          <t>Tile at Restroom/Shower Floors</t>
        </is>
      </c>
      <c r="C273" s="302" t="n">
        <v>0</v>
      </c>
      <c r="D273" s="316" t="inlineStr">
        <is>
          <t>SF</t>
        </is>
      </c>
      <c r="E273" s="975" t="n">
        <v>30</v>
      </c>
      <c r="F273" s="330">
        <f>C273*E273</f>
        <v/>
      </c>
      <c r="G273" s="976" t="inlineStr">
        <is>
          <t> </t>
        </is>
      </c>
    </row>
    <row r="274">
      <c r="A274" s="302" t="n">
        <v>2</v>
      </c>
      <c r="B274" s="340" t="inlineStr">
        <is>
          <t>Tile at Restroom Walls</t>
        </is>
      </c>
      <c r="C274" s="313" t="n">
        <v>0</v>
      </c>
      <c r="D274" s="316" t="inlineStr">
        <is>
          <t>SF</t>
        </is>
      </c>
      <c r="E274" s="975" t="n">
        <v>30</v>
      </c>
      <c r="F274" s="330">
        <f>C274*E274</f>
        <v/>
      </c>
      <c r="G274" s="976" t="n"/>
    </row>
    <row r="275">
      <c r="A275" s="302" t="n">
        <v>3</v>
      </c>
      <c r="B275" s="340" t="inlineStr">
        <is>
          <t>Faux brick at Lobby</t>
        </is>
      </c>
      <c r="C275" s="302" t="n">
        <v>0</v>
      </c>
      <c r="D275" s="316" t="inlineStr">
        <is>
          <t>SF</t>
        </is>
      </c>
      <c r="E275" s="975" t="n">
        <v>35</v>
      </c>
      <c r="F275" s="330">
        <f>C275*E275</f>
        <v/>
      </c>
      <c r="G275" s="977" t="n"/>
    </row>
    <row r="276">
      <c r="A276" s="302" t="n">
        <v>4</v>
      </c>
      <c r="B276" s="340" t="inlineStr">
        <is>
          <t>Tile at Bar Floors</t>
        </is>
      </c>
      <c r="C276" s="302" t="n">
        <v>0</v>
      </c>
      <c r="D276" s="316" t="inlineStr">
        <is>
          <t>SF</t>
        </is>
      </c>
      <c r="E276" s="975" t="n">
        <v>20</v>
      </c>
      <c r="F276" s="330">
        <f>C276*E276</f>
        <v/>
      </c>
      <c r="G276" s="977" t="n"/>
    </row>
    <row r="277">
      <c r="A277" s="302" t="n">
        <v>5</v>
      </c>
      <c r="B277" s="340" t="inlineStr">
        <is>
          <t>Tile &amp; Base at Kitchen</t>
        </is>
      </c>
      <c r="C277" s="302" t="n">
        <v>0</v>
      </c>
      <c r="D277" s="316" t="inlineStr">
        <is>
          <t>SF</t>
        </is>
      </c>
      <c r="E277" s="975" t="n">
        <v>20</v>
      </c>
      <c r="F277" s="330">
        <f>C277*E277</f>
        <v/>
      </c>
      <c r="G277" s="977" t="n"/>
    </row>
    <row r="278" ht="16" customHeight="1" thickBot="1">
      <c r="A278" s="308" t="n"/>
      <c r="B278" s="308" t="n"/>
      <c r="C278" s="302" t="n"/>
      <c r="D278" s="316" t="n"/>
      <c r="E278" s="978" t="n"/>
      <c r="F278" s="330" t="inlineStr">
        <is>
          <t> </t>
        </is>
      </c>
      <c r="G278" s="977" t="n"/>
    </row>
    <row r="279" ht="16" customHeight="1" thickBot="1">
      <c r="A279" s="335" t="inlineStr">
        <is>
          <t>Sub Total</t>
        </is>
      </c>
      <c r="B279" s="335">
        <f>B272</f>
        <v/>
      </c>
      <c r="C279" s="335" t="n"/>
      <c r="D279" s="336" t="n"/>
      <c r="E279" s="981" t="n"/>
      <c r="F279" s="338">
        <f>SUM(F271:F278)</f>
        <v/>
      </c>
      <c r="G279" s="983" t="n"/>
    </row>
    <row r="280">
      <c r="A280" s="302" t="n"/>
      <c r="B280" s="302" t="n"/>
      <c r="C280" s="302" t="n"/>
      <c r="D280" s="316" t="n"/>
      <c r="E280" s="975" t="n"/>
      <c r="F280" s="330" t="n"/>
      <c r="G280" s="977" t="n"/>
    </row>
    <row r="281">
      <c r="A281" s="301" t="inlineStr">
        <is>
          <t>096000</t>
        </is>
      </c>
      <c r="B281" s="308" t="inlineStr">
        <is>
          <t>CARPET/RESILIENT FLOORING</t>
        </is>
      </c>
      <c r="C281" s="302" t="n"/>
      <c r="D281" s="316" t="n"/>
      <c r="E281" s="975" t="n"/>
      <c r="F281" s="330" t="inlineStr">
        <is>
          <t> </t>
        </is>
      </c>
      <c r="G281" s="977" t="n"/>
    </row>
    <row r="282">
      <c r="A282" s="302" t="n">
        <v>1</v>
      </c>
      <c r="B282" s="340" t="inlineStr">
        <is>
          <t>Carpete tile at office and production</t>
        </is>
      </c>
      <c r="C282" s="302" t="n">
        <v>0</v>
      </c>
      <c r="D282" s="316" t="inlineStr">
        <is>
          <t>SF</t>
        </is>
      </c>
      <c r="E282" s="975" t="n">
        <v>5.5</v>
      </c>
      <c r="F282" s="330">
        <f>E282*C282</f>
        <v/>
      </c>
      <c r="G282" s="977" t="n"/>
    </row>
    <row r="283">
      <c r="A283" s="302">
        <f>A282+1</f>
        <v/>
      </c>
      <c r="B283" s="340" t="inlineStr">
        <is>
          <t>LVT Flooring at Green room areas and Dresssing rooms</t>
        </is>
      </c>
      <c r="C283" s="302" t="n">
        <v>0</v>
      </c>
      <c r="D283" s="316" t="inlineStr">
        <is>
          <t>SF</t>
        </is>
      </c>
      <c r="E283" s="975" t="n">
        <v>10</v>
      </c>
      <c r="F283" s="330">
        <f>E283*C283</f>
        <v/>
      </c>
      <c r="G283" s="977" t="n"/>
    </row>
    <row r="284">
      <c r="A284" s="302">
        <f>A283+1</f>
        <v/>
      </c>
      <c r="B284" s="340" t="inlineStr">
        <is>
          <t>LVT Music Hall and egress stair landings</t>
        </is>
      </c>
      <c r="C284" s="302" t="n">
        <v>30505</v>
      </c>
      <c r="D284" s="316" t="inlineStr">
        <is>
          <t>SF</t>
        </is>
      </c>
      <c r="E284" s="975" t="n">
        <v>20</v>
      </c>
      <c r="F284" s="330">
        <f>E284*C284</f>
        <v/>
      </c>
      <c r="G284" s="977" t="n"/>
    </row>
    <row r="285">
      <c r="A285" s="302">
        <f>A284+1</f>
        <v/>
      </c>
      <c r="B285" s="340" t="inlineStr">
        <is>
          <t>LVT Coatcheck</t>
        </is>
      </c>
      <c r="C285" s="302" t="n">
        <v>1189</v>
      </c>
      <c r="D285" s="316" t="inlineStr">
        <is>
          <t>SF</t>
        </is>
      </c>
      <c r="E285" s="975" t="n">
        <v>12</v>
      </c>
      <c r="F285" s="330">
        <f>E285*C285</f>
        <v/>
      </c>
      <c r="G285" s="977" t="n"/>
    </row>
    <row r="286">
      <c r="A286" s="302">
        <f>A285+1</f>
        <v/>
      </c>
      <c r="B286" s="340" t="inlineStr">
        <is>
          <t>VCT in coat room/box office</t>
        </is>
      </c>
      <c r="C286" s="302" t="n">
        <v>0</v>
      </c>
      <c r="D286" s="316" t="inlineStr">
        <is>
          <t>SF</t>
        </is>
      </c>
      <c r="E286" s="975" t="n">
        <v>7</v>
      </c>
      <c r="F286" s="330">
        <f>E286*C286</f>
        <v/>
      </c>
      <c r="G286" s="977" t="n"/>
    </row>
    <row r="287">
      <c r="A287" s="302">
        <f>A286+1</f>
        <v/>
      </c>
      <c r="B287" s="340" t="inlineStr">
        <is>
          <t>F&amp;I Vinyl Base</t>
        </is>
      </c>
      <c r="C287" s="302" t="n">
        <v>0</v>
      </c>
      <c r="D287" s="316" t="inlineStr">
        <is>
          <t>LF</t>
        </is>
      </c>
      <c r="E287" s="975" t="n">
        <v>2.75</v>
      </c>
      <c r="F287" s="330">
        <f>E287*C287</f>
        <v/>
      </c>
      <c r="G287" s="977" t="n"/>
    </row>
    <row r="288">
      <c r="A288" s="302" t="n"/>
      <c r="B288" s="340" t="inlineStr">
        <is>
          <t>Sealed concrete stage load-in / 1st Fl BOH</t>
        </is>
      </c>
      <c r="C288" s="302">
        <f>4753+836+848+188+409</f>
        <v/>
      </c>
      <c r="D288" s="316" t="inlineStr">
        <is>
          <t>SF</t>
        </is>
      </c>
      <c r="E288" s="975" t="n">
        <v>20</v>
      </c>
      <c r="F288" s="330">
        <f>E288*C288</f>
        <v/>
      </c>
      <c r="G288" s="977" t="n"/>
    </row>
    <row r="289">
      <c r="A289" s="302" t="n"/>
      <c r="B289" s="340" t="n"/>
      <c r="C289" s="302" t="n"/>
      <c r="D289" s="316" t="n"/>
      <c r="E289" s="975" t="n"/>
      <c r="F289" s="330" t="n"/>
      <c r="G289" s="977" t="n"/>
    </row>
    <row r="290">
      <c r="A290" s="302">
        <f>A287+1</f>
        <v/>
      </c>
      <c r="B290" s="340" t="inlineStr">
        <is>
          <t>Minor Prep floor</t>
        </is>
      </c>
      <c r="C290" s="302" t="n">
        <v>0</v>
      </c>
      <c r="D290" s="316" t="inlineStr">
        <is>
          <t>SF</t>
        </is>
      </c>
      <c r="E290" s="975" t="n">
        <v>1.5</v>
      </c>
      <c r="F290" s="330">
        <f>E290*C290</f>
        <v/>
      </c>
      <c r="G290" s="977" t="n"/>
    </row>
    <row r="291">
      <c r="A291" s="302">
        <f>A290+1</f>
        <v/>
      </c>
      <c r="B291" s="340" t="inlineStr">
        <is>
          <t>Entry Mats</t>
        </is>
      </c>
      <c r="C291" s="302" t="n">
        <v>0</v>
      </c>
      <c r="D291" s="316" t="inlineStr">
        <is>
          <t>SF</t>
        </is>
      </c>
      <c r="E291" s="975" t="n">
        <v>100</v>
      </c>
      <c r="F291" s="330">
        <f>E291*C291</f>
        <v/>
      </c>
      <c r="G291" s="977" t="n"/>
    </row>
    <row r="292">
      <c r="A292" s="302">
        <f>A291+1</f>
        <v/>
      </c>
      <c r="B292" s="340" t="inlineStr">
        <is>
          <t>Stair Treads</t>
        </is>
      </c>
      <c r="C292" s="302" t="n">
        <v>0</v>
      </c>
      <c r="D292" s="316" t="inlineStr">
        <is>
          <t>LS</t>
        </is>
      </c>
      <c r="E292" s="975" t="n">
        <v>17500</v>
      </c>
      <c r="F292" s="330">
        <f>E292*C292</f>
        <v/>
      </c>
      <c r="G292" s="977" t="n"/>
    </row>
    <row r="293" ht="16" customHeight="1" thickBot="1">
      <c r="A293" s="302" t="n"/>
      <c r="B293" s="302" t="n"/>
      <c r="C293" s="302" t="n"/>
      <c r="D293" s="316" t="n"/>
      <c r="E293" s="978" t="n"/>
      <c r="F293" s="330" t="n"/>
      <c r="G293" s="977" t="n"/>
    </row>
    <row r="294" ht="16" customHeight="1" thickBot="1">
      <c r="A294" s="335" t="inlineStr">
        <is>
          <t>Sub Total</t>
        </is>
      </c>
      <c r="B294" s="335">
        <f>B281</f>
        <v/>
      </c>
      <c r="C294" s="335" t="n"/>
      <c r="D294" s="336" t="n"/>
      <c r="E294" s="981" t="n"/>
      <c r="F294" s="338">
        <f>SUM(F280:F293)</f>
        <v/>
      </c>
      <c r="G294" s="983" t="n"/>
    </row>
    <row r="295">
      <c r="A295" s="302" t="n"/>
      <c r="B295" s="302" t="n"/>
      <c r="C295" s="302" t="n"/>
      <c r="D295" s="316" t="n"/>
      <c r="E295" s="975" t="n"/>
      <c r="F295" s="330" t="n"/>
      <c r="G295" s="977" t="n"/>
    </row>
    <row r="296">
      <c r="A296" s="301" t="inlineStr">
        <is>
          <t>096050</t>
        </is>
      </c>
      <c r="B296" s="308" t="inlineStr">
        <is>
          <t>FLOOR PREPARATION</t>
        </is>
      </c>
      <c r="C296" s="302" t="n"/>
      <c r="D296" s="316" t="n"/>
      <c r="E296" s="975" t="n"/>
      <c r="F296" s="330" t="inlineStr">
        <is>
          <t> </t>
        </is>
      </c>
      <c r="G296" s="977" t="n"/>
    </row>
    <row r="297">
      <c r="A297" s="302" t="n">
        <v>1</v>
      </c>
      <c r="B297" s="340" t="inlineStr">
        <is>
          <t>Music Hall shot blasting &amp; MVB</t>
        </is>
      </c>
      <c r="C297" s="302" t="n">
        <v>24538</v>
      </c>
      <c r="D297" s="316" t="inlineStr">
        <is>
          <t>SF</t>
        </is>
      </c>
      <c r="E297" s="978" t="n">
        <v>12</v>
      </c>
      <c r="F297" s="330">
        <f>E297*C297</f>
        <v/>
      </c>
      <c r="G297" s="976" t="inlineStr">
        <is>
          <t> </t>
        </is>
      </c>
    </row>
    <row r="298">
      <c r="A298" s="302" t="n">
        <v>2</v>
      </c>
      <c r="B298" s="340" t="inlineStr">
        <is>
          <t>Music Hall cement overlay and top coat</t>
        </is>
      </c>
      <c r="C298" s="302" t="n">
        <v>24538</v>
      </c>
      <c r="D298" s="316" t="inlineStr">
        <is>
          <t>SF</t>
        </is>
      </c>
      <c r="E298" s="978" t="n">
        <v>9</v>
      </c>
      <c r="F298" s="330">
        <f>E298*C298</f>
        <v/>
      </c>
      <c r="G298" s="976" t="n"/>
    </row>
    <row r="299" customFormat="1" s="72">
      <c r="A299" s="303" t="n">
        <v>3</v>
      </c>
      <c r="B299" s="342" t="inlineStr">
        <is>
          <t>Music Hall sealed concrete at new concrete areas</t>
        </is>
      </c>
      <c r="C299" s="303" t="n">
        <v>0</v>
      </c>
      <c r="D299" s="317" t="inlineStr">
        <is>
          <t>SF</t>
        </is>
      </c>
      <c r="E299" s="995" t="n">
        <v>5</v>
      </c>
      <c r="F299" s="331">
        <f>E299*C299</f>
        <v/>
      </c>
      <c r="G299" s="996" t="n"/>
    </row>
    <row r="300">
      <c r="A300" s="302" t="n"/>
      <c r="B300" s="340" t="n"/>
      <c r="C300" s="302" t="n"/>
      <c r="D300" s="316" t="n"/>
      <c r="E300" s="978" t="n"/>
      <c r="F300" s="330" t="n"/>
      <c r="G300" s="976" t="n"/>
    </row>
    <row r="301" ht="16" customHeight="1" thickBot="1">
      <c r="A301" s="302" t="n"/>
      <c r="B301" s="302" t="n"/>
      <c r="C301" s="302" t="n"/>
      <c r="D301" s="316" t="n"/>
      <c r="E301" s="978" t="n"/>
      <c r="F301" s="330" t="n"/>
      <c r="G301" s="977" t="n"/>
    </row>
    <row r="302" ht="16" customHeight="1" thickBot="1">
      <c r="A302" s="335" t="inlineStr">
        <is>
          <t>Sub Total</t>
        </is>
      </c>
      <c r="B302" s="335">
        <f>B296</f>
        <v/>
      </c>
      <c r="C302" s="335" t="n"/>
      <c r="D302" s="336" t="n"/>
      <c r="E302" s="981" t="n"/>
      <c r="F302" s="338">
        <f>SUM(F295:F301)</f>
        <v/>
      </c>
      <c r="G302" s="983" t="n"/>
    </row>
    <row r="303">
      <c r="A303" s="302" t="n"/>
      <c r="B303" s="302" t="n"/>
      <c r="C303" s="302" t="n"/>
      <c r="D303" s="316" t="n"/>
      <c r="E303" s="975" t="n"/>
      <c r="F303" s="330" t="n"/>
      <c r="G303" s="977" t="n"/>
    </row>
    <row r="304">
      <c r="A304" s="301" t="inlineStr">
        <is>
          <t>096400</t>
        </is>
      </c>
      <c r="B304" s="308" t="inlineStr">
        <is>
          <t>WOOD FLOORING</t>
        </is>
      </c>
      <c r="C304" s="302" t="n"/>
      <c r="D304" s="316" t="n"/>
      <c r="E304" s="975" t="n"/>
      <c r="F304" s="330" t="n"/>
      <c r="G304" s="977" t="n"/>
    </row>
    <row r="305">
      <c r="A305" s="302" t="n">
        <v>1</v>
      </c>
      <c r="B305" s="340" t="inlineStr">
        <is>
          <t>F&amp;I T&amp;G Wood floor at Stage</t>
        </is>
      </c>
      <c r="C305" s="302" t="n">
        <v>4634</v>
      </c>
      <c r="D305" s="316" t="inlineStr">
        <is>
          <t>SF</t>
        </is>
      </c>
      <c r="E305" s="975" t="n">
        <v>45</v>
      </c>
      <c r="F305" s="330">
        <f>C305*E305</f>
        <v/>
      </c>
      <c r="G305" s="977" t="inlineStr">
        <is>
          <t> </t>
        </is>
      </c>
    </row>
    <row r="306">
      <c r="A306" s="302" t="n">
        <v>2</v>
      </c>
      <c r="B306" s="340" t="inlineStr">
        <is>
          <t>Wood Flooring Restaurant</t>
        </is>
      </c>
      <c r="C306" s="302" t="n">
        <v>3656</v>
      </c>
      <c r="D306" s="316" t="inlineStr">
        <is>
          <t>SF</t>
        </is>
      </c>
      <c r="E306" s="975" t="n">
        <v>45</v>
      </c>
      <c r="F306" s="330">
        <f>C306*E306</f>
        <v/>
      </c>
      <c r="G306" s="977" t="n"/>
    </row>
    <row r="307" ht="16" customHeight="1" thickBot="1">
      <c r="A307" s="302" t="n"/>
      <c r="B307" s="302" t="n"/>
      <c r="C307" s="302" t="n"/>
      <c r="D307" s="316" t="n"/>
      <c r="E307" s="975" t="n"/>
      <c r="F307" s="330" t="n"/>
      <c r="G307" s="977" t="n"/>
    </row>
    <row r="308" ht="16" customHeight="1" thickBot="1">
      <c r="A308" s="335" t="inlineStr">
        <is>
          <t>Sub Total</t>
        </is>
      </c>
      <c r="B308" s="335">
        <f>B304</f>
        <v/>
      </c>
      <c r="C308" s="335" t="n"/>
      <c r="D308" s="336" t="n"/>
      <c r="E308" s="981" t="n"/>
      <c r="F308" s="338">
        <f>SUM(F303:F307)</f>
        <v/>
      </c>
      <c r="G308" s="983" t="n"/>
    </row>
    <row r="309">
      <c r="A309" s="302" t="n"/>
      <c r="B309" s="302" t="n"/>
      <c r="C309" s="302" t="n"/>
      <c r="D309" s="316" t="n"/>
      <c r="E309" s="975" t="n"/>
      <c r="F309" s="330" t="n"/>
      <c r="G309" s="976" t="n"/>
    </row>
    <row r="310">
      <c r="A310" s="301" t="inlineStr">
        <is>
          <t>099000</t>
        </is>
      </c>
      <c r="B310" s="308" t="inlineStr">
        <is>
          <t>PAINTING/PLASTER</t>
        </is>
      </c>
      <c r="C310" s="302" t="n"/>
      <c r="D310" s="316" t="n"/>
      <c r="E310" s="975" t="n"/>
      <c r="F310" s="330" t="inlineStr">
        <is>
          <t> </t>
        </is>
      </c>
      <c r="G310" s="977" t="n"/>
    </row>
    <row r="311">
      <c r="A311" s="302" t="n">
        <v>1</v>
      </c>
      <c r="B311" s="340" t="inlineStr">
        <is>
          <t>Paint all Walls &amp; Doors &amp; Ceilings</t>
        </is>
      </c>
      <c r="C311" s="302" t="n">
        <v>135953</v>
      </c>
      <c r="D311" s="316" t="inlineStr">
        <is>
          <t>SF</t>
        </is>
      </c>
      <c r="E311" s="975" t="n">
        <v>5</v>
      </c>
      <c r="F311" s="330">
        <f>C311*E311</f>
        <v/>
      </c>
      <c r="G311" s="977" t="n"/>
    </row>
    <row r="312">
      <c r="A312" s="302" t="n">
        <v>2</v>
      </c>
      <c r="B312" s="340" t="inlineStr">
        <is>
          <t>Upgrade finishes at walls in Green room area</t>
        </is>
      </c>
      <c r="C312" s="302" t="n">
        <v>1</v>
      </c>
      <c r="D312" s="316" t="inlineStr">
        <is>
          <t>LS</t>
        </is>
      </c>
      <c r="E312" s="975" t="n">
        <v>12000</v>
      </c>
      <c r="F312" s="330">
        <f>C312*E312</f>
        <v/>
      </c>
      <c r="G312" s="977" t="n"/>
    </row>
    <row r="313">
      <c r="A313" s="302" t="n">
        <v>3</v>
      </c>
      <c r="B313" s="340" t="inlineStr">
        <is>
          <t xml:space="preserve">Plaster </t>
        </is>
      </c>
      <c r="C313" s="302" t="n">
        <v>0</v>
      </c>
      <c r="D313" s="316" t="inlineStr">
        <is>
          <t>SF</t>
        </is>
      </c>
      <c r="E313" s="975" t="n">
        <v>25</v>
      </c>
      <c r="F313" s="330">
        <f>C313*E313</f>
        <v/>
      </c>
      <c r="G313" s="977" t="n"/>
    </row>
    <row r="314">
      <c r="A314" s="302" t="n">
        <v>4</v>
      </c>
      <c r="B314" s="340" t="inlineStr">
        <is>
          <t>Wall Covering VIP / Restaurant</t>
        </is>
      </c>
      <c r="C314" s="302" t="n">
        <v>5000</v>
      </c>
      <c r="D314" s="316" t="inlineStr">
        <is>
          <t>SF</t>
        </is>
      </c>
      <c r="E314" s="975" t="n">
        <v>80</v>
      </c>
      <c r="F314" s="330">
        <f>C314*E314</f>
        <v/>
      </c>
      <c r="G314" s="977" t="n"/>
    </row>
    <row r="315" ht="16" customHeight="1" thickBot="1">
      <c r="A315" s="302" t="n"/>
      <c r="B315" s="302" t="n"/>
      <c r="C315" s="302" t="n"/>
      <c r="D315" s="316" t="n"/>
      <c r="E315" s="975" t="n"/>
      <c r="F315" s="330" t="n"/>
      <c r="G315" s="977" t="n"/>
    </row>
    <row r="316" ht="16" customHeight="1" thickBot="1">
      <c r="A316" s="335" t="inlineStr">
        <is>
          <t>Sub Total</t>
        </is>
      </c>
      <c r="B316" s="335">
        <f>B310</f>
        <v/>
      </c>
      <c r="C316" s="335" t="n"/>
      <c r="D316" s="336" t="n"/>
      <c r="E316" s="981" t="n"/>
      <c r="F316" s="338">
        <f>SUM(F309:F315)</f>
        <v/>
      </c>
      <c r="G316" s="983" t="n"/>
    </row>
    <row r="317">
      <c r="A317" s="302" t="n"/>
      <c r="B317" s="302" t="n"/>
      <c r="C317" s="302" t="n"/>
      <c r="D317" s="316" t="n"/>
      <c r="E317" s="975" t="n"/>
      <c r="F317" s="330" t="n"/>
      <c r="G317" s="976" t="n"/>
    </row>
    <row r="318">
      <c r="A318" s="301" t="inlineStr">
        <is>
          <t>100000</t>
        </is>
      </c>
      <c r="B318" s="308" t="inlineStr">
        <is>
          <t>SPECIALTIES</t>
        </is>
      </c>
      <c r="C318" s="302" t="n"/>
      <c r="D318" s="316" t="n"/>
      <c r="E318" s="975" t="n"/>
      <c r="F318" s="330" t="n"/>
      <c r="G318" s="977" t="n"/>
    </row>
    <row r="319">
      <c r="A319" s="302" t="n">
        <v>1</v>
      </c>
      <c r="B319" s="340" t="inlineStr">
        <is>
          <t>Fire extinguishers &amp; cabinets</t>
        </is>
      </c>
      <c r="C319" s="302" t="n">
        <v>60</v>
      </c>
      <c r="D319" s="316" t="inlineStr">
        <is>
          <t>EA</t>
        </is>
      </c>
      <c r="E319" s="997" t="n">
        <v>350</v>
      </c>
      <c r="F319" s="333">
        <f>E319*C319</f>
        <v/>
      </c>
      <c r="G319" s="977" t="n"/>
    </row>
    <row r="320">
      <c r="A320" s="302">
        <f>A319+1</f>
        <v/>
      </c>
      <c r="B320" s="340" t="inlineStr">
        <is>
          <t>Toilet Acc</t>
        </is>
      </c>
      <c r="C320" s="302">
        <f>C321</f>
        <v/>
      </c>
      <c r="D320" s="316" t="inlineStr">
        <is>
          <t>SET</t>
        </is>
      </c>
      <c r="E320" s="997" t="n">
        <v>600</v>
      </c>
      <c r="F320" s="333">
        <f>E320*C320</f>
        <v/>
      </c>
      <c r="G320" s="977" t="n"/>
    </row>
    <row r="321">
      <c r="A321" s="302">
        <f>A320+1</f>
        <v/>
      </c>
      <c r="B321" s="340" t="inlineStr">
        <is>
          <t>Toilet Partitions</t>
        </is>
      </c>
      <c r="C321" s="302">
        <f>SUM(C383:C385)</f>
        <v/>
      </c>
      <c r="D321" s="316" t="inlineStr">
        <is>
          <t>EA</t>
        </is>
      </c>
      <c r="E321" s="997" t="n">
        <v>1750</v>
      </c>
      <c r="F321" s="333">
        <f>E321*C321</f>
        <v/>
      </c>
      <c r="G321" s="977" t="n"/>
    </row>
    <row r="322">
      <c r="A322" s="302">
        <f>A321+1</f>
        <v/>
      </c>
      <c r="B322" s="340" t="inlineStr">
        <is>
          <t>Urinal screens</t>
        </is>
      </c>
      <c r="C322" s="302">
        <f>SUM(C389:C391)</f>
        <v/>
      </c>
      <c r="D322" s="316" t="inlineStr">
        <is>
          <t>EA</t>
        </is>
      </c>
      <c r="E322" s="997" t="n">
        <v>500</v>
      </c>
      <c r="F322" s="333">
        <f>E322*C322</f>
        <v/>
      </c>
      <c r="G322" s="977" t="n"/>
    </row>
    <row r="323">
      <c r="A323" s="302">
        <f>A322+1</f>
        <v/>
      </c>
      <c r="B323" s="340" t="inlineStr">
        <is>
          <t>Bathroom Mirrors</t>
        </is>
      </c>
      <c r="C323" s="302">
        <f>SUM(C386:C388)</f>
        <v/>
      </c>
      <c r="D323" s="316" t="inlineStr">
        <is>
          <t>EA</t>
        </is>
      </c>
      <c r="E323" s="997" t="n">
        <v>300</v>
      </c>
      <c r="F323" s="333">
        <f>E323*C323</f>
        <v/>
      </c>
      <c r="G323" s="977" t="n"/>
    </row>
    <row r="324">
      <c r="A324" s="302">
        <f>A323+1</f>
        <v/>
      </c>
      <c r="B324" s="340" t="inlineStr">
        <is>
          <t>Hand dryers and paper towel dispensers</t>
        </is>
      </c>
      <c r="C324" s="302" t="n">
        <v>1</v>
      </c>
      <c r="D324" s="316" t="inlineStr">
        <is>
          <t>Allow</t>
        </is>
      </c>
      <c r="E324" s="997" t="n">
        <v>30000</v>
      </c>
      <c r="F324" s="333">
        <f>E324*C324</f>
        <v/>
      </c>
      <c r="G324" s="977" t="n"/>
      <c r="J324" s="1">
        <f>1000000/2000</f>
        <v/>
      </c>
    </row>
    <row r="325">
      <c r="A325" s="302">
        <f>A324+1</f>
        <v/>
      </c>
      <c r="B325" s="340" t="inlineStr">
        <is>
          <t>Appliances at Pantry</t>
        </is>
      </c>
      <c r="C325" s="302" t="n">
        <v>1</v>
      </c>
      <c r="D325" s="316" t="inlineStr">
        <is>
          <t>Allow</t>
        </is>
      </c>
      <c r="E325" s="997" t="n">
        <v>7500</v>
      </c>
      <c r="F325" s="333">
        <f>E325*C325</f>
        <v/>
      </c>
      <c r="G325" s="977" t="n"/>
    </row>
    <row r="326" ht="24" customHeight="1">
      <c r="A326" s="302">
        <f>A325+1</f>
        <v/>
      </c>
      <c r="B326" s="340" t="inlineStr">
        <is>
          <t>Coat Check Lockers</t>
        </is>
      </c>
      <c r="C326" s="302" t="n">
        <v>2000</v>
      </c>
      <c r="D326" s="316" t="inlineStr">
        <is>
          <t>EA</t>
        </is>
      </c>
      <c r="E326" s="997" t="n">
        <v>500</v>
      </c>
      <c r="F326" s="998">
        <f>E326*C326</f>
        <v/>
      </c>
      <c r="G326" s="977" t="inlineStr">
        <is>
          <t>333LF</t>
        </is>
      </c>
      <c r="K326" s="808" t="inlineStr">
        <is>
          <t>2,000 lockers serves 27% of a 7,440 house at once, at a gym-locker rate. Is 2,000 right? 750 @ $350 is a generous January coat check. Worth $737,500 at trade.</t>
        </is>
      </c>
    </row>
    <row r="327" ht="16" customHeight="1" thickBot="1">
      <c r="A327" s="302" t="n"/>
      <c r="B327" s="302" t="n"/>
      <c r="C327" s="302" t="n"/>
      <c r="D327" s="316" t="n"/>
      <c r="E327" s="978" t="n"/>
      <c r="F327" s="330" t="n"/>
      <c r="G327" s="977" t="n"/>
    </row>
    <row r="328" ht="16" customHeight="1" thickBot="1">
      <c r="A328" s="335" t="inlineStr">
        <is>
          <t>Sub Total</t>
        </is>
      </c>
      <c r="B328" s="335">
        <f>B318</f>
        <v/>
      </c>
      <c r="C328" s="335" t="n"/>
      <c r="D328" s="336" t="n"/>
      <c r="E328" s="981" t="n"/>
      <c r="F328" s="338">
        <f>SUM(F317:F327)</f>
        <v/>
      </c>
      <c r="G328" s="983" t="n"/>
    </row>
    <row r="329">
      <c r="A329" s="302" t="n"/>
      <c r="B329" s="302" t="n"/>
      <c r="C329" s="302" t="n"/>
      <c r="D329" s="316" t="n"/>
      <c r="E329" s="975" t="n"/>
      <c r="F329" s="330" t="n"/>
      <c r="G329" s="976" t="n"/>
    </row>
    <row r="330">
      <c r="A330" s="301" t="inlineStr">
        <is>
          <t>100500</t>
        </is>
      </c>
      <c r="B330" s="308" t="inlineStr">
        <is>
          <t>ACOUSTICAL PANELS/ K13</t>
        </is>
      </c>
      <c r="C330" s="302" t="n"/>
      <c r="D330" s="316" t="n"/>
      <c r="E330" s="975" t="n"/>
      <c r="F330" s="330" t="n"/>
      <c r="G330" s="977" t="n"/>
    </row>
    <row r="331">
      <c r="A331" s="302" t="n">
        <v>1</v>
      </c>
      <c r="B331" s="343" t="inlineStr">
        <is>
          <t>Allowance for wall mount acoustic panels, decorative acoustic integrations</t>
        </is>
      </c>
      <c r="C331" s="302" t="n">
        <v>1</v>
      </c>
      <c r="D331" s="316" t="inlineStr">
        <is>
          <t>Allow</t>
        </is>
      </c>
      <c r="E331" s="975" t="n">
        <v>150000</v>
      </c>
      <c r="F331" s="330">
        <f>C331*E331</f>
        <v/>
      </c>
      <c r="G331" s="977" t="n"/>
    </row>
    <row r="332">
      <c r="A332" s="302" t="n">
        <v>2</v>
      </c>
      <c r="B332" s="343" t="inlineStr">
        <is>
          <t>K13 at Underside Music Hall Ceilings</t>
        </is>
      </c>
      <c r="C332" s="302" t="n">
        <v>30843</v>
      </c>
      <c r="D332" s="316" t="inlineStr">
        <is>
          <t>SF</t>
        </is>
      </c>
      <c r="E332" s="975" t="n">
        <v>14</v>
      </c>
      <c r="F332" s="330">
        <f>C332*E332</f>
        <v/>
      </c>
      <c r="G332" s="977" t="n"/>
    </row>
    <row r="333" ht="16" customHeight="1" thickBot="1">
      <c r="A333" s="302" t="n"/>
      <c r="B333" s="302" t="n"/>
      <c r="C333" s="302" t="n"/>
      <c r="D333" s="316" t="n"/>
      <c r="E333" s="978" t="n"/>
      <c r="F333" s="330" t="n"/>
      <c r="G333" s="977" t="n"/>
    </row>
    <row r="334" ht="24" customHeight="1" thickBot="1">
      <c r="A334" s="335" t="inlineStr">
        <is>
          <t>Sub Total</t>
        </is>
      </c>
      <c r="B334" s="335">
        <f>B330</f>
        <v/>
      </c>
      <c r="C334" s="335" t="n"/>
      <c r="D334" s="336" t="n"/>
      <c r="E334" s="981" t="n"/>
      <c r="F334" s="982">
        <f>SUM(F329:F333)</f>
        <v/>
      </c>
      <c r="G334" s="983" t="n"/>
      <c r="K334" s="808" t="inlineStr">
        <is>
          <t>$581,802 of K13 against our $1,864,000 of acoustic treatment. Next to residential this is the licence to operate. What is the acoustic performance target this was priced to?</t>
        </is>
      </c>
    </row>
    <row r="335">
      <c r="A335" s="302" t="n"/>
      <c r="B335" s="302" t="n"/>
      <c r="C335" s="302" t="n"/>
      <c r="D335" s="316" t="n"/>
      <c r="E335" s="975" t="n"/>
      <c r="F335" s="330" t="n"/>
      <c r="G335" s="976" t="n"/>
    </row>
    <row r="336">
      <c r="A336" s="301" t="inlineStr">
        <is>
          <t>101400</t>
        </is>
      </c>
      <c r="B336" s="308" t="inlineStr">
        <is>
          <t>SIGNAGE</t>
        </is>
      </c>
      <c r="C336" s="302" t="n"/>
      <c r="D336" s="316" t="n"/>
      <c r="E336" s="975" t="n"/>
      <c r="F336" s="330" t="n"/>
      <c r="G336" s="977" t="n"/>
    </row>
    <row r="337">
      <c r="A337" s="302" t="n">
        <v>1</v>
      </c>
      <c r="B337" s="343" t="inlineStr">
        <is>
          <t>Allow for interior Door signs</t>
        </is>
      </c>
      <c r="C337" s="302" t="n">
        <v>1</v>
      </c>
      <c r="D337" s="316" t="inlineStr">
        <is>
          <t>Allow</t>
        </is>
      </c>
      <c r="E337" s="975" t="n">
        <v>45000</v>
      </c>
      <c r="F337" s="330">
        <f>E337*C337</f>
        <v/>
      </c>
      <c r="G337" s="977" t="n"/>
    </row>
    <row r="338">
      <c r="A338" s="302">
        <f>A337+1</f>
        <v/>
      </c>
      <c r="B338" s="343" t="inlineStr">
        <is>
          <t>Allow for Directional signage</t>
        </is>
      </c>
      <c r="C338" s="302" t="n">
        <v>0</v>
      </c>
      <c r="D338" s="316" t="inlineStr">
        <is>
          <t>LOT</t>
        </is>
      </c>
      <c r="E338" s="975" t="n">
        <v>0</v>
      </c>
      <c r="F338" s="330">
        <f>E338*C338</f>
        <v/>
      </c>
      <c r="G338" s="977" t="n"/>
    </row>
    <row r="339">
      <c r="A339" s="302">
        <f>A338+1</f>
        <v/>
      </c>
      <c r="B339" s="343" t="inlineStr">
        <is>
          <t>Install misc signage allowance</t>
        </is>
      </c>
      <c r="C339" s="302" t="n">
        <v>1</v>
      </c>
      <c r="D339" s="316" t="inlineStr">
        <is>
          <t>LOT</t>
        </is>
      </c>
      <c r="E339" s="975" t="n">
        <v>5000</v>
      </c>
      <c r="F339" s="330">
        <f>E339*C339</f>
        <v/>
      </c>
      <c r="G339" s="977" t="inlineStr">
        <is>
          <t> </t>
        </is>
      </c>
    </row>
    <row r="340" ht="16" customHeight="1" thickBot="1">
      <c r="A340" s="302" t="n"/>
      <c r="B340" s="302" t="n"/>
      <c r="C340" s="302" t="n"/>
      <c r="D340" s="316" t="n"/>
      <c r="E340" s="978" t="n"/>
      <c r="F340" s="330" t="n"/>
      <c r="G340" s="977" t="n"/>
    </row>
    <row r="341" ht="16" customHeight="1" thickBot="1">
      <c r="A341" s="335" t="inlineStr">
        <is>
          <t>Sub Total</t>
        </is>
      </c>
      <c r="B341" s="335">
        <f>B336</f>
        <v/>
      </c>
      <c r="C341" s="335" t="n"/>
      <c r="D341" s="336" t="n"/>
      <c r="E341" s="981" t="n"/>
      <c r="F341" s="338">
        <f>SUM(F335:F340)</f>
        <v/>
      </c>
      <c r="G341" s="983" t="n"/>
    </row>
    <row r="342">
      <c r="A342" s="302" t="n"/>
      <c r="B342" s="302" t="n"/>
      <c r="C342" s="302" t="n"/>
      <c r="D342" s="316" t="n"/>
      <c r="E342" s="975" t="n"/>
      <c r="F342" s="330" t="n"/>
      <c r="G342" s="976" t="n"/>
    </row>
    <row r="343">
      <c r="A343" s="301" t="inlineStr">
        <is>
          <t>101400</t>
        </is>
      </c>
      <c r="B343" s="308" t="inlineStr">
        <is>
          <t>FF&amp;E Install</t>
        </is>
      </c>
      <c r="C343" s="302" t="n"/>
      <c r="D343" s="316" t="n"/>
      <c r="E343" s="975" t="n"/>
      <c r="F343" s="330" t="n"/>
      <c r="G343" s="977" t="n"/>
    </row>
    <row r="344">
      <c r="A344" s="302" t="n">
        <v>1</v>
      </c>
      <c r="B344" s="343" t="inlineStr">
        <is>
          <t>Uncrate / dispose owner vendor FF&amp;E</t>
        </is>
      </c>
      <c r="C344" s="302" t="n">
        <v>1</v>
      </c>
      <c r="D344" s="316" t="inlineStr">
        <is>
          <t>Allow</t>
        </is>
      </c>
      <c r="E344" s="975" t="n">
        <v>50000</v>
      </c>
      <c r="F344" s="330">
        <f>E344*C344</f>
        <v/>
      </c>
      <c r="G344" s="977" t="n"/>
    </row>
    <row r="345" ht="16" customHeight="1" thickBot="1">
      <c r="A345" s="302" t="n"/>
      <c r="B345" s="302" t="n"/>
      <c r="C345" s="302" t="n"/>
      <c r="D345" s="316" t="n"/>
      <c r="E345" s="978" t="n"/>
      <c r="F345" s="330" t="n"/>
      <c r="G345" s="977" t="n"/>
    </row>
    <row r="346" ht="16" customHeight="1" thickBot="1">
      <c r="A346" s="335" t="inlineStr">
        <is>
          <t>Sub Total</t>
        </is>
      </c>
      <c r="B346" s="335">
        <f>B343</f>
        <v/>
      </c>
      <c r="C346" s="335" t="n"/>
      <c r="D346" s="336" t="n"/>
      <c r="E346" s="981" t="n"/>
      <c r="F346" s="338">
        <f>SUM(F342:F345)</f>
        <v/>
      </c>
      <c r="G346" s="983" t="n"/>
    </row>
    <row r="347">
      <c r="A347" s="306" t="n"/>
      <c r="B347" s="306" t="n"/>
      <c r="C347" s="310" t="n"/>
      <c r="D347" s="318" t="n"/>
      <c r="E347" s="991" t="n"/>
      <c r="F347" s="332" t="n"/>
      <c r="G347" s="999" t="n"/>
    </row>
    <row r="348">
      <c r="A348" s="307" t="inlineStr">
        <is>
          <t>114000</t>
        </is>
      </c>
      <c r="B348" s="310" t="inlineStr">
        <is>
          <t>FOOD SERVICE EQUIPMENT - BY OWNER</t>
        </is>
      </c>
      <c r="C348" s="310" t="n"/>
      <c r="D348" s="318" t="n"/>
      <c r="E348" s="991" t="n"/>
      <c r="F348" s="332" t="n"/>
      <c r="G348" s="999" t="n"/>
    </row>
    <row r="349">
      <c r="A349" s="306" t="n">
        <v>1</v>
      </c>
      <c r="B349" s="344" t="inlineStr">
        <is>
          <t>F&amp;I Food service equipment</t>
        </is>
      </c>
      <c r="C349" s="302" t="n">
        <v>0</v>
      </c>
      <c r="D349" s="316" t="inlineStr">
        <is>
          <t>LS</t>
        </is>
      </c>
      <c r="E349" s="975" t="n"/>
      <c r="F349" s="330">
        <f>C349*E349</f>
        <v/>
      </c>
      <c r="G349" s="999" t="inlineStr">
        <is>
          <t>By owner vendor</t>
        </is>
      </c>
    </row>
    <row r="350">
      <c r="A350" s="306" t="n">
        <v>2</v>
      </c>
      <c r="B350" s="344" t="inlineStr">
        <is>
          <t>Hood Fire Protection system</t>
        </is>
      </c>
      <c r="C350" s="302" t="n">
        <v>0</v>
      </c>
      <c r="D350" s="316" t="inlineStr">
        <is>
          <t>LS</t>
        </is>
      </c>
      <c r="E350" s="978" t="n"/>
      <c r="F350" s="330">
        <f>C350*E350</f>
        <v/>
      </c>
      <c r="G350" s="999" t="inlineStr">
        <is>
          <t>By owner vendor</t>
        </is>
      </c>
    </row>
    <row r="351">
      <c r="A351" s="306" t="n">
        <v>3</v>
      </c>
      <c r="B351" s="344" t="inlineStr">
        <is>
          <t>F&amp;I Kitchen exhaust hood</t>
        </is>
      </c>
      <c r="C351" s="302" t="n">
        <v>1</v>
      </c>
      <c r="D351" s="316" t="inlineStr">
        <is>
          <t>Allow</t>
        </is>
      </c>
      <c r="E351" s="975" t="n">
        <v>15000</v>
      </c>
      <c r="F351" s="330">
        <f>C351*E351</f>
        <v/>
      </c>
      <c r="G351" s="999" t="inlineStr">
        <is>
          <t>Misc scope not covered by OV</t>
        </is>
      </c>
    </row>
    <row r="352">
      <c r="A352" s="306" t="n">
        <v>4</v>
      </c>
      <c r="B352" s="344" t="inlineStr">
        <is>
          <t>Dispose of owner vendor packaging &amp; misc. scope</t>
        </is>
      </c>
      <c r="C352" s="733" t="n">
        <v>1</v>
      </c>
      <c r="D352" s="734" t="inlineStr">
        <is>
          <t>Allow</t>
        </is>
      </c>
      <c r="E352" s="1000" t="n">
        <v>35000</v>
      </c>
      <c r="F352" s="330">
        <f>C352*E352</f>
        <v/>
      </c>
      <c r="G352" s="999" t="n"/>
    </row>
    <row r="353" ht="16" customHeight="1" thickBot="1">
      <c r="A353" s="306" t="n"/>
      <c r="B353" s="306" t="n"/>
      <c r="C353" s="310" t="n"/>
      <c r="D353" s="318" t="n"/>
      <c r="E353" s="991" t="n"/>
      <c r="F353" s="332" t="n"/>
      <c r="G353" s="992" t="n"/>
    </row>
    <row r="354" ht="16" customHeight="1" thickBot="1">
      <c r="A354" s="335" t="inlineStr">
        <is>
          <t>Sub Total</t>
        </is>
      </c>
      <c r="B354" s="335">
        <f>B348</f>
        <v/>
      </c>
      <c r="C354" s="335" t="n"/>
      <c r="D354" s="336" t="n"/>
      <c r="E354" s="981" t="n"/>
      <c r="F354" s="338">
        <f>SUM(F347:F352)</f>
        <v/>
      </c>
      <c r="G354" s="983" t="n"/>
    </row>
    <row r="355">
      <c r="A355" s="306" t="n"/>
      <c r="B355" s="306" t="n"/>
      <c r="C355" s="310" t="n"/>
      <c r="D355" s="318" t="n"/>
      <c r="E355" s="991" t="n"/>
      <c r="F355" s="332" t="n"/>
      <c r="G355" s="992" t="n"/>
    </row>
    <row r="356">
      <c r="A356" s="307" t="inlineStr">
        <is>
          <t>142000</t>
        </is>
      </c>
      <c r="B356" s="310" t="inlineStr">
        <is>
          <t>ELEVATOR</t>
        </is>
      </c>
      <c r="C356" s="310" t="n"/>
      <c r="D356" s="318" t="n"/>
      <c r="E356" s="991" t="n"/>
      <c r="F356" s="332" t="n"/>
      <c r="G356" s="992" t="n"/>
    </row>
    <row r="357">
      <c r="A357" s="306" t="n">
        <v>1</v>
      </c>
      <c r="B357" s="344" t="inlineStr">
        <is>
          <t>Elevator Lobby</t>
        </is>
      </c>
      <c r="C357" s="302" t="n">
        <v>4</v>
      </c>
      <c r="D357" s="316" t="inlineStr">
        <is>
          <t>STOPS</t>
        </is>
      </c>
      <c r="E357" s="975" t="n">
        <v>75000</v>
      </c>
      <c r="F357" s="330">
        <f>C357*E357</f>
        <v/>
      </c>
      <c r="G357" s="992" t="n"/>
    </row>
    <row r="358">
      <c r="A358" s="306" t="n">
        <v>2</v>
      </c>
      <c r="B358" s="344" t="inlineStr">
        <is>
          <t>Elevator Stage</t>
        </is>
      </c>
      <c r="C358" s="302" t="n">
        <v>2</v>
      </c>
      <c r="D358" s="316" t="inlineStr">
        <is>
          <t>STOPS</t>
        </is>
      </c>
      <c r="E358" s="975" t="n">
        <v>75000</v>
      </c>
      <c r="F358" s="330">
        <f>C358*E358</f>
        <v/>
      </c>
      <c r="G358" s="992" t="n"/>
    </row>
    <row r="359">
      <c r="A359" s="306" t="n">
        <v>3</v>
      </c>
      <c r="B359" s="344" t="inlineStr">
        <is>
          <t>Hydraulic Lift 12'x6'</t>
        </is>
      </c>
      <c r="C359" s="302" t="n">
        <v>1</v>
      </c>
      <c r="D359" s="316" t="inlineStr">
        <is>
          <t>EA</t>
        </is>
      </c>
      <c r="E359" s="975" t="n">
        <v>30000</v>
      </c>
      <c r="F359" s="330">
        <f>C359*E359</f>
        <v/>
      </c>
      <c r="G359" s="992" t="n"/>
    </row>
    <row r="360" ht="16" customHeight="1" thickBot="1">
      <c r="A360" s="306" t="n"/>
      <c r="B360" s="306" t="n"/>
      <c r="C360" s="310" t="n"/>
      <c r="D360" s="318" t="n"/>
      <c r="E360" s="991" t="n"/>
      <c r="F360" s="332" t="n"/>
      <c r="G360" s="992" t="n"/>
    </row>
    <row r="361" ht="24" customHeight="1" thickBot="1">
      <c r="A361" s="335" t="inlineStr">
        <is>
          <t>Sub Total</t>
        </is>
      </c>
      <c r="B361" s="335">
        <f>B356</f>
        <v/>
      </c>
      <c r="C361" s="335" t="n"/>
      <c r="D361" s="336" t="n"/>
      <c r="E361" s="981" t="n"/>
      <c r="F361" s="982">
        <f>SUM(F355:F360)</f>
        <v/>
      </c>
      <c r="G361" s="983" t="n"/>
      <c r="K361" s="808" t="inlineStr">
        <is>
          <t>No question - 4 lobby + 2 stage stops @ $75,000 plus a hydraulic lift is better built than our $300,000 allowance. We are adopting yours.</t>
        </is>
      </c>
    </row>
    <row r="362">
      <c r="A362" s="306" t="n"/>
      <c r="B362" s="306" t="n"/>
      <c r="C362" s="310" t="n"/>
      <c r="D362" s="318" t="n"/>
      <c r="E362" s="991" t="n"/>
      <c r="F362" s="332" t="n"/>
      <c r="G362" s="992" t="n"/>
    </row>
    <row r="363">
      <c r="A363" s="307" t="inlineStr">
        <is>
          <t>210000</t>
        </is>
      </c>
      <c r="B363" s="310" t="inlineStr">
        <is>
          <t>FIRE PROTECTION</t>
        </is>
      </c>
      <c r="C363" s="689" t="n"/>
      <c r="D363" s="690" t="n"/>
      <c r="E363" s="1001" t="n"/>
      <c r="F363" s="692" t="n"/>
      <c r="G363" s="992" t="n"/>
    </row>
    <row r="364">
      <c r="A364" s="740" t="n">
        <v>1</v>
      </c>
      <c r="B364" s="688" t="inlineStr">
        <is>
          <t>Safe Off / Disconnect</t>
        </is>
      </c>
      <c r="C364" s="688" t="n">
        <v>1</v>
      </c>
      <c r="D364" s="693" t="inlineStr">
        <is>
          <t>LS</t>
        </is>
      </c>
      <c r="E364" s="1002" t="n">
        <v>10000</v>
      </c>
      <c r="F364" s="695">
        <f>C364*E364</f>
        <v/>
      </c>
      <c r="G364" s="992" t="n"/>
    </row>
    <row r="365" ht="15" customHeight="1">
      <c r="A365" s="306">
        <f>A364+1</f>
        <v/>
      </c>
      <c r="B365" s="344" t="inlineStr">
        <is>
          <t xml:space="preserve">First Floor Rework Existing Fire Protection System First </t>
        </is>
      </c>
      <c r="C365" s="1003" t="n">
        <v>69000</v>
      </c>
      <c r="D365" s="316" t="inlineStr">
        <is>
          <t>SF</t>
        </is>
      </c>
      <c r="E365" s="975" t="n">
        <v>4</v>
      </c>
      <c r="F365" s="330">
        <f>C365*E365</f>
        <v/>
      </c>
      <c r="G365" s="992" t="n"/>
      <c r="K365" s="808" t="inlineStr">
        <is>
          <t>69,000 SF - the footprint is 74,100 SF. Should this be higher?</t>
        </is>
      </c>
    </row>
    <row r="366" ht="24" customHeight="1">
      <c r="A366" s="306">
        <f>A365+1</f>
        <v/>
      </c>
      <c r="B366" s="344" t="inlineStr">
        <is>
          <t>2nd Floor Extend Sprinkler Mains / New Fire Protection &amp; Stand Pipe</t>
        </is>
      </c>
      <c r="C366" s="1003" t="n">
        <v>50000</v>
      </c>
      <c r="D366" s="316" t="inlineStr">
        <is>
          <t>SF</t>
        </is>
      </c>
      <c r="E366" s="975" t="n">
        <v>15</v>
      </c>
      <c r="F366" s="330">
        <f>C366*E366</f>
        <v/>
      </c>
      <c r="G366" s="992" t="n"/>
      <c r="K366" s="808" t="inlineStr">
        <is>
          <t>50,000 SF. The RFEM model measures the mezzanine at 32,942 SF + 13,077 SF tiered seating = 46,019 SF. Close - can you confirm the basis?</t>
        </is>
      </c>
    </row>
    <row r="367">
      <c r="A367" s="306">
        <f>A366+1</f>
        <v/>
      </c>
      <c r="B367" s="344" t="inlineStr">
        <is>
          <t>3rd Floor Extend Sprinkler Mains / New Fire Protection &amp; Stand Pipe</t>
        </is>
      </c>
      <c r="C367" s="302" t="n">
        <v>8538</v>
      </c>
      <c r="D367" s="316" t="inlineStr">
        <is>
          <t>SF</t>
        </is>
      </c>
      <c r="E367" s="975" t="n">
        <v>15</v>
      </c>
      <c r="F367" s="330">
        <f>C367*E367</f>
        <v/>
      </c>
      <c r="G367" s="992" t="n"/>
    </row>
    <row r="368">
      <c r="A368" s="306">
        <f>A367+1</f>
        <v/>
      </c>
      <c r="B368" s="344" t="inlineStr">
        <is>
          <t>New Diesel Fire Pump 1,00 GPM 65PSI 75HP motor</t>
        </is>
      </c>
      <c r="C368" s="302" t="n">
        <v>1</v>
      </c>
      <c r="D368" s="316" t="inlineStr">
        <is>
          <t>LS</t>
        </is>
      </c>
      <c r="E368" s="975" t="n">
        <v>150000</v>
      </c>
      <c r="F368" s="330">
        <f>C368*E368</f>
        <v/>
      </c>
      <c r="G368" s="992" t="inlineStr">
        <is>
          <t xml:space="preserve">Requires dedicated 2/hr rated room, </t>
        </is>
      </c>
    </row>
    <row r="369">
      <c r="A369" s="306">
        <f>A368+1</f>
        <v/>
      </c>
      <c r="B369" s="344" t="inlineStr">
        <is>
          <t>Fire Stopping</t>
        </is>
      </c>
      <c r="C369" s="302" t="n">
        <v>1</v>
      </c>
      <c r="D369" s="316" t="inlineStr">
        <is>
          <t>LS</t>
        </is>
      </c>
      <c r="E369" s="975" t="n">
        <v>20000</v>
      </c>
      <c r="F369" s="330">
        <f>C369*E369</f>
        <v/>
      </c>
      <c r="G369" s="992" t="n"/>
    </row>
    <row r="370" ht="16" customHeight="1" thickBot="1">
      <c r="A370" s="302" t="n"/>
      <c r="B370" s="302" t="n"/>
      <c r="C370" s="302" t="n"/>
      <c r="D370" s="316" t="n"/>
      <c r="E370" s="978" t="n"/>
      <c r="F370" s="330" t="n"/>
      <c r="G370" s="977" t="n"/>
    </row>
    <row r="371" ht="16" customHeight="1" thickBot="1">
      <c r="A371" s="335" t="inlineStr">
        <is>
          <t>Sub Total</t>
        </is>
      </c>
      <c r="B371" s="335">
        <f>B363</f>
        <v/>
      </c>
      <c r="C371" s="335" t="n"/>
      <c r="D371" s="336" t="n"/>
      <c r="E371" s="981" t="n"/>
      <c r="F371" s="338">
        <f>SUM(F362:F370)</f>
        <v/>
      </c>
      <c r="G371" s="983" t="n"/>
    </row>
    <row r="372">
      <c r="A372" s="302" t="n"/>
      <c r="B372" s="302" t="n"/>
      <c r="C372" s="302" t="n"/>
      <c r="D372" s="316" t="n"/>
      <c r="E372" s="975" t="n"/>
      <c r="F372" s="330" t="n"/>
      <c r="G372" s="976" t="n"/>
    </row>
    <row r="373">
      <c r="A373" s="301" t="inlineStr">
        <is>
          <t>220000</t>
        </is>
      </c>
      <c r="B373" s="308" t="inlineStr">
        <is>
          <t>PLUMBING</t>
        </is>
      </c>
      <c r="C373" s="302" t="n"/>
      <c r="D373" s="316" t="n"/>
      <c r="E373" s="975" t="n"/>
      <c r="F373" s="330" t="n"/>
      <c r="G373" s="977" t="n"/>
    </row>
    <row r="374">
      <c r="A374" s="730" t="n">
        <v>1</v>
      </c>
      <c r="B374" s="340" t="inlineStr">
        <is>
          <t>F&amp;I new 6" C.W service with RPZ with water meter</t>
        </is>
      </c>
      <c r="C374" s="731" t="n">
        <v>1</v>
      </c>
      <c r="D374" s="316" t="inlineStr">
        <is>
          <t>LS</t>
        </is>
      </c>
      <c r="E374" s="975" t="n">
        <v>50000</v>
      </c>
      <c r="F374" s="330">
        <f>C374*E374</f>
        <v/>
      </c>
      <c r="G374" s="977" t="n"/>
    </row>
    <row r="375">
      <c r="A375" s="1" t="n">
        <v>2</v>
      </c>
      <c r="B375" s="732" t="inlineStr">
        <is>
          <t xml:space="preserve">  F/I new 6" sanitary service</t>
        </is>
      </c>
      <c r="C375" s="731" t="n">
        <v>2</v>
      </c>
      <c r="D375" s="316" t="inlineStr">
        <is>
          <t>EA</t>
        </is>
      </c>
      <c r="E375" s="975" t="n">
        <v>10000</v>
      </c>
      <c r="F375" s="330">
        <f>C375*E375</f>
        <v/>
      </c>
    </row>
    <row r="376">
      <c r="A376" s="730" t="n">
        <v>3</v>
      </c>
      <c r="B376" s="340" t="inlineStr">
        <is>
          <t>F/I new storm water detention tank</t>
        </is>
      </c>
      <c r="C376" s="731" t="n">
        <v>1</v>
      </c>
      <c r="D376" s="316" t="inlineStr">
        <is>
          <t>LS</t>
        </is>
      </c>
      <c r="E376" s="975" t="n">
        <v>35000</v>
      </c>
      <c r="F376" s="330">
        <f>C376*E376</f>
        <v/>
      </c>
      <c r="G376" s="977" t="n"/>
    </row>
    <row r="377">
      <c r="A377" s="730" t="n"/>
      <c r="B377" s="340" t="n"/>
      <c r="C377" s="731" t="n"/>
      <c r="D377" s="316" t="n"/>
      <c r="E377" s="975" t="n"/>
      <c r="F377" s="330" t="n"/>
      <c r="G377" s="977" t="n"/>
    </row>
    <row r="378">
      <c r="A378" s="730" t="n"/>
      <c r="B378" s="723" t="inlineStr">
        <is>
          <t xml:space="preserve">F&amp;I </t>
        </is>
      </c>
      <c r="C378" s="731" t="n"/>
      <c r="D378" s="316" t="inlineStr">
        <is>
          <t>LS</t>
        </is>
      </c>
      <c r="E378" s="975" t="n"/>
      <c r="F378" s="330" t="n"/>
      <c r="G378" s="977" t="n"/>
    </row>
    <row r="379">
      <c r="A379" s="302" t="n">
        <v>1</v>
      </c>
      <c r="B379" s="340" t="inlineStr">
        <is>
          <t>Water piping</t>
        </is>
      </c>
      <c r="C379" s="302" t="n">
        <v>2500</v>
      </c>
      <c r="D379" s="316" t="inlineStr">
        <is>
          <t>LF</t>
        </is>
      </c>
      <c r="E379" s="975" t="n">
        <v>85</v>
      </c>
      <c r="F379" s="330">
        <f>C379*E379</f>
        <v/>
      </c>
      <c r="G379" s="977" t="n"/>
    </row>
    <row r="380">
      <c r="A380" s="302">
        <f>A379+1</f>
        <v/>
      </c>
      <c r="B380" s="340" t="inlineStr">
        <is>
          <t>Vent piping</t>
        </is>
      </c>
      <c r="C380" s="302" t="n">
        <v>2400</v>
      </c>
      <c r="D380" s="316" t="inlineStr">
        <is>
          <t>LF</t>
        </is>
      </c>
      <c r="E380" s="975" t="n">
        <v>65</v>
      </c>
      <c r="F380" s="330">
        <f>C380*E380</f>
        <v/>
      </c>
      <c r="G380" s="977" t="n"/>
    </row>
    <row r="381">
      <c r="A381" s="302">
        <f>A380+1</f>
        <v/>
      </c>
      <c r="B381" s="340" t="inlineStr">
        <is>
          <t>Gas Pipe</t>
        </is>
      </c>
      <c r="C381" s="302" t="n">
        <v>450</v>
      </c>
      <c r="D381" s="316" t="inlineStr">
        <is>
          <t>LF</t>
        </is>
      </c>
      <c r="E381" s="975" t="n">
        <v>125</v>
      </c>
      <c r="F381" s="330">
        <f>C381*E381</f>
        <v/>
      </c>
      <c r="G381" s="977" t="n"/>
    </row>
    <row r="382">
      <c r="A382" s="302" t="n"/>
      <c r="B382" s="340" t="inlineStr">
        <is>
          <t>New storm drainage piping</t>
        </is>
      </c>
      <c r="C382" s="302">
        <f>6*(50)+250</f>
        <v/>
      </c>
      <c r="D382" s="316" t="inlineStr">
        <is>
          <t>LF</t>
        </is>
      </c>
      <c r="E382" s="975" t="n">
        <v>100</v>
      </c>
      <c r="F382" s="330">
        <f>C382*E382</f>
        <v/>
      </c>
      <c r="G382" s="977" t="n"/>
    </row>
    <row r="383" ht="36" customHeight="1">
      <c r="A383" s="302">
        <f>A381+1</f>
        <v/>
      </c>
      <c r="B383" s="340" t="inlineStr">
        <is>
          <t>W/C 1st Fl</t>
        </is>
      </c>
      <c r="C383" s="1003" t="n">
        <v>92</v>
      </c>
      <c r="D383" s="316" t="inlineStr">
        <is>
          <t>EA</t>
        </is>
      </c>
      <c r="E383" s="975" t="n">
        <v>4000</v>
      </c>
      <c r="F383" s="330">
        <f>C383*E383</f>
        <v/>
      </c>
      <c r="G383" s="977" t="n"/>
      <c r="K383" s="808" t="inlineStr">
        <is>
          <t>178 WC + 154 lavs + 51 urinals across the building at $4,000 each. Can we see the CODE FIXTURE CALCULATION behind the count? We are at $1,757,502 vs your $3,717,250 and one of us is wrong - settleable in an afternoon.</t>
        </is>
      </c>
    </row>
    <row r="384">
      <c r="A384" s="302">
        <f>A383+1</f>
        <v/>
      </c>
      <c r="B384" s="340" t="inlineStr">
        <is>
          <t>W/C 2nd Fl</t>
        </is>
      </c>
      <c r="C384" s="302">
        <f>67+8</f>
        <v/>
      </c>
      <c r="D384" s="316" t="inlineStr">
        <is>
          <t>EA</t>
        </is>
      </c>
      <c r="E384" s="975" t="n">
        <v>4000</v>
      </c>
      <c r="F384" s="330">
        <f>C384*E384</f>
        <v/>
      </c>
      <c r="G384" s="977" t="n"/>
    </row>
    <row r="385">
      <c r="A385" s="302">
        <f>A384+1</f>
        <v/>
      </c>
      <c r="B385" s="340" t="inlineStr">
        <is>
          <t>W/C Roof</t>
        </is>
      </c>
      <c r="C385" s="302" t="n">
        <v>11</v>
      </c>
      <c r="D385" s="316" t="inlineStr">
        <is>
          <t>EA</t>
        </is>
      </c>
      <c r="E385" s="975" t="n">
        <v>4000</v>
      </c>
      <c r="F385" s="330">
        <f>C385*E385</f>
        <v/>
      </c>
      <c r="G385" s="977" t="n"/>
    </row>
    <row r="386">
      <c r="A386" s="302">
        <f>A385+1</f>
        <v/>
      </c>
      <c r="B386" s="340" t="inlineStr">
        <is>
          <t>Lavs 1st Fl</t>
        </is>
      </c>
      <c r="C386" s="302" t="n">
        <v>68</v>
      </c>
      <c r="D386" s="316" t="inlineStr">
        <is>
          <t>EA</t>
        </is>
      </c>
      <c r="E386" s="975" t="n">
        <v>4000</v>
      </c>
      <c r="F386" s="330">
        <f>C386*E386</f>
        <v/>
      </c>
      <c r="G386" s="977" t="n"/>
    </row>
    <row r="387">
      <c r="A387" s="302">
        <f>A386+1</f>
        <v/>
      </c>
      <c r="B387" s="340" t="inlineStr">
        <is>
          <t>Lavs 2nd Fl</t>
        </is>
      </c>
      <c r="C387" s="302">
        <f>58+8</f>
        <v/>
      </c>
      <c r="D387" s="316" t="inlineStr">
        <is>
          <t>EA</t>
        </is>
      </c>
      <c r="E387" s="975" t="n">
        <v>4000</v>
      </c>
      <c r="F387" s="330">
        <f>C387*E387</f>
        <v/>
      </c>
      <c r="G387" s="977" t="n"/>
    </row>
    <row r="388">
      <c r="A388" s="302">
        <f>A387+1</f>
        <v/>
      </c>
      <c r="B388" s="340" t="inlineStr">
        <is>
          <t>Lavs 3rd Fl</t>
        </is>
      </c>
      <c r="C388" s="302" t="n">
        <v>20</v>
      </c>
      <c r="D388" s="316" t="inlineStr">
        <is>
          <t>EA</t>
        </is>
      </c>
      <c r="E388" s="975" t="n">
        <v>4000</v>
      </c>
      <c r="F388" s="330">
        <f>C388*E388</f>
        <v/>
      </c>
      <c r="G388" s="977" t="n"/>
    </row>
    <row r="389">
      <c r="A389" s="302">
        <f>A388+1</f>
        <v/>
      </c>
      <c r="B389" s="340" t="inlineStr">
        <is>
          <t>Urinals 1st Fl</t>
        </is>
      </c>
      <c r="C389" s="302" t="n">
        <v>32</v>
      </c>
      <c r="D389" s="316" t="inlineStr">
        <is>
          <t>EA</t>
        </is>
      </c>
      <c r="E389" s="975" t="n">
        <v>4000</v>
      </c>
      <c r="F389" s="330">
        <f>C389*E389</f>
        <v/>
      </c>
      <c r="G389" s="977" t="n"/>
    </row>
    <row r="390">
      <c r="A390" s="302">
        <f>A389+1</f>
        <v/>
      </c>
      <c r="B390" s="340" t="inlineStr">
        <is>
          <t>Urinals 2nd Fl</t>
        </is>
      </c>
      <c r="C390" s="302" t="n">
        <v>13</v>
      </c>
      <c r="D390" s="316" t="inlineStr">
        <is>
          <t>EA</t>
        </is>
      </c>
      <c r="E390" s="975" t="n">
        <v>4000</v>
      </c>
      <c r="F390" s="330">
        <f>C390*E390</f>
        <v/>
      </c>
      <c r="G390" s="977" t="n"/>
    </row>
    <row r="391">
      <c r="A391" s="302">
        <f>A390+1</f>
        <v/>
      </c>
      <c r="B391" s="340" t="inlineStr">
        <is>
          <t>Urinals Roof</t>
        </is>
      </c>
      <c r="C391" s="302" t="n">
        <v>6</v>
      </c>
      <c r="D391" s="316" t="inlineStr">
        <is>
          <t>EA</t>
        </is>
      </c>
      <c r="E391" s="975" t="n">
        <v>4000</v>
      </c>
      <c r="F391" s="330">
        <f>C391*E391</f>
        <v/>
      </c>
      <c r="G391" s="977" t="n"/>
    </row>
    <row r="392">
      <c r="A392" s="302">
        <f>A391+1</f>
        <v/>
      </c>
      <c r="B392" s="340" t="inlineStr">
        <is>
          <t>Showers</t>
        </is>
      </c>
      <c r="C392" s="302" t="n">
        <v>6</v>
      </c>
      <c r="D392" s="316" t="inlineStr">
        <is>
          <t>EA</t>
        </is>
      </c>
      <c r="E392" s="975" t="n">
        <v>5000</v>
      </c>
      <c r="F392" s="330">
        <f>C392*E392</f>
        <v/>
      </c>
      <c r="G392" s="977" t="n"/>
    </row>
    <row r="393">
      <c r="A393" s="302">
        <f>A392+1</f>
        <v/>
      </c>
      <c r="B393" s="340" t="inlineStr">
        <is>
          <t>Green room sinks</t>
        </is>
      </c>
      <c r="C393" s="302" t="n">
        <v>6</v>
      </c>
      <c r="D393" s="316" t="inlineStr">
        <is>
          <t>EA</t>
        </is>
      </c>
      <c r="E393" s="975" t="n">
        <v>5500</v>
      </c>
      <c r="F393" s="330">
        <f>C393*E393</f>
        <v/>
      </c>
      <c r="G393" s="977" t="n"/>
    </row>
    <row r="394">
      <c r="A394" s="302">
        <f>A393+1</f>
        <v/>
      </c>
      <c r="B394" s="340" t="inlineStr">
        <is>
          <t>Pantry sinks</t>
        </is>
      </c>
      <c r="C394" s="302" t="n">
        <v>2</v>
      </c>
      <c r="D394" s="316" t="inlineStr">
        <is>
          <t>EA</t>
        </is>
      </c>
      <c r="E394" s="975" t="n">
        <v>6000</v>
      </c>
      <c r="F394" s="330">
        <f>C394*E394</f>
        <v/>
      </c>
      <c r="G394" s="977" t="n"/>
    </row>
    <row r="395">
      <c r="A395" s="302">
        <f>A394+1</f>
        <v/>
      </c>
      <c r="B395" s="340" t="inlineStr">
        <is>
          <t>Water fountains</t>
        </is>
      </c>
      <c r="C395" s="302" t="n">
        <v>4</v>
      </c>
      <c r="D395" s="316" t="inlineStr">
        <is>
          <t>EA</t>
        </is>
      </c>
      <c r="E395" s="975" t="n">
        <v>5500</v>
      </c>
      <c r="F395" s="330">
        <f>C395*E395</f>
        <v/>
      </c>
      <c r="G395" s="977" t="n"/>
    </row>
    <row r="396">
      <c r="A396" s="302">
        <f>A395+1</f>
        <v/>
      </c>
      <c r="B396" s="340" t="inlineStr">
        <is>
          <t>Floor Drains &amp; Sinks</t>
        </is>
      </c>
      <c r="C396" s="302" t="n">
        <v>65</v>
      </c>
      <c r="D396" s="316" t="inlineStr">
        <is>
          <t>EA</t>
        </is>
      </c>
      <c r="E396" s="975" t="n">
        <v>3500</v>
      </c>
      <c r="F396" s="330">
        <f>C396*E396</f>
        <v/>
      </c>
      <c r="G396" s="977" t="n"/>
    </row>
    <row r="397">
      <c r="A397" s="302">
        <f>A396+1</f>
        <v/>
      </c>
      <c r="B397" s="340" t="inlineStr">
        <is>
          <t>Water Heater- Electrical</t>
        </is>
      </c>
      <c r="C397" s="302" t="n">
        <v>10</v>
      </c>
      <c r="D397" s="316" t="inlineStr">
        <is>
          <t>EA</t>
        </is>
      </c>
      <c r="E397" s="975" t="n">
        <v>7500</v>
      </c>
      <c r="F397" s="330">
        <f>C397*E397</f>
        <v/>
      </c>
      <c r="G397" s="977" t="n"/>
    </row>
    <row r="398" ht="24" customHeight="1">
      <c r="A398" s="302">
        <f>A397+1</f>
        <v/>
      </c>
      <c r="B398" s="340" t="inlineStr">
        <is>
          <t>F&amp;I Bar roughing</t>
        </is>
      </c>
      <c r="C398" s="1003" t="n">
        <v>9</v>
      </c>
      <c r="D398" s="316" t="inlineStr">
        <is>
          <t>EA</t>
        </is>
      </c>
      <c r="E398" s="975" t="n">
        <v>30000</v>
      </c>
      <c r="F398" s="330">
        <f>C398*E398</f>
        <v/>
      </c>
      <c r="G398" s="977" t="n"/>
      <c r="K398" s="808" t="inlineStr">
        <is>
          <t>Nine bars roughed here - so the building knows it has nine bars, but 064000 prices none of them.</t>
        </is>
      </c>
    </row>
    <row r="399">
      <c r="A399" s="302">
        <f>A398+1</f>
        <v/>
      </c>
      <c r="B399" s="340" t="inlineStr">
        <is>
          <t>Grease Traps Bars</t>
        </is>
      </c>
      <c r="C399" s="302" t="n">
        <v>9</v>
      </c>
      <c r="D399" s="316" t="inlineStr">
        <is>
          <t>EA</t>
        </is>
      </c>
      <c r="E399" s="975" t="n">
        <v>7500</v>
      </c>
      <c r="F399" s="330">
        <f>C399*E399</f>
        <v/>
      </c>
      <c r="G399" s="977" t="n"/>
    </row>
    <row r="400">
      <c r="A400" s="302">
        <f>A399+1</f>
        <v/>
      </c>
      <c r="B400" s="340" t="inlineStr">
        <is>
          <t>Grease Trap Restaurant</t>
        </is>
      </c>
      <c r="C400" s="302" t="n">
        <v>1</v>
      </c>
      <c r="D400" s="316" t="inlineStr">
        <is>
          <t>EA</t>
        </is>
      </c>
      <c r="E400" s="975" t="n">
        <v>125000</v>
      </c>
      <c r="F400" s="330">
        <f>C400*E400</f>
        <v/>
      </c>
      <c r="G400" s="977" t="n"/>
    </row>
    <row r="401">
      <c r="A401" s="302">
        <f>A398+1</f>
        <v/>
      </c>
      <c r="B401" s="340" t="inlineStr">
        <is>
          <t>Restaurant Bar</t>
        </is>
      </c>
      <c r="C401" s="302" t="n">
        <v>1</v>
      </c>
      <c r="D401" s="316" t="inlineStr">
        <is>
          <t>EA</t>
        </is>
      </c>
      <c r="E401" s="975" t="n">
        <v>75000</v>
      </c>
      <c r="F401" s="330">
        <f>C401*E401</f>
        <v/>
      </c>
      <c r="G401" s="977" t="n"/>
    </row>
    <row r="402">
      <c r="A402" s="302">
        <f>A401+1</f>
        <v/>
      </c>
      <c r="B402" s="340" t="inlineStr">
        <is>
          <t>Lobby Bar</t>
        </is>
      </c>
      <c r="C402" s="302" t="n">
        <v>2</v>
      </c>
      <c r="D402" s="316" t="inlineStr">
        <is>
          <t>EA</t>
        </is>
      </c>
      <c r="E402" s="975" t="n">
        <v>50000</v>
      </c>
      <c r="F402" s="330">
        <f>C402*E402</f>
        <v/>
      </c>
      <c r="G402" s="977" t="n"/>
    </row>
    <row r="403">
      <c r="A403" s="302">
        <f>A402+1</f>
        <v/>
      </c>
      <c r="B403" s="340" t="inlineStr">
        <is>
          <t>VIP Bars</t>
        </is>
      </c>
      <c r="C403" s="302" t="n">
        <v>2</v>
      </c>
      <c r="D403" s="316" t="inlineStr">
        <is>
          <t>EA</t>
        </is>
      </c>
      <c r="E403" s="975" t="n">
        <v>40000</v>
      </c>
      <c r="F403" s="330">
        <f>C403*E403</f>
        <v/>
      </c>
      <c r="G403" s="977" t="n"/>
    </row>
    <row r="404">
      <c r="A404" s="302">
        <f>A403+1</f>
        <v/>
      </c>
      <c r="B404" s="340" t="inlineStr">
        <is>
          <t>Music Bars</t>
        </is>
      </c>
      <c r="C404" s="302" t="n">
        <v>5</v>
      </c>
      <c r="D404" s="316" t="inlineStr">
        <is>
          <t>EA</t>
        </is>
      </c>
      <c r="E404" s="975" t="n">
        <v>40000</v>
      </c>
      <c r="F404" s="330">
        <f>C404*E404</f>
        <v/>
      </c>
      <c r="G404" s="977" t="n"/>
    </row>
    <row r="405">
      <c r="A405" s="302">
        <f>A404+1</f>
        <v/>
      </c>
      <c r="B405" s="340" t="inlineStr">
        <is>
          <t>F&amp;I Kitchen roughing</t>
        </is>
      </c>
      <c r="C405" s="302" t="n">
        <v>1</v>
      </c>
      <c r="D405" s="316" t="inlineStr">
        <is>
          <t>LS</t>
        </is>
      </c>
      <c r="E405" s="975" t="n">
        <v>135000</v>
      </c>
      <c r="F405" s="330">
        <f>C405*E405</f>
        <v/>
      </c>
      <c r="G405" s="977" t="n"/>
    </row>
    <row r="406">
      <c r="A406" s="302">
        <f>A405+1</f>
        <v/>
      </c>
      <c r="B406" s="724" t="inlineStr">
        <is>
          <t>F&amp;I Roof Drains</t>
        </is>
      </c>
      <c r="C406" s="725" t="n">
        <v>11</v>
      </c>
      <c r="D406" s="726" t="inlineStr">
        <is>
          <t>EA</t>
        </is>
      </c>
      <c r="E406" s="1004" t="n">
        <v>8500</v>
      </c>
      <c r="F406" s="728">
        <f>C406*E406</f>
        <v/>
      </c>
      <c r="G406" s="1005" t="n"/>
    </row>
    <row r="407">
      <c r="A407" s="302">
        <f>A406+1</f>
        <v/>
      </c>
      <c r="B407" s="340" t="inlineStr">
        <is>
          <t>Demo. Disconnects</t>
        </is>
      </c>
      <c r="C407" s="302" t="n">
        <v>1</v>
      </c>
      <c r="D407" s="316" t="inlineStr">
        <is>
          <t>LS</t>
        </is>
      </c>
      <c r="E407" s="975" t="n">
        <v>10000</v>
      </c>
      <c r="F407" s="330">
        <f>C407*E407</f>
        <v/>
      </c>
      <c r="G407" s="977" t="n"/>
    </row>
    <row r="408">
      <c r="A408" s="302">
        <f>A407+1</f>
        <v/>
      </c>
      <c r="B408" s="340" t="inlineStr">
        <is>
          <t>Misc Equipment</t>
        </is>
      </c>
      <c r="C408" s="302" t="n">
        <v>1</v>
      </c>
      <c r="D408" s="316" t="inlineStr">
        <is>
          <t>LS</t>
        </is>
      </c>
      <c r="E408" s="978" t="n">
        <v>30000</v>
      </c>
      <c r="F408" s="330">
        <f>C408*E408</f>
        <v/>
      </c>
      <c r="G408" s="977" t="n"/>
    </row>
    <row r="409">
      <c r="A409" s="302">
        <f>A408+1</f>
        <v/>
      </c>
      <c r="B409" s="340" t="inlineStr">
        <is>
          <t>Firestopping</t>
        </is>
      </c>
      <c r="C409" s="302" t="n">
        <v>1</v>
      </c>
      <c r="D409" s="316" t="inlineStr">
        <is>
          <t>LS</t>
        </is>
      </c>
      <c r="E409" s="978" t="n">
        <v>15000</v>
      </c>
      <c r="F409" s="330">
        <f>C409*E409</f>
        <v/>
      </c>
      <c r="G409" s="977" t="n"/>
    </row>
    <row r="410">
      <c r="A410" s="302" t="n"/>
      <c r="B410" s="340" t="n"/>
      <c r="C410" s="302" t="n"/>
      <c r="D410" s="316" t="n"/>
      <c r="E410" s="978" t="n"/>
      <c r="F410" s="330" t="n"/>
      <c r="G410" s="977" t="n"/>
    </row>
    <row r="411" ht="16" customHeight="1" thickBot="1">
      <c r="A411" s="302" t="n"/>
      <c r="B411" s="302" t="n"/>
      <c r="C411" s="313" t="n"/>
      <c r="D411" s="313" t="n"/>
      <c r="E411" s="1006" t="n"/>
      <c r="F411" s="330" t="n"/>
      <c r="G411" s="977" t="n"/>
    </row>
    <row r="412" ht="16" customHeight="1" thickBot="1">
      <c r="A412" s="335" t="inlineStr">
        <is>
          <t>Sub Total</t>
        </is>
      </c>
      <c r="B412" s="335">
        <f>B373</f>
        <v/>
      </c>
      <c r="C412" s="335" t="n"/>
      <c r="D412" s="336" t="n"/>
      <c r="E412" s="981" t="n"/>
      <c r="F412" s="338">
        <f>SUM(F372:F411)</f>
        <v/>
      </c>
      <c r="G412" s="983" t="n"/>
    </row>
    <row r="413">
      <c r="A413" s="302" t="n"/>
      <c r="B413" s="302" t="n"/>
      <c r="C413" s="302" t="n"/>
      <c r="D413" s="316" t="n"/>
      <c r="E413" s="975" t="n"/>
      <c r="F413" s="330" t="n"/>
      <c r="G413" s="976" t="n"/>
    </row>
    <row r="414">
      <c r="A414" s="301" t="inlineStr">
        <is>
          <t>230000</t>
        </is>
      </c>
      <c r="B414" s="308" t="inlineStr">
        <is>
          <t>HVAC</t>
        </is>
      </c>
      <c r="C414" s="302" t="n"/>
      <c r="D414" s="316" t="n"/>
      <c r="E414" s="975" t="n"/>
      <c r="F414" s="330" t="n"/>
      <c r="G414" s="977" t="n"/>
    </row>
    <row r="415" ht="36" customHeight="1">
      <c r="A415" s="303" t="n">
        <v>1</v>
      </c>
      <c r="B415" s="343" t="inlineStr">
        <is>
          <t>HVAC System including BMS</t>
        </is>
      </c>
      <c r="C415" s="302">
        <f>3500+69722+53379+5941</f>
        <v/>
      </c>
      <c r="D415" s="316" t="inlineStr">
        <is>
          <t>SF</t>
        </is>
      </c>
      <c r="E415" s="975" t="n">
        <v>45</v>
      </c>
      <c r="F415" s="979">
        <f>C415*E415</f>
        <v/>
      </c>
      <c r="G415" s="977" t="n"/>
      <c r="K415" s="808" t="inlineStr">
        <is>
          <t>ONE LINE, 132,542 SF x $45.00, no tonnage. Was this priced on a LOAD or an AREA? A 64 ft clear room with 7,440 people is a volume and occupancy load. Can we see tons and the basis? Ours is $5,950,650 built from load - almost the same total, which is a coincidence not agreement.</t>
        </is>
      </c>
    </row>
    <row r="416" ht="16" customHeight="1" thickBot="1">
      <c r="A416" s="302" t="n"/>
      <c r="B416" s="302" t="n"/>
      <c r="C416" s="302" t="n"/>
      <c r="D416" s="316" t="n"/>
      <c r="E416" s="978" t="n"/>
      <c r="F416" s="330" t="n"/>
      <c r="G416" s="977" t="n"/>
    </row>
    <row r="417" ht="16" customHeight="1" thickBot="1">
      <c r="A417" s="335" t="inlineStr">
        <is>
          <t>Sub Total</t>
        </is>
      </c>
      <c r="B417" s="335">
        <f>B414</f>
        <v/>
      </c>
      <c r="C417" s="335" t="n"/>
      <c r="D417" s="336" t="n"/>
      <c r="E417" s="981" t="n"/>
      <c r="F417" s="338">
        <f>SUM(F413:F416)</f>
        <v/>
      </c>
      <c r="G417" s="983" t="n"/>
    </row>
    <row r="418">
      <c r="A418" s="302" t="n"/>
      <c r="B418" s="302" t="n"/>
      <c r="C418" s="302" t="n"/>
      <c r="D418" s="316" t="n"/>
      <c r="E418" s="975" t="n"/>
      <c r="F418" s="330" t="n"/>
      <c r="G418" s="976" t="n"/>
    </row>
    <row r="419">
      <c r="A419" s="301" t="inlineStr">
        <is>
          <t>260000</t>
        </is>
      </c>
      <c r="B419" s="308" t="inlineStr">
        <is>
          <t>ELECTRIC</t>
        </is>
      </c>
      <c r="C419" s="302" t="n"/>
      <c r="D419" s="316" t="n"/>
      <c r="E419" s="975" t="n"/>
      <c r="F419" s="330" t="n"/>
      <c r="G419" s="977" t="n"/>
    </row>
    <row r="420">
      <c r="A420" s="301" t="n"/>
      <c r="B420" s="308" t="n"/>
      <c r="C420" s="302" t="n"/>
      <c r="D420" s="316" t="n"/>
      <c r="E420" s="975" t="n"/>
      <c r="F420" s="330" t="n"/>
      <c r="G420" s="977" t="n"/>
    </row>
    <row r="421">
      <c r="A421" s="706" t="n">
        <v>1</v>
      </c>
      <c r="B421" s="742" t="inlineStr">
        <is>
          <t xml:space="preserve"> Demo &amp; Disconnects</t>
        </is>
      </c>
      <c r="C421" s="302" t="n">
        <v>1</v>
      </c>
      <c r="D421" s="316" t="inlineStr">
        <is>
          <t>LS</t>
        </is>
      </c>
      <c r="E421" s="975" t="n">
        <v>20000</v>
      </c>
      <c r="F421" s="330">
        <f>C421*E421</f>
        <v/>
      </c>
      <c r="G421" s="977" t="n"/>
    </row>
    <row r="422">
      <c r="A422" s="706" t="n">
        <v>2</v>
      </c>
      <c r="B422" s="742" t="inlineStr">
        <is>
          <t xml:space="preserve"> Demo &amp; remove existing 400A service</t>
        </is>
      </c>
      <c r="C422" s="302" t="n">
        <v>1</v>
      </c>
      <c r="D422" s="316" t="inlineStr">
        <is>
          <t>EA</t>
        </is>
      </c>
      <c r="E422" s="975" t="n">
        <v>50000</v>
      </c>
      <c r="F422" s="330">
        <f>C422*E422</f>
        <v/>
      </c>
      <c r="G422" s="977" t="n"/>
    </row>
    <row r="423">
      <c r="A423" s="706" t="n">
        <v>3</v>
      </c>
      <c r="B423" s="742" t="inlineStr">
        <is>
          <t xml:space="preserve"> Temp Lighting &amp; Power</t>
        </is>
      </c>
      <c r="C423" s="302" t="n">
        <v>135953</v>
      </c>
      <c r="D423" s="316" t="inlineStr">
        <is>
          <t>SF</t>
        </is>
      </c>
      <c r="E423" s="975" t="n">
        <v>2</v>
      </c>
      <c r="F423" s="330">
        <f>C423*E423</f>
        <v/>
      </c>
      <c r="G423" s="977" t="n"/>
    </row>
    <row r="424">
      <c r="A424" s="706" t="n"/>
      <c r="B424" s="716" t="n"/>
      <c r="C424" s="302" t="n"/>
      <c r="D424" s="316" t="n"/>
      <c r="E424" s="975" t="n"/>
      <c r="F424" s="330" t="n"/>
      <c r="G424" s="977" t="n"/>
    </row>
    <row r="425">
      <c r="A425" s="302" t="n"/>
      <c r="B425" s="743" t="inlineStr">
        <is>
          <t xml:space="preserve">Lighting </t>
        </is>
      </c>
      <c r="C425" s="302" t="n"/>
      <c r="D425" s="316" t="n"/>
      <c r="E425" s="975" t="n"/>
      <c r="F425" s="330" t="n"/>
      <c r="G425" s="977" t="n"/>
    </row>
    <row r="426">
      <c r="A426" s="303" t="n">
        <v>1</v>
      </c>
      <c r="B426" s="343" t="inlineStr">
        <is>
          <t xml:space="preserve">F/I Emergency lighting package </t>
        </is>
      </c>
      <c r="C426" s="302" t="n">
        <v>135953</v>
      </c>
      <c r="D426" s="316" t="inlineStr">
        <is>
          <t>SF</t>
        </is>
      </c>
      <c r="E426" s="975" t="n">
        <v>1</v>
      </c>
      <c r="F426" s="330">
        <f>C426*E426</f>
        <v/>
      </c>
      <c r="G426" s="977" t="n"/>
    </row>
    <row r="427" ht="36" customHeight="1">
      <c r="A427" s="303">
        <f>A426+1</f>
        <v/>
      </c>
      <c r="B427" s="343" t="inlineStr">
        <is>
          <t>I/O lighting package throughout provided by others</t>
        </is>
      </c>
      <c r="C427" s="302" t="n">
        <v>135953</v>
      </c>
      <c r="D427" s="316" t="inlineStr">
        <is>
          <t>SF</t>
        </is>
      </c>
      <c r="E427" s="975" t="n">
        <v>12</v>
      </c>
      <c r="F427" s="980">
        <f>C427*E427</f>
        <v/>
      </c>
      <c r="G427" s="977" t="n"/>
      <c r="K427" s="808" t="inlineStr">
        <is>
          <t>'PROVIDED BY OTHERS' - is this yours or ours? FF&amp;E line 310 separately carries $1,750,000 of Architectural &amp; Exterior Lighting. That is $3,381,436 of architectural lighting in one budget. Keep the conduit and wiring here, delete the fixtures?</t>
        </is>
      </c>
    </row>
    <row r="428">
      <c r="A428" s="303">
        <f>A427+1</f>
        <v/>
      </c>
      <c r="B428" s="343" t="inlineStr">
        <is>
          <t xml:space="preserve">Install architectural dimming control system, F/I wiring </t>
        </is>
      </c>
      <c r="C428" s="302" t="n">
        <v>135953</v>
      </c>
      <c r="D428" s="316" t="inlineStr">
        <is>
          <t>SF</t>
        </is>
      </c>
      <c r="E428" s="975" t="n">
        <v>0.75</v>
      </c>
      <c r="F428" s="330">
        <f>C428*E428</f>
        <v/>
      </c>
      <c r="G428" s="977" t="n"/>
    </row>
    <row r="429">
      <c r="A429" s="303" t="n"/>
      <c r="B429" s="343" t="n"/>
      <c r="C429" s="302" t="n"/>
      <c r="D429" s="316" t="n"/>
      <c r="E429" s="975" t="n"/>
      <c r="F429" s="330" t="n"/>
      <c r="G429" s="977" t="n"/>
    </row>
    <row r="430">
      <c r="A430" s="303" t="n"/>
      <c r="B430" s="312" t="inlineStr">
        <is>
          <t>Power Wiring &amp; Devices</t>
        </is>
      </c>
      <c r="C430" s="302" t="n"/>
      <c r="D430" s="316" t="n"/>
      <c r="E430" s="975" t="n"/>
      <c r="F430" s="330">
        <f>C430*E430</f>
        <v/>
      </c>
      <c r="G430" s="977" t="n"/>
    </row>
    <row r="431" customFormat="1" s="72">
      <c r="A431" s="303" t="n">
        <v>1</v>
      </c>
      <c r="B431" s="741" t="inlineStr">
        <is>
          <t>F/I general power throughout - duplex, quadraplex, floor boxes, J boxes, ceiling outlets</t>
        </is>
      </c>
      <c r="C431" s="303" t="n">
        <v>135953</v>
      </c>
      <c r="D431" s="317" t="inlineStr">
        <is>
          <t>SF</t>
        </is>
      </c>
      <c r="E431" s="984" t="n">
        <v>6</v>
      </c>
      <c r="F431" s="331">
        <f>C431*E431</f>
        <v/>
      </c>
      <c r="G431" s="986" t="n"/>
    </row>
    <row r="432">
      <c r="A432" s="303" t="n">
        <v>2</v>
      </c>
      <c r="B432" s="343" t="inlineStr">
        <is>
          <t xml:space="preserve">F/I dedicated circuits at all Kitchen equipment </t>
        </is>
      </c>
      <c r="C432" s="302" t="n">
        <v>1500</v>
      </c>
      <c r="D432" s="316" t="inlineStr">
        <is>
          <t>SF</t>
        </is>
      </c>
      <c r="E432" s="975" t="n">
        <v>35</v>
      </c>
      <c r="F432" s="330">
        <f>C432*E432</f>
        <v/>
      </c>
      <c r="G432" s="977" t="n"/>
    </row>
    <row r="433">
      <c r="A433" s="303">
        <f>A432+1</f>
        <v/>
      </c>
      <c r="B433" s="343" t="inlineStr">
        <is>
          <t xml:space="preserve">F/I dedicated power to stage equipment </t>
        </is>
      </c>
      <c r="C433" s="302" t="n">
        <v>2500</v>
      </c>
      <c r="D433" s="316" t="inlineStr">
        <is>
          <t>SF</t>
        </is>
      </c>
      <c r="E433" s="975" t="n">
        <v>15</v>
      </c>
      <c r="F433" s="330">
        <f>C433*E433</f>
        <v/>
      </c>
      <c r="G433" s="977" t="n"/>
    </row>
    <row r="434">
      <c r="A434" s="303">
        <f>A428+1</f>
        <v/>
      </c>
      <c r="B434" s="343" t="inlineStr">
        <is>
          <t>F/I Stage power Clean Switches</t>
        </is>
      </c>
      <c r="C434" s="302" t="n">
        <v>1</v>
      </c>
      <c r="D434" s="316" t="inlineStr">
        <is>
          <t>LS</t>
        </is>
      </c>
      <c r="E434" s="975" t="n">
        <v>65000</v>
      </c>
      <c r="F434" s="330">
        <f>C434*E434</f>
        <v/>
      </c>
      <c r="G434" s="977" t="n"/>
    </row>
    <row r="435">
      <c r="A435" s="303">
        <f>A434+1</f>
        <v/>
      </c>
      <c r="B435" s="343" t="inlineStr">
        <is>
          <t>Panels and Secondary distribution</t>
        </is>
      </c>
      <c r="C435" s="302" t="n">
        <v>1</v>
      </c>
      <c r="D435" s="316" t="inlineStr">
        <is>
          <t>LS</t>
        </is>
      </c>
      <c r="E435" s="975" t="n">
        <v>200000</v>
      </c>
      <c r="F435" s="330">
        <f>C435*E435</f>
        <v/>
      </c>
      <c r="G435" s="977" t="n"/>
    </row>
    <row r="436">
      <c r="A436" s="303" t="n"/>
      <c r="B436" s="343" t="n"/>
      <c r="C436" s="302" t="n"/>
      <c r="D436" s="316" t="n"/>
      <c r="E436" s="975" t="n"/>
      <c r="F436" s="330" t="n"/>
      <c r="G436" s="977" t="n"/>
    </row>
    <row r="437">
      <c r="A437" s="303" t="n"/>
      <c r="B437" s="312" t="inlineStr">
        <is>
          <t xml:space="preserve">Mechanical Power </t>
        </is>
      </c>
      <c r="C437" s="302" t="n"/>
      <c r="D437" s="316" t="n"/>
      <c r="E437" s="975" t="n"/>
      <c r="F437" s="330" t="n"/>
      <c r="G437" s="977" t="n"/>
    </row>
    <row r="438">
      <c r="A438" s="303" t="n">
        <v>1</v>
      </c>
      <c r="B438" s="343" t="inlineStr">
        <is>
          <t>F/I power to Mechanical Equipment</t>
        </is>
      </c>
      <c r="C438" s="302" t="n">
        <v>135953</v>
      </c>
      <c r="D438" s="316" t="inlineStr">
        <is>
          <t>SF</t>
        </is>
      </c>
      <c r="E438" s="975" t="n">
        <v>3</v>
      </c>
      <c r="F438" s="330">
        <f>C438*E438</f>
        <v/>
      </c>
      <c r="G438" s="977" t="n"/>
    </row>
    <row r="439">
      <c r="A439" s="303" t="n">
        <v>2</v>
      </c>
      <c r="B439" s="343" t="inlineStr">
        <is>
          <t>F/I power to VAV's</t>
        </is>
      </c>
      <c r="C439" s="302" t="n">
        <v>15</v>
      </c>
      <c r="D439" s="316" t="inlineStr">
        <is>
          <t>EA</t>
        </is>
      </c>
      <c r="E439" s="975" t="n">
        <v>2500</v>
      </c>
      <c r="F439" s="330">
        <f>C439*E439</f>
        <v/>
      </c>
      <c r="G439" s="977" t="n"/>
    </row>
    <row r="440">
      <c r="A440" s="303" t="n">
        <v>3</v>
      </c>
      <c r="B440" s="343" t="inlineStr">
        <is>
          <t>F/I power to Exhaust Fans</t>
        </is>
      </c>
      <c r="C440" s="302" t="n">
        <v>20</v>
      </c>
      <c r="D440" s="316" t="inlineStr">
        <is>
          <t>EA</t>
        </is>
      </c>
      <c r="E440" s="975" t="n">
        <v>5000</v>
      </c>
      <c r="F440" s="330">
        <f>C440*E440</f>
        <v/>
      </c>
      <c r="G440" s="977" t="n"/>
    </row>
    <row r="441">
      <c r="A441" s="303" t="n">
        <v>4</v>
      </c>
      <c r="B441" s="343" t="inlineStr">
        <is>
          <t>Combine Existing Services</t>
        </is>
      </c>
      <c r="C441" s="302" t="n">
        <v>0</v>
      </c>
      <c r="D441" s="316" t="inlineStr">
        <is>
          <t>LS</t>
        </is>
      </c>
      <c r="E441" s="975" t="n">
        <v>200000</v>
      </c>
      <c r="F441" s="330">
        <f>C441*E441</f>
        <v/>
      </c>
      <c r="G441" s="977" t="n"/>
    </row>
    <row r="442">
      <c r="A442" s="303" t="n">
        <v>5</v>
      </c>
      <c r="B442" s="343" t="inlineStr">
        <is>
          <t xml:space="preserve">Stand Pipe Water Booster Pump Wiring </t>
        </is>
      </c>
      <c r="C442" s="302" t="n">
        <v>1</v>
      </c>
      <c r="D442" s="316" t="inlineStr">
        <is>
          <t>LS</t>
        </is>
      </c>
      <c r="E442" s="975" t="n">
        <v>20000</v>
      </c>
      <c r="F442" s="330">
        <f>C442*E442</f>
        <v/>
      </c>
      <c r="G442" s="977" t="n"/>
    </row>
    <row r="443">
      <c r="A443" s="303" t="n"/>
      <c r="B443" s="343" t="n"/>
      <c r="C443" s="302" t="n"/>
      <c r="D443" s="316" t="n"/>
      <c r="E443" s="975" t="n"/>
      <c r="F443" s="330" t="n"/>
      <c r="G443" s="977" t="n"/>
    </row>
    <row r="444">
      <c r="A444" s="303" t="n"/>
      <c r="B444" s="687" t="inlineStr">
        <is>
          <t>Switch Gear &amp; Emergency Power</t>
        </is>
      </c>
      <c r="C444" s="302" t="n"/>
      <c r="D444" s="316" t="n"/>
      <c r="E444" s="975" t="n"/>
      <c r="F444" s="330" t="n"/>
      <c r="G444" s="977" t="n"/>
    </row>
    <row r="445">
      <c r="A445" s="303" t="n">
        <v>1</v>
      </c>
      <c r="B445" s="343" t="inlineStr">
        <is>
          <t>F/I 4,000A Service End Boxes</t>
        </is>
      </c>
      <c r="C445" s="302" t="n">
        <v>2</v>
      </c>
      <c r="D445" s="316" t="inlineStr">
        <is>
          <t>EA</t>
        </is>
      </c>
      <c r="E445" s="975" t="n">
        <v>65000</v>
      </c>
      <c r="F445" s="330">
        <f>C445*E445</f>
        <v/>
      </c>
      <c r="G445" s="977" t="n"/>
    </row>
    <row r="446">
      <c r="A446" s="303">
        <f>A445+1</f>
        <v/>
      </c>
      <c r="B446" s="343" t="inlineStr">
        <is>
          <t>F/I 4,000A CT Cabinets</t>
        </is>
      </c>
      <c r="C446" s="302" t="n">
        <v>2</v>
      </c>
      <c r="D446" s="316" t="inlineStr">
        <is>
          <t>EA</t>
        </is>
      </c>
      <c r="E446" s="975" t="n">
        <v>55000</v>
      </c>
      <c r="F446" s="330">
        <f>C446*E446</f>
        <v/>
      </c>
      <c r="G446" s="977" t="n"/>
    </row>
    <row r="447" ht="24" customHeight="1">
      <c r="A447" s="303">
        <f>A446+1</f>
        <v/>
      </c>
      <c r="B447" s="343" t="inlineStr">
        <is>
          <t>F/I 4000A 208Y/120V Switchboard w/ main Circuit Breaker</t>
        </is>
      </c>
      <c r="C447" s="302" t="n">
        <v>2</v>
      </c>
      <c r="D447" s="316" t="inlineStr">
        <is>
          <t>EA</t>
        </is>
      </c>
      <c r="E447" s="975" t="n">
        <v>290000</v>
      </c>
      <c r="F447" s="979">
        <f>C447*E447</f>
        <v/>
      </c>
      <c r="G447" s="977" t="n"/>
      <c r="K447" s="808" t="inlineStr">
        <is>
          <t>Two 4,000A boards = 8,000A service, matches our sizing. Is this confirmed with Con Ed - is there a feasibility letter?</t>
        </is>
      </c>
    </row>
    <row r="448">
      <c r="A448" s="303">
        <f>A447+1</f>
        <v/>
      </c>
      <c r="B448" s="343" t="inlineStr">
        <is>
          <t>Secondary service conductors, service end box to CT cabinet to Switchboard</t>
        </is>
      </c>
      <c r="C448" s="302" t="n">
        <v>2</v>
      </c>
      <c r="D448" s="316" t="inlineStr">
        <is>
          <t>EA</t>
        </is>
      </c>
      <c r="E448" s="975" t="n">
        <v>75000</v>
      </c>
      <c r="F448" s="330">
        <f>C448*E448</f>
        <v/>
      </c>
      <c r="G448" s="977" t="n"/>
    </row>
    <row r="449" ht="30" customHeight="1">
      <c r="A449" s="303">
        <f>A448+1</f>
        <v/>
      </c>
      <c r="B449" s="343" t="inlineStr">
        <is>
          <t>NYC electrical plan review drawings, short circuit / coordination / arch flas study and DOB electrical filing</t>
        </is>
      </c>
      <c r="C449" s="302" t="n">
        <v>1</v>
      </c>
      <c r="D449" s="316" t="inlineStr">
        <is>
          <t>EA</t>
        </is>
      </c>
      <c r="E449" s="975" t="n">
        <v>35000</v>
      </c>
      <c r="F449" s="330">
        <f>C449*E449</f>
        <v/>
      </c>
      <c r="G449" s="330" t="n"/>
    </row>
    <row r="450">
      <c r="A450" s="303">
        <f>A449+1</f>
        <v/>
      </c>
      <c r="B450" s="343" t="inlineStr">
        <is>
          <t>F/I 80KW Generator</t>
        </is>
      </c>
      <c r="C450" s="302" t="n">
        <v>1</v>
      </c>
      <c r="D450" s="316" t="inlineStr">
        <is>
          <t>LS</t>
        </is>
      </c>
      <c r="E450" s="975" t="n">
        <v>275000</v>
      </c>
      <c r="F450" s="330">
        <f>C450*E450</f>
        <v/>
      </c>
      <c r="G450" s="330" t="n"/>
    </row>
    <row r="451" ht="15" customHeight="1">
      <c r="A451" s="303">
        <f>A450+1</f>
        <v/>
      </c>
      <c r="B451" s="343" t="inlineStr">
        <is>
          <t>Con Edison customer contribution / excess distribution facilities charges</t>
        </is>
      </c>
      <c r="C451" s="302" t="n">
        <v>1</v>
      </c>
      <c r="D451" s="316" t="inlineStr">
        <is>
          <t>Allow</t>
        </is>
      </c>
      <c r="E451" s="975" t="n">
        <v>250000</v>
      </c>
      <c r="F451" s="979">
        <f>C451*E451</f>
        <v/>
      </c>
      <c r="G451" s="330" t="n"/>
      <c r="K451" s="808" t="inlineStr">
        <is>
          <t>$250,000 allowance - has Con Ed responded on the 8,000A service and the vault?</t>
        </is>
      </c>
    </row>
    <row r="452">
      <c r="A452" s="303" t="n"/>
      <c r="B452" s="343" t="n"/>
      <c r="C452" s="302" t="n"/>
      <c r="D452" s="316" t="n"/>
      <c r="E452" s="975" t="n"/>
      <c r="F452" s="330">
        <f>C452*E452</f>
        <v/>
      </c>
      <c r="G452" s="977" t="n"/>
    </row>
    <row r="453">
      <c r="A453" s="303" t="n"/>
      <c r="B453" s="312" t="inlineStr">
        <is>
          <t xml:space="preserve">Misc. </t>
        </is>
      </c>
      <c r="C453" s="302" t="n"/>
      <c r="D453" s="316" t="n"/>
      <c r="E453" s="975" t="n"/>
      <c r="F453" s="330">
        <f>C453*E453</f>
        <v/>
      </c>
      <c r="G453" s="977" t="n"/>
    </row>
    <row r="454">
      <c r="A454" s="303" t="n">
        <v>1</v>
      </c>
      <c r="B454" s="343" t="inlineStr">
        <is>
          <t>F/I firestopping at cores &amp; penetrations</t>
        </is>
      </c>
      <c r="C454" s="302" t="n">
        <v>1</v>
      </c>
      <c r="D454" s="316" t="inlineStr">
        <is>
          <t>LS</t>
        </is>
      </c>
      <c r="E454" s="975" t="n">
        <v>35000</v>
      </c>
      <c r="F454" s="330">
        <f>C454*E454</f>
        <v/>
      </c>
      <c r="G454" s="977" t="n"/>
    </row>
    <row r="455" ht="16" customHeight="1" thickBot="1">
      <c r="A455" s="302" t="n"/>
      <c r="B455" s="311" t="n"/>
      <c r="C455" s="302" t="n"/>
      <c r="D455" s="316" t="n"/>
      <c r="E455" s="978" t="n"/>
      <c r="F455" s="330" t="n"/>
      <c r="G455" s="977" t="n"/>
    </row>
    <row r="456" ht="16" customHeight="1" thickBot="1">
      <c r="A456" s="335" t="inlineStr">
        <is>
          <t>Sub Total</t>
        </is>
      </c>
      <c r="B456" s="335">
        <f>B419</f>
        <v/>
      </c>
      <c r="C456" s="335" t="n"/>
      <c r="D456" s="336" t="n"/>
      <c r="E456" s="981" t="n"/>
      <c r="F456" s="338">
        <f>SUM(F418:F455)</f>
        <v/>
      </c>
      <c r="G456" s="983" t="n"/>
    </row>
    <row r="457">
      <c r="A457" s="302" t="n"/>
      <c r="B457" s="302" t="n"/>
      <c r="C457" s="302" t="n"/>
      <c r="D457" s="316" t="n"/>
      <c r="E457" s="975" t="n"/>
      <c r="F457" s="330" t="n"/>
      <c r="G457" s="976" t="n"/>
    </row>
    <row r="458">
      <c r="A458" s="301" t="inlineStr">
        <is>
          <t>270000</t>
        </is>
      </c>
      <c r="B458" s="308" t="inlineStr">
        <is>
          <t>LOW VOLTAGE</t>
        </is>
      </c>
      <c r="C458" s="302" t="n"/>
      <c r="D458" s="316" t="n"/>
      <c r="E458" s="975" t="n"/>
      <c r="F458" s="330" t="n"/>
      <c r="G458" s="1007" t="n"/>
    </row>
    <row r="459">
      <c r="A459" s="302" t="n">
        <v>1</v>
      </c>
      <c r="B459" s="343" t="inlineStr">
        <is>
          <t>Wiring for security Camera</t>
        </is>
      </c>
      <c r="C459" s="302" t="n">
        <v>110</v>
      </c>
      <c r="D459" s="316" t="inlineStr">
        <is>
          <t>EA</t>
        </is>
      </c>
      <c r="E459" s="978" t="n">
        <v>750</v>
      </c>
      <c r="F459" s="330">
        <f>E459*C459</f>
        <v/>
      </c>
      <c r="G459" s="977" t="n"/>
    </row>
    <row r="460">
      <c r="A460" s="302">
        <f>A459+1</f>
        <v/>
      </c>
      <c r="B460" s="343" t="inlineStr">
        <is>
          <t>Door intrusion entry/exit security</t>
        </is>
      </c>
      <c r="C460" s="302" t="n">
        <v>0</v>
      </c>
      <c r="D460" s="316" t="inlineStr">
        <is>
          <t>LOC</t>
        </is>
      </c>
      <c r="E460" s="978" t="n">
        <v>5000</v>
      </c>
      <c r="F460" s="330">
        <f>E460*C460</f>
        <v/>
      </c>
      <c r="G460" s="977" t="n"/>
    </row>
    <row r="461">
      <c r="A461" s="302">
        <f>A460+1</f>
        <v/>
      </c>
      <c r="B461" s="343" t="inlineStr">
        <is>
          <t>A/V wiring only</t>
        </is>
      </c>
      <c r="C461" s="302" t="n">
        <v>1</v>
      </c>
      <c r="D461" s="316" t="inlineStr">
        <is>
          <t>LS</t>
        </is>
      </c>
      <c r="E461" s="978" t="n">
        <v>60000</v>
      </c>
      <c r="F461" s="330">
        <f>E461*C461</f>
        <v/>
      </c>
      <c r="G461" s="977" t="n"/>
    </row>
    <row r="462">
      <c r="A462" s="302">
        <f>A461+1</f>
        <v/>
      </c>
      <c r="B462" s="343" t="inlineStr">
        <is>
          <t>Phone/Data wiring</t>
        </is>
      </c>
      <c r="C462" s="302" t="n">
        <v>1</v>
      </c>
      <c r="D462" s="316" t="inlineStr">
        <is>
          <t>LS</t>
        </is>
      </c>
      <c r="E462" s="978" t="n">
        <v>85000</v>
      </c>
      <c r="F462" s="330">
        <f>E462*C462</f>
        <v/>
      </c>
      <c r="G462" s="977" t="n"/>
    </row>
    <row r="463" ht="16" customHeight="1" thickBot="1">
      <c r="A463" s="302" t="n"/>
      <c r="B463" s="311" t="n"/>
      <c r="C463" s="302" t="n"/>
      <c r="D463" s="316" t="n"/>
      <c r="E463" s="978" t="n"/>
      <c r="F463" s="330" t="n"/>
      <c r="G463" s="977" t="n"/>
    </row>
    <row r="464" ht="16" customHeight="1" thickBot="1">
      <c r="A464" s="335" t="inlineStr">
        <is>
          <t>Sub Total</t>
        </is>
      </c>
      <c r="B464" s="335">
        <f>B458</f>
        <v/>
      </c>
      <c r="C464" s="335" t="n"/>
      <c r="D464" s="336" t="n"/>
      <c r="E464" s="981" t="n"/>
      <c r="F464" s="338">
        <f>SUM(F457:F463)</f>
        <v/>
      </c>
      <c r="G464" s="983" t="n"/>
    </row>
    <row r="465">
      <c r="A465" s="302" t="n"/>
      <c r="B465" s="302" t="n"/>
      <c r="C465" s="302" t="n"/>
      <c r="D465" s="316" t="n"/>
      <c r="E465" s="975" t="n"/>
      <c r="F465" s="330" t="n"/>
      <c r="G465" s="976" t="n"/>
    </row>
    <row r="466">
      <c r="A466" s="301" t="inlineStr">
        <is>
          <t>270000</t>
        </is>
      </c>
      <c r="B466" s="308" t="inlineStr">
        <is>
          <t>LIGHTING AND CONTROLS - BY OWNER</t>
        </is>
      </c>
      <c r="C466" s="302" t="n"/>
      <c r="D466" s="316" t="n"/>
      <c r="E466" s="975" t="n"/>
      <c r="F466" s="330" t="n"/>
      <c r="G466" s="1007" t="n"/>
    </row>
    <row r="467">
      <c r="A467" s="302" t="n">
        <v>1</v>
      </c>
      <c r="B467" s="343" t="inlineStr">
        <is>
          <t>Exit Signs / BOH fixtures</t>
        </is>
      </c>
      <c r="C467" s="302" t="n">
        <v>1</v>
      </c>
      <c r="D467" s="316" t="inlineStr">
        <is>
          <t>LS</t>
        </is>
      </c>
      <c r="E467" s="978" t="n">
        <v>40000</v>
      </c>
      <c r="F467" s="330">
        <f>C467*E467</f>
        <v/>
      </c>
      <c r="G467" s="977" t="n"/>
    </row>
    <row r="468" hidden="1">
      <c r="A468" s="302">
        <f>A467+1</f>
        <v/>
      </c>
      <c r="B468" s="343" t="inlineStr">
        <is>
          <t>Stage Lighting</t>
        </is>
      </c>
      <c r="C468" s="302" t="n"/>
      <c r="D468" s="316" t="n"/>
      <c r="E468" s="978" t="n"/>
      <c r="F468" s="330" t="n"/>
      <c r="G468" s="977" t="n"/>
    </row>
    <row r="469" hidden="1">
      <c r="A469" s="302">
        <f>A468+1</f>
        <v/>
      </c>
      <c r="B469" s="343" t="inlineStr">
        <is>
          <t>Bar Lighting</t>
        </is>
      </c>
      <c r="C469" s="302" t="n"/>
      <c r="D469" s="316" t="n"/>
      <c r="E469" s="978" t="n"/>
      <c r="F469" s="330" t="n"/>
      <c r="G469" s="977" t="n"/>
    </row>
    <row r="470" hidden="1">
      <c r="A470" s="302">
        <f>A469+1</f>
        <v/>
      </c>
      <c r="B470" s="343" t="inlineStr">
        <is>
          <t>Specialty Fixtures</t>
        </is>
      </c>
      <c r="C470" s="302" t="n"/>
      <c r="D470" s="316" t="n"/>
      <c r="E470" s="978" t="n"/>
      <c r="F470" s="330" t="n"/>
      <c r="G470" s="977" t="n"/>
    </row>
    <row r="471" hidden="1">
      <c r="A471" s="302">
        <f>A470+1</f>
        <v/>
      </c>
      <c r="B471" s="343" t="inlineStr">
        <is>
          <t>Dimming Control PKG</t>
        </is>
      </c>
      <c r="C471" s="302" t="n"/>
      <c r="D471" s="316" t="n"/>
      <c r="E471" s="978" t="n"/>
      <c r="F471" s="330" t="n"/>
      <c r="G471" s="977" t="n"/>
    </row>
    <row r="472" hidden="1">
      <c r="A472" s="302" t="n">
        <v>6</v>
      </c>
      <c r="B472" s="343" t="inlineStr">
        <is>
          <t>Inverter PKG</t>
        </is>
      </c>
      <c r="C472" s="302" t="n"/>
      <c r="D472" s="316" t="n"/>
      <c r="E472" s="978" t="n"/>
      <c r="F472" s="330" t="n"/>
      <c r="G472" s="977" t="n"/>
    </row>
    <row r="473" ht="16" customHeight="1" thickBot="1">
      <c r="A473" s="302" t="n"/>
      <c r="B473" s="311" t="n"/>
      <c r="C473" s="302" t="n"/>
      <c r="D473" s="316" t="n"/>
      <c r="E473" s="978" t="n"/>
      <c r="F473" s="330" t="n"/>
      <c r="G473" s="977" t="n"/>
    </row>
    <row r="474" ht="16" customHeight="1" thickBot="1">
      <c r="A474" s="335" t="inlineStr">
        <is>
          <t>Sub Total</t>
        </is>
      </c>
      <c r="B474" s="335">
        <f>B466</f>
        <v/>
      </c>
      <c r="C474" s="335" t="n"/>
      <c r="D474" s="336" t="n"/>
      <c r="E474" s="981" t="n"/>
      <c r="F474" s="338">
        <f>SUM(F465:F473)</f>
        <v/>
      </c>
      <c r="G474" s="983" t="n"/>
    </row>
    <row r="475">
      <c r="A475" s="306" t="n"/>
      <c r="B475" s="306" t="n"/>
      <c r="C475" s="310" t="n"/>
      <c r="D475" s="318" t="n"/>
      <c r="E475" s="991" t="n"/>
      <c r="F475" s="332" t="n"/>
      <c r="G475" s="992" t="n"/>
    </row>
    <row r="476">
      <c r="A476" s="301" t="inlineStr">
        <is>
          <t>283100</t>
        </is>
      </c>
      <c r="B476" s="308" t="inlineStr">
        <is>
          <t>FIRE ALARM</t>
        </is>
      </c>
      <c r="C476" s="302" t="n"/>
      <c r="D476" s="316" t="n"/>
      <c r="E476" s="975" t="n"/>
      <c r="F476" s="330" t="n"/>
      <c r="G476" s="1007" t="n"/>
    </row>
    <row r="477" ht="15" customHeight="1">
      <c r="A477" s="302" t="n">
        <v>1</v>
      </c>
      <c r="B477" s="343" t="inlineStr">
        <is>
          <t>F&amp;I Fire alarm system</t>
        </is>
      </c>
      <c r="C477" s="1003" t="n">
        <v>135953</v>
      </c>
      <c r="D477" s="316" t="inlineStr">
        <is>
          <t>SF</t>
        </is>
      </c>
      <c r="E477" s="978" t="n">
        <v>2</v>
      </c>
      <c r="F477" s="330">
        <f>E477*C477</f>
        <v/>
      </c>
      <c r="G477" s="977" t="n"/>
      <c r="K477" s="808" t="inlineStr">
        <is>
          <t>135,953 SF basis - see the area question on the summary sheet.</t>
        </is>
      </c>
    </row>
    <row r="478" ht="24" customHeight="1">
      <c r="A478" s="302" t="n">
        <v>2</v>
      </c>
      <c r="B478" s="343" t="inlineStr">
        <is>
          <t>F/I Vesda System Music Hall</t>
        </is>
      </c>
      <c r="C478" s="302" t="n">
        <v>1</v>
      </c>
      <c r="D478" s="316" t="inlineStr">
        <is>
          <t>LS</t>
        </is>
      </c>
      <c r="E478" s="978" t="n">
        <v>250000</v>
      </c>
      <c r="F478" s="979">
        <f>E478*C478</f>
        <v/>
      </c>
      <c r="G478" s="977" t="n"/>
      <c r="K478" s="808" t="inlineStr">
        <is>
          <t>Adopting this. We had not carried VESDA and you are right that a 64 ft volume with haze and pyro needs it.</t>
        </is>
      </c>
    </row>
    <row r="479" ht="16" customHeight="1" thickBot="1">
      <c r="A479" s="302" t="n"/>
      <c r="B479" s="311" t="n"/>
      <c r="C479" s="302" t="n"/>
      <c r="D479" s="316" t="n"/>
      <c r="E479" s="978" t="n"/>
      <c r="F479" s="330" t="n"/>
      <c r="G479" s="977" t="n"/>
    </row>
    <row r="480" ht="16" customHeight="1" thickBot="1">
      <c r="A480" s="335" t="inlineStr">
        <is>
          <t>Sub Total</t>
        </is>
      </c>
      <c r="B480" s="335">
        <f>B476</f>
        <v/>
      </c>
      <c r="C480" s="335" t="n"/>
      <c r="D480" s="336" t="n"/>
      <c r="E480" s="981" t="n"/>
      <c r="F480" s="338">
        <f>SUM(F475:F479)</f>
        <v/>
      </c>
      <c r="G480" s="983" t="n"/>
    </row>
    <row r="481">
      <c r="A481" s="306" t="n"/>
      <c r="B481" s="306" t="n"/>
      <c r="C481" s="310" t="n"/>
      <c r="D481" s="318" t="n"/>
      <c r="E481" s="991" t="n"/>
      <c r="F481" s="332" t="n"/>
      <c r="G481" s="992" t="n"/>
    </row>
    <row r="482">
      <c r="A482" s="307" t="inlineStr">
        <is>
          <t>32000</t>
        </is>
      </c>
      <c r="B482" s="310" t="inlineStr">
        <is>
          <t>SITEWORK</t>
        </is>
      </c>
      <c r="C482" s="310" t="n"/>
      <c r="D482" s="318" t="n"/>
      <c r="E482" s="991" t="n"/>
      <c r="F482" s="332" t="n"/>
      <c r="G482" s="992" t="n"/>
    </row>
    <row r="483">
      <c r="A483" s="306" t="n">
        <v>1</v>
      </c>
      <c r="B483" s="344" t="inlineStr">
        <is>
          <t>Patch / Repair / Install new sidewalks around building</t>
        </is>
      </c>
      <c r="C483" s="302" t="n">
        <v>8295</v>
      </c>
      <c r="D483" s="316" t="inlineStr">
        <is>
          <t>SF</t>
        </is>
      </c>
      <c r="E483" s="975" t="n">
        <v>13</v>
      </c>
      <c r="F483" s="330">
        <f>E483*C483</f>
        <v/>
      </c>
      <c r="G483" s="992" t="inlineStr">
        <is>
          <t>8,295sf of existing sidewalk around building</t>
        </is>
      </c>
    </row>
    <row r="484">
      <c r="A484" s="306">
        <f>A483+1</f>
        <v/>
      </c>
      <c r="B484" s="344" t="inlineStr">
        <is>
          <t>Trees</t>
        </is>
      </c>
      <c r="C484" s="302" t="n">
        <v>1</v>
      </c>
      <c r="D484" s="316" t="inlineStr">
        <is>
          <t>Allow</t>
        </is>
      </c>
      <c r="E484" s="975" t="n">
        <v>30000</v>
      </c>
      <c r="F484" s="330">
        <f>E484*C484</f>
        <v/>
      </c>
      <c r="G484" s="992" t="n"/>
    </row>
    <row r="485">
      <c r="A485" s="306">
        <f>A484+1</f>
        <v/>
      </c>
      <c r="B485" s="344" t="inlineStr">
        <is>
          <t xml:space="preserve">Fencing </t>
        </is>
      </c>
      <c r="C485" s="302" t="n">
        <v>300</v>
      </c>
      <c r="D485" s="316" t="inlineStr">
        <is>
          <t>LF</t>
        </is>
      </c>
      <c r="E485" s="975" t="n">
        <v>100</v>
      </c>
      <c r="F485" s="330">
        <f>E485*C485</f>
        <v/>
      </c>
      <c r="G485" s="992" t="n"/>
    </row>
    <row r="486">
      <c r="A486" s="306" t="n">
        <v>4</v>
      </c>
      <c r="B486" s="344" t="inlineStr">
        <is>
          <t>Fie escape egress music hall Grid F to Col. 7-17 (10' wide w/ railing)</t>
        </is>
      </c>
      <c r="C486" s="302">
        <f>238*10</f>
        <v/>
      </c>
      <c r="D486" s="316" t="inlineStr">
        <is>
          <t>SF</t>
        </is>
      </c>
      <c r="E486" s="975" t="n">
        <v>75</v>
      </c>
      <c r="F486" s="330">
        <f>E486*C486</f>
        <v/>
      </c>
      <c r="G486" s="992" t="n"/>
      <c r="I486" s="1">
        <f>238*30</f>
        <v/>
      </c>
    </row>
    <row r="487" ht="16" customHeight="1" thickBot="1">
      <c r="A487" s="306" t="n"/>
      <c r="B487" s="306" t="n"/>
      <c r="C487" s="314" t="n"/>
      <c r="D487" s="318" t="n"/>
      <c r="E487" s="1008" t="n"/>
      <c r="F487" s="332" t="n"/>
      <c r="G487" s="992" t="n"/>
    </row>
    <row r="488" ht="16" customHeight="1" thickBot="1">
      <c r="A488" s="335" t="inlineStr">
        <is>
          <t>Sub Total</t>
        </is>
      </c>
      <c r="B488" s="335">
        <f>B482</f>
        <v/>
      </c>
      <c r="C488" s="335" t="n"/>
      <c r="D488" s="336" t="n"/>
      <c r="E488" s="981" t="n"/>
      <c r="F488" s="338">
        <f>SUM(F481:F487)</f>
        <v/>
      </c>
      <c r="G488" s="983" t="n"/>
    </row>
  </sheetData>
  <mergeCells count="2">
    <mergeCell ref="A1:G1"/>
    <mergeCell ref="A8:D8"/>
  </mergeCell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B2:G13"/>
  <sheetViews>
    <sheetView zoomScale="111" workbookViewId="0">
      <selection activeCell="C13" sqref="C13"/>
    </sheetView>
  </sheetViews>
  <sheetFormatPr baseColWidth="10" defaultRowHeight="15"/>
  <cols>
    <col width="12.6640625" bestFit="1" customWidth="1" min="5" max="5"/>
    <col width="78" customWidth="1" min="7" max="7"/>
  </cols>
  <sheetData>
    <row r="2">
      <c r="G2" s="816" t="inlineStr">
        <is>
          <t>OUR QUESTION / ANALYSIS  (MT, 17 Sep)</t>
        </is>
      </c>
    </row>
    <row r="3" ht="48" customHeight="1">
      <c r="B3" t="inlineStr">
        <is>
          <t>Exec</t>
        </is>
      </c>
      <c r="C3" t="n">
        <v>10</v>
      </c>
      <c r="D3" t="n">
        <v>9200</v>
      </c>
      <c r="E3">
        <f>C3*D3</f>
        <v/>
      </c>
      <c r="G3" s="808" t="inlineStr">
        <is>
          <t>This tab is the best-evidenced page in the file and we would rather build on it than argue with it. Is the $3,141,000 the ONLY place general conditions lives? Division 013000 on the Breakdown carries site office, field tech, safety, toilets, protection, clean-up, rubbish and final clean for another $3,034,000.</t>
        </is>
      </c>
    </row>
    <row r="4" ht="24" customHeight="1">
      <c r="B4" t="inlineStr">
        <is>
          <t>PM</t>
        </is>
      </c>
      <c r="C4" s="1009" t="n">
        <v>90</v>
      </c>
      <c r="D4" t="n">
        <v>6400</v>
      </c>
      <c r="E4">
        <f>C4*D4</f>
        <v/>
      </c>
      <c r="G4" s="808" t="inlineStr">
        <is>
          <t>90 weeks - is that construction only, or does it include pre-con and closeout? Can we see it as a rate x duration so that shortening the programme visibly shortens the cost?</t>
        </is>
      </c>
    </row>
    <row r="5">
      <c r="B5" t="inlineStr">
        <is>
          <t xml:space="preserve">APM </t>
        </is>
      </c>
      <c r="C5" t="n">
        <v>90</v>
      </c>
      <c r="D5" t="n">
        <v>4600</v>
      </c>
      <c r="E5">
        <f>C5*D5</f>
        <v/>
      </c>
    </row>
    <row r="6">
      <c r="B6" t="inlineStr">
        <is>
          <t>Engineer</t>
        </is>
      </c>
      <c r="C6" t="n">
        <v>90</v>
      </c>
      <c r="D6" t="n">
        <v>3900</v>
      </c>
      <c r="E6">
        <f>C6*D6</f>
        <v/>
      </c>
    </row>
    <row r="7">
      <c r="B7" t="inlineStr">
        <is>
          <t>Accoutnant</t>
        </is>
      </c>
      <c r="C7" t="n">
        <v>10</v>
      </c>
      <c r="D7" t="n">
        <v>2800</v>
      </c>
      <c r="E7">
        <f>C7*D7</f>
        <v/>
      </c>
    </row>
    <row r="8">
      <c r="E8">
        <f>C8*D8</f>
        <v/>
      </c>
    </row>
    <row r="9" ht="24" customHeight="1">
      <c r="B9" t="inlineStr">
        <is>
          <t>Super</t>
        </is>
      </c>
      <c r="C9" s="1009" t="n">
        <v>90</v>
      </c>
      <c r="D9" t="n">
        <v>6000</v>
      </c>
      <c r="E9">
        <f>C9*D9</f>
        <v/>
      </c>
      <c r="G9" s="808" t="inlineStr">
        <is>
          <t>Three superintendents for the full 90 weeks each - all three for the whole period, or overlapping phases?</t>
        </is>
      </c>
    </row>
    <row r="10">
      <c r="B10" t="inlineStr">
        <is>
          <t>Super</t>
        </is>
      </c>
      <c r="C10" s="1009" t="n">
        <v>90</v>
      </c>
      <c r="D10" t="n">
        <v>6000</v>
      </c>
      <c r="E10">
        <f>C10*D10</f>
        <v/>
      </c>
    </row>
    <row r="11">
      <c r="B11" t="inlineStr">
        <is>
          <t>Super</t>
        </is>
      </c>
      <c r="C11" s="1009" t="n">
        <v>90</v>
      </c>
      <c r="D11" t="n">
        <v>6000</v>
      </c>
      <c r="E11">
        <f>C11*D11</f>
        <v/>
      </c>
    </row>
    <row r="12">
      <c r="B12" t="inlineStr">
        <is>
          <t>General Super</t>
        </is>
      </c>
      <c r="C12" t="n">
        <v>10</v>
      </c>
      <c r="D12" t="n">
        <v>6000</v>
      </c>
      <c r="E12">
        <f>C12*D12</f>
        <v/>
      </c>
    </row>
    <row r="13">
      <c r="E13" s="1010">
        <f>SUM(E3:E12)</f>
        <v/>
      </c>
    </row>
  </sheetData>
  <pageMargins left="0.7" right="0.7" top="0.75" bottom="0.75" header="0.3" footer="0.3"/>
</worksheet>
</file>

<file path=xl/worksheets/sheet7.xml><?xml version="1.0" encoding="utf-8"?>
<worksheet xmlns="http://schemas.openxmlformats.org/spreadsheetml/2006/main">
  <sheetPr codeName="Sheet1">
    <tabColor rgb="FFFF0000"/>
    <outlinePr summaryBelow="1" summaryRight="1"/>
    <pageSetUpPr fitToPage="1"/>
  </sheetPr>
  <dimension ref="B8:H35"/>
  <sheetViews>
    <sheetView zoomScaleNormal="100" workbookViewId="0">
      <selection activeCell="C8" sqref="C8"/>
    </sheetView>
  </sheetViews>
  <sheetFormatPr baseColWidth="10" defaultColWidth="9.5" defaultRowHeight="15"/>
  <cols>
    <col width="1.33203125" customWidth="1" style="1" min="1" max="1"/>
    <col width="22.5" bestFit="1" customWidth="1" style="1" min="2" max="2"/>
    <col width="19" customWidth="1" style="1" min="3" max="3"/>
    <col width="20.83203125" customWidth="1" style="1" min="4" max="5"/>
    <col width="21.5" customWidth="1" style="1" min="6" max="6"/>
    <col width="20" customWidth="1" style="1" min="7" max="7"/>
    <col width="20.5" customWidth="1" style="1" min="8" max="8"/>
    <col width="10.5" bestFit="1" customWidth="1" style="1" min="9" max="9"/>
    <col width="2.5" customWidth="1" style="1" min="10" max="10"/>
    <col width="9.5" customWidth="1" style="1" min="11" max="13"/>
    <col width="9.5" customWidth="1" style="1" min="14" max="14"/>
    <col width="9.5" customWidth="1" style="1" min="15" max="16384"/>
  </cols>
  <sheetData>
    <row r="1" ht="6" customHeight="1"/>
    <row r="8" ht="19" customHeight="1">
      <c r="B8" s="26" t="inlineStr">
        <is>
          <t>Cost Report Date:</t>
        </is>
      </c>
      <c r="C8" s="120" t="n">
        <v>44957</v>
      </c>
      <c r="F8" s="26" t="inlineStr">
        <is>
          <t>Venue Capacity:</t>
        </is>
      </c>
      <c r="G8" s="65" t="inlineStr">
        <is>
          <t>TBD</t>
        </is>
      </c>
    </row>
    <row r="9" ht="19" customHeight="1">
      <c r="B9" s="26" t="inlineStr">
        <is>
          <t>Project Name:</t>
        </is>
      </c>
      <c r="C9" s="64" t="n"/>
      <c r="F9" s="26" t="inlineStr">
        <is>
          <t>Landlord Work Start Date:</t>
        </is>
      </c>
      <c r="G9" s="65" t="inlineStr">
        <is>
          <t>TBD</t>
        </is>
      </c>
    </row>
    <row r="10" ht="19" customHeight="1">
      <c r="B10" s="26" t="inlineStr">
        <is>
          <t>Location:</t>
        </is>
      </c>
      <c r="C10" s="64" t="n"/>
      <c r="F10" s="26" t="inlineStr">
        <is>
          <t>LNE Work Start Date:</t>
        </is>
      </c>
      <c r="G10" s="65" t="inlineStr">
        <is>
          <t>TBD</t>
        </is>
      </c>
    </row>
    <row r="11" ht="19" customHeight="1">
      <c r="B11" s="26" t="inlineStr">
        <is>
          <t>Address:</t>
        </is>
      </c>
      <c r="C11" s="64" t="n"/>
      <c r="F11" s="26" t="inlineStr">
        <is>
          <t>Certificate of Occupancy:</t>
        </is>
      </c>
      <c r="G11" s="65" t="inlineStr">
        <is>
          <t>TBD</t>
        </is>
      </c>
    </row>
    <row r="12" ht="19" customHeight="1">
      <c r="B12" s="26" t="inlineStr">
        <is>
          <t>Project Number:</t>
        </is>
      </c>
      <c r="C12" s="64" t="n"/>
      <c r="F12" s="26" t="inlineStr">
        <is>
          <t>First Show Date:</t>
        </is>
      </c>
      <c r="G12" s="65" t="inlineStr">
        <is>
          <t>TBD</t>
        </is>
      </c>
    </row>
    <row r="13" ht="19" customHeight="1">
      <c r="B13" s="26" t="inlineStr">
        <is>
          <t>Budget:</t>
        </is>
      </c>
      <c r="C13" s="121">
        <f>C25</f>
        <v/>
      </c>
      <c r="F13" s="26" t="inlineStr">
        <is>
          <t>Project Completion Date:</t>
        </is>
      </c>
      <c r="G13" s="65" t="inlineStr">
        <is>
          <t>TBD</t>
        </is>
      </c>
    </row>
    <row r="14" ht="19" customHeight="1">
      <c r="B14" s="26" t="inlineStr">
        <is>
          <t>Venue EVP:</t>
        </is>
      </c>
      <c r="C14" s="64" t="inlineStr">
        <is>
          <t>TBD</t>
        </is>
      </c>
      <c r="F14" s="26" t="inlineStr">
        <is>
          <t>Project Manager:</t>
        </is>
      </c>
      <c r="G14" s="64" t="inlineStr">
        <is>
          <t>TBD</t>
        </is>
      </c>
    </row>
    <row r="15" ht="19" customHeight="1">
      <c r="B15" s="26" t="n"/>
      <c r="C15" s="64" t="n"/>
      <c r="F15" s="26" t="n"/>
      <c r="G15" s="64" t="n"/>
    </row>
    <row r="16" ht="16" customHeight="1" thickBot="1"/>
    <row r="17" ht="15" customHeight="1">
      <c r="B17" s="769" t="inlineStr">
        <is>
          <t xml:space="preserve">Description </t>
        </is>
      </c>
      <c r="C17" s="769" t="inlineStr">
        <is>
          <t>Budget</t>
        </is>
      </c>
      <c r="D17" s="764" t="inlineStr">
        <is>
          <t>Committed Costs     Total</t>
        </is>
      </c>
      <c r="E17" s="764" t="inlineStr">
        <is>
          <t>Costs to Date           Total</t>
        </is>
      </c>
      <c r="F17" s="764" t="inlineStr">
        <is>
          <t>Remaining Estimate</t>
        </is>
      </c>
      <c r="G17" s="764" t="inlineStr">
        <is>
          <t>Estimated Final Cost</t>
        </is>
      </c>
      <c r="H17" s="764" t="inlineStr">
        <is>
          <t>Budget vs EFC Variance</t>
        </is>
      </c>
    </row>
    <row r="18" ht="16.5" customHeight="1" thickBot="1">
      <c r="B18" s="1011" t="n"/>
      <c r="C18" s="1011" t="n"/>
      <c r="D18" s="1011" t="n"/>
      <c r="E18" s="1011" t="n"/>
      <c r="F18" s="1011" t="n"/>
      <c r="G18" s="1011" t="n"/>
      <c r="H18" s="1011" t="n"/>
    </row>
    <row r="19">
      <c r="B19" s="22">
        <f>'Project Detail'!D4</f>
        <v/>
      </c>
      <c r="C19" s="29">
        <f>'Project Summary '!C9</f>
        <v/>
      </c>
      <c r="D19" s="29">
        <f>'Project Summary '!D9</f>
        <v/>
      </c>
      <c r="E19" s="29">
        <f>'Project Summary '!E9</f>
        <v/>
      </c>
      <c r="F19" s="29">
        <f>'Project Summary '!F9</f>
        <v/>
      </c>
      <c r="G19" s="29">
        <f>'Project Summary '!G9</f>
        <v/>
      </c>
      <c r="H19" s="30">
        <f>'Project Summary '!H9</f>
        <v/>
      </c>
    </row>
    <row r="20">
      <c r="B20" s="119">
        <f>'Project Detail'!D33</f>
        <v/>
      </c>
      <c r="C20" s="176">
        <f>'Project Summary '!C15</f>
        <v/>
      </c>
      <c r="D20" s="176">
        <f>'Project Summary '!D15</f>
        <v/>
      </c>
      <c r="E20" s="176">
        <f>'Project Summary '!E15</f>
        <v/>
      </c>
      <c r="F20" s="176">
        <f>'Project Summary '!F15</f>
        <v/>
      </c>
      <c r="G20" s="176">
        <f>'Project Summary '!G15</f>
        <v/>
      </c>
      <c r="H20" s="117">
        <f>'Project Summary '!H15</f>
        <v/>
      </c>
    </row>
    <row r="21" ht="16" customHeight="1" thickBot="1">
      <c r="B21" s="141" t="inlineStr">
        <is>
          <t>FF&amp;E Costs</t>
        </is>
      </c>
      <c r="C21" s="142">
        <f>'Project Summary '!C27</f>
        <v/>
      </c>
      <c r="D21" s="142">
        <f>'Project Summary '!D27</f>
        <v/>
      </c>
      <c r="E21" s="142">
        <f>'Project Summary '!E27</f>
        <v/>
      </c>
      <c r="F21" s="142">
        <f>'Project Summary '!F27</f>
        <v/>
      </c>
      <c r="G21" s="142">
        <f>'Project Summary '!G27</f>
        <v/>
      </c>
      <c r="H21" s="143">
        <f>'Project Summary '!H27</f>
        <v/>
      </c>
    </row>
    <row r="22" ht="4.5" customHeight="1" thickBot="1">
      <c r="B22" s="9" t="n"/>
      <c r="C22" s="140" t="n"/>
      <c r="D22" s="140" t="n"/>
      <c r="E22" s="140" t="n"/>
      <c r="F22" s="140" t="n"/>
      <c r="G22" s="140" t="n"/>
      <c r="H22" s="140" t="n"/>
    </row>
    <row r="23">
      <c r="B23" s="22">
        <f>'Project Summary '!B29</f>
        <v/>
      </c>
      <c r="C23" s="29">
        <f>SUM(C19:C21)</f>
        <v/>
      </c>
      <c r="D23" s="29">
        <f>SUM(D19:D21)</f>
        <v/>
      </c>
      <c r="E23" s="29">
        <f>SUM(E19:E21)</f>
        <v/>
      </c>
      <c r="F23" s="29">
        <f>SUM(F19:F21)</f>
        <v/>
      </c>
      <c r="G23" s="29">
        <f>SUM(G19:G21)</f>
        <v/>
      </c>
      <c r="H23" s="30">
        <f>SUM(H19:H21)</f>
        <v/>
      </c>
    </row>
    <row r="24" ht="16" customHeight="1" thickBot="1">
      <c r="B24" s="24" t="inlineStr">
        <is>
          <t>Total Contingency</t>
        </is>
      </c>
      <c r="C24" s="33">
        <f>'Project Summary '!C30</f>
        <v/>
      </c>
      <c r="D24" s="33" t="n"/>
      <c r="E24" s="33" t="n"/>
      <c r="F24" s="33">
        <f>Contingency!G9</f>
        <v/>
      </c>
      <c r="G24" s="33">
        <f>Contingency!G9</f>
        <v/>
      </c>
      <c r="H24" s="34">
        <f>C24-G24</f>
        <v/>
      </c>
    </row>
    <row r="25" ht="16" customHeight="1" thickBot="1">
      <c r="B25" s="104" t="inlineStr">
        <is>
          <t>TOTAL</t>
        </is>
      </c>
      <c r="C25" s="105">
        <f>SUM(C23:C24)</f>
        <v/>
      </c>
      <c r="D25" s="105">
        <f>SUM(D23:D24)</f>
        <v/>
      </c>
      <c r="E25" s="105">
        <f>SUM(E23:E24)</f>
        <v/>
      </c>
      <c r="F25" s="105">
        <f>SUM(F23:F24)</f>
        <v/>
      </c>
      <c r="G25" s="105">
        <f>SUM(G23:G24)</f>
        <v/>
      </c>
      <c r="H25" s="106">
        <f>SUM(H23:H24)</f>
        <v/>
      </c>
    </row>
    <row r="26" ht="6" customHeight="1">
      <c r="C26" s="32" t="n"/>
      <c r="D26" s="32" t="n"/>
      <c r="E26" s="32" t="n"/>
      <c r="F26" s="32" t="n"/>
      <c r="G26" s="32" t="n"/>
      <c r="H26" s="32" t="n"/>
    </row>
    <row r="27" ht="16" customHeight="1" thickBot="1"/>
    <row r="28" ht="16" customHeight="1" thickBot="1">
      <c r="B28" s="59" t="inlineStr">
        <is>
          <t>Risk Summary</t>
        </is>
      </c>
      <c r="C28" s="1012" t="n"/>
      <c r="D28" s="1013" t="n"/>
      <c r="F28" s="32" t="n"/>
    </row>
    <row r="29" ht="16" customHeight="1" thickBot="1">
      <c r="B29" s="1014" t="inlineStr">
        <is>
          <t>Risk Report Total</t>
        </is>
      </c>
      <c r="C29" s="1013" t="n"/>
      <c r="D29" s="99">
        <f>'Risk Report'!G15</f>
        <v/>
      </c>
    </row>
    <row r="30" ht="16" customHeight="1" thickBot="1">
      <c r="B30" s="1014" t="inlineStr">
        <is>
          <t>Remaining Contingency</t>
        </is>
      </c>
      <c r="C30" s="1013" t="n"/>
      <c r="D30" s="99">
        <f>'Risk Report'!G19</f>
        <v/>
      </c>
    </row>
    <row r="31" ht="16" customHeight="1" thickBot="1">
      <c r="B31" s="1014" t="inlineStr">
        <is>
          <t>Exposure</t>
        </is>
      </c>
      <c r="C31" s="1013" t="n"/>
      <c r="D31" s="99">
        <f>'Risk Report'!G23</f>
        <v/>
      </c>
    </row>
    <row r="32" ht="16" customHeight="1" thickBot="1">
      <c r="B32" s="1015" t="inlineStr">
        <is>
          <t>Estimated Final Cost (Including Risk Items)</t>
        </is>
      </c>
      <c r="C32" s="1013" t="n"/>
      <c r="D32" s="103">
        <f>G25+D31</f>
        <v/>
      </c>
      <c r="E32" s="32" t="n"/>
    </row>
    <row r="34">
      <c r="D34" s="32" t="n"/>
      <c r="H34" s="32" t="n"/>
    </row>
    <row r="35" ht="16" customHeight="1">
      <c r="B35" s="45" t="n"/>
      <c r="F35" s="73" t="n"/>
    </row>
  </sheetData>
  <mergeCells count="12">
    <mergeCell ref="B28:D28"/>
    <mergeCell ref="B30:C30"/>
    <mergeCell ref="E17:E18"/>
    <mergeCell ref="B29:C29"/>
    <mergeCell ref="G17:G18"/>
    <mergeCell ref="H17:H18"/>
    <mergeCell ref="C17:C18"/>
    <mergeCell ref="F17:F18"/>
    <mergeCell ref="B17:B18"/>
    <mergeCell ref="D17:D18"/>
    <mergeCell ref="B32:C32"/>
    <mergeCell ref="B31:C31"/>
  </mergeCells>
  <pageMargins left="0.7" right="0.7" top="0.75" bottom="0.75" header="0.3" footer="0.3"/>
  <pageSetup orientation="landscape" scale="77" fitToHeight="0"/>
  <headerFooter>
    <oddHeader>&amp;C&amp;"-,Bold"&amp;14 Project At-a-Glance</oddHeader>
    <oddFooter>&amp;CHouston Terminal_x000a_Page &amp;P of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codeName="Sheet2">
    <tabColor rgb="FFFF0000"/>
    <outlinePr summaryBelow="1" summaryRight="1"/>
    <pageSetUpPr fitToPage="1"/>
  </sheetPr>
  <dimension ref="B2:I34"/>
  <sheetViews>
    <sheetView zoomScale="115" zoomScaleNormal="115" workbookViewId="0">
      <pane ySplit="3" topLeftCell="A4" activePane="bottomLeft" state="frozen"/>
      <selection pane="bottomLeft" activeCell="C5" sqref="C5"/>
    </sheetView>
  </sheetViews>
  <sheetFormatPr baseColWidth="10" defaultColWidth="9.5" defaultRowHeight="15"/>
  <cols>
    <col width="0.83203125" customWidth="1" style="1" min="1" max="1"/>
    <col width="34.6640625" bestFit="1" customWidth="1" style="1" min="2" max="2"/>
    <col width="15.5" customWidth="1" style="1" min="3" max="3"/>
    <col width="16.5" bestFit="1" customWidth="1" style="1" min="4" max="4"/>
    <col width="13.5" bestFit="1" customWidth="1" style="1" min="5" max="5"/>
    <col width="15.5" customWidth="1" style="1" min="6" max="6"/>
    <col width="14.5" bestFit="1" customWidth="1" style="1" min="7" max="7"/>
    <col width="13.5" customWidth="1" style="1" min="8" max="8"/>
    <col width="0.83203125" customWidth="1" style="1" min="9" max="9"/>
    <col width="9.5" customWidth="1" style="1" min="10" max="16384"/>
  </cols>
  <sheetData>
    <row r="1" ht="6" customHeight="1" thickBot="1"/>
    <row r="2" ht="15" customHeight="1" thickBot="1">
      <c r="B2" s="773" t="inlineStr">
        <is>
          <t xml:space="preserve">Description </t>
        </is>
      </c>
      <c r="C2" s="773" t="inlineStr">
        <is>
          <t>Budget</t>
        </is>
      </c>
      <c r="D2" s="107" t="inlineStr">
        <is>
          <t>Committed Costs</t>
        </is>
      </c>
      <c r="E2" s="230" t="inlineStr">
        <is>
          <t>Costs to Date</t>
        </is>
      </c>
      <c r="F2" s="771" t="inlineStr">
        <is>
          <t>Remaining Estimate</t>
        </is>
      </c>
      <c r="G2" s="771" t="inlineStr">
        <is>
          <t>Estimated Final Cost</t>
        </is>
      </c>
      <c r="H2" s="771" t="inlineStr">
        <is>
          <t>Budget vs EFC Variance</t>
        </is>
      </c>
    </row>
    <row r="3" ht="15.75" customHeight="1" thickBot="1">
      <c r="B3" s="1011" t="n"/>
      <c r="C3" s="1011" t="n"/>
      <c r="D3" s="59" t="inlineStr">
        <is>
          <t>Total</t>
        </is>
      </c>
      <c r="E3" s="59" t="inlineStr">
        <is>
          <t>Total</t>
        </is>
      </c>
      <c r="F3" s="1011" t="n"/>
      <c r="G3" s="1011" t="n"/>
      <c r="H3" s="1011" t="n"/>
    </row>
    <row r="4" ht="16" customHeight="1" thickBot="1">
      <c r="B4" s="8">
        <f>'Project Detail'!D4</f>
        <v/>
      </c>
      <c r="C4" s="11" t="n"/>
      <c r="D4" s="116" t="n"/>
      <c r="E4" s="116" t="n"/>
      <c r="F4" s="11" t="n"/>
      <c r="G4" s="11" t="n"/>
      <c r="H4" s="11" t="n"/>
    </row>
    <row r="5">
      <c r="B5" s="20">
        <f>'Project Detail'!D5</f>
        <v/>
      </c>
      <c r="C5" s="36">
        <f>'Project Detail'!F10</f>
        <v/>
      </c>
      <c r="D5" s="29">
        <f>'Project Detail'!G10</f>
        <v/>
      </c>
      <c r="E5" s="29">
        <f>'Project Detail'!K10</f>
        <v/>
      </c>
      <c r="F5" s="29">
        <f>'Project Detail'!L10</f>
        <v/>
      </c>
      <c r="G5" s="29">
        <f>'Project Detail'!M10</f>
        <v/>
      </c>
      <c r="H5" s="30">
        <f>'Project Detail'!N10</f>
        <v/>
      </c>
    </row>
    <row r="6" ht="16" customHeight="1" thickBot="1">
      <c r="B6" s="21">
        <f>'Project Detail'!D11</f>
        <v/>
      </c>
      <c r="C6" s="37">
        <f>'Project Detail'!F16</f>
        <v/>
      </c>
      <c r="D6" s="50">
        <f>'Project Detail'!G16</f>
        <v/>
      </c>
      <c r="E6" s="176">
        <f>'Project Detail'!K16</f>
        <v/>
      </c>
      <c r="F6" s="176">
        <f>'Project Detail'!L16</f>
        <v/>
      </c>
      <c r="G6" s="176">
        <f>'Project Detail'!M16</f>
        <v/>
      </c>
      <c r="H6" s="117">
        <f>'Project Detail'!N16</f>
        <v/>
      </c>
    </row>
    <row r="7" hidden="1">
      <c r="B7" s="21">
        <f>'Project Detail'!D17</f>
        <v/>
      </c>
      <c r="C7" s="38">
        <f>'Project Detail'!F22</f>
        <v/>
      </c>
      <c r="D7" s="50">
        <f>'Project Detail'!G22</f>
        <v/>
      </c>
      <c r="E7" s="176">
        <f>'Project Detail'!K22</f>
        <v/>
      </c>
      <c r="F7" s="176">
        <f>'Project Detail'!L22</f>
        <v/>
      </c>
      <c r="G7" s="176">
        <f>'Project Detail'!M22</f>
        <v/>
      </c>
      <c r="H7" s="117">
        <f>'Project Detail'!N22</f>
        <v/>
      </c>
    </row>
    <row r="8" hidden="1" ht="16" customHeight="1" thickBot="1">
      <c r="B8" s="21">
        <f>'Project Detail'!D23</f>
        <v/>
      </c>
      <c r="C8" s="37">
        <f>'Project Detail'!F28</f>
        <v/>
      </c>
      <c r="D8" s="50">
        <f>'Project Detail'!G28</f>
        <v/>
      </c>
      <c r="E8" s="176">
        <f>'Project Detail'!K28</f>
        <v/>
      </c>
      <c r="F8" s="176">
        <f>'Project Detail'!L28</f>
        <v/>
      </c>
      <c r="G8" s="176">
        <f>'Project Detail'!M28</f>
        <v/>
      </c>
      <c r="H8" s="117">
        <f>'Project Detail'!N28</f>
        <v/>
      </c>
    </row>
    <row r="9" ht="16" customHeight="1" thickBot="1">
      <c r="B9" s="23" t="inlineStr">
        <is>
          <t xml:space="preserve"> Building Costs Total</t>
        </is>
      </c>
      <c r="C9" s="39">
        <f>SUM(C5:C8)</f>
        <v/>
      </c>
      <c r="D9" s="39">
        <f>SUM(D5:D8)</f>
        <v/>
      </c>
      <c r="E9" s="39">
        <f>SUM(E5:E8)</f>
        <v/>
      </c>
      <c r="F9" s="39">
        <f>SUM(F5:F8)</f>
        <v/>
      </c>
      <c r="G9" s="39">
        <f>SUM(G5:G8)</f>
        <v/>
      </c>
      <c r="H9" s="35">
        <f>SUM(H5:H8)</f>
        <v/>
      </c>
    </row>
    <row r="10" ht="5.25" customHeight="1">
      <c r="C10" s="12" t="n"/>
      <c r="D10" s="12" t="n"/>
      <c r="E10" s="12" t="n"/>
      <c r="F10" s="12" t="n"/>
      <c r="G10" s="12" t="n"/>
      <c r="H10" s="12" t="n"/>
    </row>
    <row r="11" ht="16" customHeight="1" thickBot="1">
      <c r="B11" s="9">
        <f>'Project Detail'!D33</f>
        <v/>
      </c>
      <c r="C11" s="12" t="n"/>
      <c r="D11" s="12" t="n"/>
      <c r="E11" s="12" t="n"/>
      <c r="F11" s="12" t="n"/>
      <c r="G11" s="12" t="n"/>
      <c r="H11" s="12" t="n"/>
    </row>
    <row r="12">
      <c r="B12" s="20">
        <f>'Project Detail'!D34</f>
        <v/>
      </c>
      <c r="C12" s="40">
        <f>'Project Detail'!F39</f>
        <v/>
      </c>
      <c r="D12" s="29">
        <f>'Project Detail'!G39</f>
        <v/>
      </c>
      <c r="E12" s="29">
        <f>'Project Detail'!K39</f>
        <v/>
      </c>
      <c r="F12" s="29">
        <f>'Project Detail'!L39</f>
        <v/>
      </c>
      <c r="G12" s="29">
        <f>'Project Detail'!M39</f>
        <v/>
      </c>
      <c r="H12" s="30">
        <f>'Project Detail'!N39</f>
        <v/>
      </c>
    </row>
    <row r="13">
      <c r="B13" s="21">
        <f>'Project Detail'!D40</f>
        <v/>
      </c>
      <c r="C13" s="38">
        <f>'Project Detail'!F45</f>
        <v/>
      </c>
      <c r="D13" s="50">
        <f>'Project Detail'!G45</f>
        <v/>
      </c>
      <c r="E13" s="176">
        <f>'Project Detail'!K45</f>
        <v/>
      </c>
      <c r="F13" s="176">
        <f>'Project Detail'!L45</f>
        <v/>
      </c>
      <c r="G13" s="176">
        <f>'Project Detail'!M45</f>
        <v/>
      </c>
      <c r="H13" s="117">
        <f>'Project Detail'!N45</f>
        <v/>
      </c>
    </row>
    <row r="14" ht="16" customHeight="1" thickBot="1">
      <c r="B14" s="21">
        <f>'Project Detail'!D46</f>
        <v/>
      </c>
      <c r="C14" s="38">
        <f>'Project Detail'!F57</f>
        <v/>
      </c>
      <c r="D14" s="50">
        <f>'Project Detail'!G57</f>
        <v/>
      </c>
      <c r="E14" s="176">
        <f>'Project Detail'!K57</f>
        <v/>
      </c>
      <c r="F14" s="176">
        <f>'Project Detail'!L57</f>
        <v/>
      </c>
      <c r="G14" s="176">
        <f>'Project Detail'!M57</f>
        <v/>
      </c>
      <c r="H14" s="117">
        <f>'Project Detail'!N57</f>
        <v/>
      </c>
    </row>
    <row r="15" ht="16" customHeight="1" thickBot="1">
      <c r="B15" s="23" t="inlineStr">
        <is>
          <t>Soft Costs Total</t>
        </is>
      </c>
      <c r="C15" s="39">
        <f>SUM(C12:C14)</f>
        <v/>
      </c>
      <c r="D15" s="39">
        <f>SUM(D12:D14)</f>
        <v/>
      </c>
      <c r="E15" s="39">
        <f>SUM(E12:E14)</f>
        <v/>
      </c>
      <c r="F15" s="39">
        <f>SUM(F12:F14)</f>
        <v/>
      </c>
      <c r="G15" s="39">
        <f>SUM(G12:G14)</f>
        <v/>
      </c>
      <c r="H15" s="35">
        <f>SUM(H12:H14)</f>
        <v/>
      </c>
    </row>
    <row r="16" ht="5.25" customHeight="1">
      <c r="C16" s="12" t="n"/>
      <c r="D16" s="12" t="n"/>
      <c r="E16" s="12" t="n"/>
      <c r="F16" s="12" t="n"/>
      <c r="G16" s="12" t="n"/>
      <c r="H16" s="12" t="n"/>
    </row>
    <row r="17" ht="16" customHeight="1" thickBot="1">
      <c r="B17" s="25">
        <f>'Project Detail'!D62</f>
        <v/>
      </c>
      <c r="C17" s="12" t="n"/>
      <c r="D17" s="12" t="n"/>
      <c r="E17" s="12" t="n"/>
      <c r="F17" s="12" t="n"/>
      <c r="G17" s="12" t="n"/>
      <c r="H17" s="12" t="n"/>
    </row>
    <row r="18">
      <c r="B18" s="17">
        <f>'Project Detail'!D63</f>
        <v/>
      </c>
      <c r="C18" s="40">
        <f>'Project Detail'!F82</f>
        <v/>
      </c>
      <c r="D18" s="29">
        <f>'Project Detail'!G82</f>
        <v/>
      </c>
      <c r="E18" s="29">
        <f>'Project Detail'!K82</f>
        <v/>
      </c>
      <c r="F18" s="29">
        <f>'Project Detail'!L82</f>
        <v/>
      </c>
      <c r="G18" s="29">
        <f>'Project Detail'!M82</f>
        <v/>
      </c>
      <c r="H18" s="30">
        <f>'Project Detail'!N82</f>
        <v/>
      </c>
      <c r="I18" s="32" t="n"/>
    </row>
    <row r="19">
      <c r="B19" s="18">
        <f>'Project Detail'!D83</f>
        <v/>
      </c>
      <c r="C19" s="38">
        <f>'Project Detail'!F88</f>
        <v/>
      </c>
      <c r="D19" s="50">
        <f>'Project Detail'!G88</f>
        <v/>
      </c>
      <c r="E19" s="176">
        <f>'Project Detail'!K88</f>
        <v/>
      </c>
      <c r="F19" s="176">
        <f>'Project Detail'!L88</f>
        <v/>
      </c>
      <c r="G19" s="176">
        <f>'Project Detail'!M88</f>
        <v/>
      </c>
      <c r="H19" s="117">
        <f>'Project Detail'!N88</f>
        <v/>
      </c>
      <c r="I19" s="32" t="n"/>
    </row>
    <row r="20">
      <c r="B20" s="19">
        <f>'Project Detail'!D89</f>
        <v/>
      </c>
      <c r="C20" s="38">
        <f>'Project Detail'!F92</f>
        <v/>
      </c>
      <c r="D20" s="50">
        <f>'Project Detail'!G92</f>
        <v/>
      </c>
      <c r="E20" s="176">
        <f>'Project Detail'!K92</f>
        <v/>
      </c>
      <c r="F20" s="176">
        <f>'Project Detail'!L92</f>
        <v/>
      </c>
      <c r="G20" s="176">
        <f>'Project Detail'!M92</f>
        <v/>
      </c>
      <c r="H20" s="117">
        <f>'Project Detail'!N92</f>
        <v/>
      </c>
      <c r="I20" s="32" t="n"/>
    </row>
    <row r="21">
      <c r="B21" s="18">
        <f>'Project Detail'!D93</f>
        <v/>
      </c>
      <c r="C21" s="38">
        <f>'Project Detail'!F99</f>
        <v/>
      </c>
      <c r="D21" s="38">
        <f>'Project Detail'!G99</f>
        <v/>
      </c>
      <c r="E21" s="176">
        <f>'Project Detail'!K99</f>
        <v/>
      </c>
      <c r="F21" s="176">
        <f>'Project Detail'!L99</f>
        <v/>
      </c>
      <c r="G21" s="176">
        <f>'Project Detail'!M99</f>
        <v/>
      </c>
      <c r="H21" s="117">
        <f>'Project Detail'!N99</f>
        <v/>
      </c>
      <c r="I21" s="32" t="n"/>
    </row>
    <row r="22">
      <c r="B22" s="18">
        <f>'Project Detail'!D100</f>
        <v/>
      </c>
      <c r="C22" s="38">
        <f>'Project Detail'!F118</f>
        <v/>
      </c>
      <c r="D22" s="38">
        <f>'Project Detail'!G118</f>
        <v/>
      </c>
      <c r="E22" s="176">
        <f>'Project Detail'!K118</f>
        <v/>
      </c>
      <c r="F22" s="176">
        <f>'Project Detail'!L118</f>
        <v/>
      </c>
      <c r="G22" s="176">
        <f>'Project Detail'!M118</f>
        <v/>
      </c>
      <c r="H22" s="117">
        <f>'Project Detail'!N118</f>
        <v/>
      </c>
      <c r="I22" s="32" t="n"/>
    </row>
    <row r="23">
      <c r="B23" s="18">
        <f>'Project Detail'!D119</f>
        <v/>
      </c>
      <c r="C23" s="38">
        <f>'Project Detail'!F130</f>
        <v/>
      </c>
      <c r="D23" s="38">
        <f>'Project Detail'!G130</f>
        <v/>
      </c>
      <c r="E23" s="176">
        <f>'Project Detail'!K130</f>
        <v/>
      </c>
      <c r="F23" s="176">
        <f>'Project Detail'!L130</f>
        <v/>
      </c>
      <c r="G23" s="176">
        <f>'Project Detail'!M130</f>
        <v/>
      </c>
      <c r="H23" s="117">
        <f>'Project Detail'!N130</f>
        <v/>
      </c>
      <c r="I23" s="32" t="n"/>
    </row>
    <row r="24">
      <c r="B24" s="18">
        <f>'Project Detail'!D131</f>
        <v/>
      </c>
      <c r="C24" s="38">
        <f>'Project Detail'!F138</f>
        <v/>
      </c>
      <c r="D24" s="38">
        <f>'Project Detail'!G138</f>
        <v/>
      </c>
      <c r="E24" s="176">
        <f>'Project Detail'!K138</f>
        <v/>
      </c>
      <c r="F24" s="176">
        <f>'Project Detail'!L138</f>
        <v/>
      </c>
      <c r="G24" s="176">
        <f>'Project Detail'!M138</f>
        <v/>
      </c>
      <c r="H24" s="117">
        <f>'Project Detail'!N138</f>
        <v/>
      </c>
      <c r="I24" s="32" t="n"/>
    </row>
    <row r="25">
      <c r="B25" s="18">
        <f>'Project Detail'!D139</f>
        <v/>
      </c>
      <c r="C25" s="85">
        <f>'Project Detail'!F150</f>
        <v/>
      </c>
      <c r="D25" s="85">
        <f>'Project Detail'!G150</f>
        <v/>
      </c>
      <c r="E25" s="176">
        <f>'Project Detail'!K150</f>
        <v/>
      </c>
      <c r="F25" s="176">
        <f>'Project Detail'!L150</f>
        <v/>
      </c>
      <c r="G25" s="176">
        <f>'Project Detail'!M150</f>
        <v/>
      </c>
      <c r="H25" s="117">
        <f>'Project Detail'!N150</f>
        <v/>
      </c>
      <c r="I25" s="32" t="n"/>
    </row>
    <row r="26" ht="16" customHeight="1" thickBot="1">
      <c r="B26" s="18">
        <f>'Project Detail'!D151</f>
        <v/>
      </c>
      <c r="C26" s="38">
        <f>'Project Detail'!F166</f>
        <v/>
      </c>
      <c r="D26" s="38">
        <f>'Project Detail'!G166</f>
        <v/>
      </c>
      <c r="E26" s="176">
        <f>'Project Detail'!K166</f>
        <v/>
      </c>
      <c r="F26" s="176">
        <f>'Project Detail'!L166</f>
        <v/>
      </c>
      <c r="G26" s="176">
        <f>'Project Detail'!M166</f>
        <v/>
      </c>
      <c r="H26" s="117">
        <f>'Project Detail'!N166</f>
        <v/>
      </c>
      <c r="I26" s="32" t="n"/>
    </row>
    <row r="27" ht="16" customHeight="1" thickBot="1">
      <c r="B27" s="23" t="inlineStr">
        <is>
          <t>FF&amp;E Costs Total</t>
        </is>
      </c>
      <c r="C27" s="39">
        <f>SUM(C18:C26)</f>
        <v/>
      </c>
      <c r="D27" s="39">
        <f>SUM(D18:D26)</f>
        <v/>
      </c>
      <c r="E27" s="39">
        <f>SUM(E18:E26)</f>
        <v/>
      </c>
      <c r="F27" s="39">
        <f>SUM(F18:F26)</f>
        <v/>
      </c>
      <c r="G27" s="39">
        <f>SUM(G18:G26)</f>
        <v/>
      </c>
      <c r="H27" s="35">
        <f>SUM(H18:H26)</f>
        <v/>
      </c>
      <c r="I27" s="32" t="n"/>
    </row>
    <row r="28" ht="5.25" customHeight="1" thickBot="1">
      <c r="C28" s="12" t="n"/>
      <c r="D28" s="12" t="n"/>
      <c r="E28" s="12" t="n"/>
      <c r="F28" s="12" t="n"/>
      <c r="G28" s="12" t="n"/>
      <c r="H28" s="12" t="n"/>
    </row>
    <row r="29">
      <c r="B29" s="16" t="inlineStr">
        <is>
          <t>Sub-Total</t>
        </is>
      </c>
      <c r="C29" s="115">
        <f>+C9+C15+C27</f>
        <v/>
      </c>
      <c r="D29" s="115">
        <f>+D9+D15+D27</f>
        <v/>
      </c>
      <c r="E29" s="115">
        <f>+E9+E15+E27</f>
        <v/>
      </c>
      <c r="F29" s="115">
        <f>+F9+F15+F27</f>
        <v/>
      </c>
      <c r="G29" s="115">
        <f>+G9+G15+G27</f>
        <v/>
      </c>
      <c r="H29" s="127">
        <f>+H9+H15+H27</f>
        <v/>
      </c>
    </row>
    <row r="30" ht="16" customHeight="1" thickBot="1">
      <c r="B30" s="128" t="inlineStr">
        <is>
          <t>Contingency</t>
        </is>
      </c>
      <c r="C30" s="129">
        <f>'Project Detail'!F170</f>
        <v/>
      </c>
      <c r="D30" s="130" t="n"/>
      <c r="E30" s="130" t="n"/>
      <c r="F30" s="129">
        <f>Contingency!G9</f>
        <v/>
      </c>
      <c r="G30" s="129">
        <f>Contingency!G9</f>
        <v/>
      </c>
      <c r="H30" s="131">
        <f>C30-G30</f>
        <v/>
      </c>
    </row>
    <row r="31" ht="17" customHeight="1" thickBot="1">
      <c r="B31" s="126" t="inlineStr">
        <is>
          <t>GRAND TOTAL</t>
        </is>
      </c>
      <c r="C31" s="124">
        <f>SUM(C29:C30)</f>
        <v/>
      </c>
      <c r="D31" s="124">
        <f>SUM(D29:D30)</f>
        <v/>
      </c>
      <c r="E31" s="124">
        <f>SUM(E29:E30)</f>
        <v/>
      </c>
      <c r="F31" s="124">
        <f>SUM(F29:F30)</f>
        <v/>
      </c>
      <c r="G31" s="124">
        <f>SUM(G29:G30)</f>
        <v/>
      </c>
      <c r="H31" s="125">
        <f>SUM(H29:H30)</f>
        <v/>
      </c>
    </row>
    <row r="33" ht="16" customHeight="1">
      <c r="E33" s="102" t="n"/>
    </row>
    <row r="34">
      <c r="E34" s="32" t="n"/>
    </row>
  </sheetData>
  <mergeCells count="5">
    <mergeCell ref="B2:B3"/>
    <mergeCell ref="C2:C3"/>
    <mergeCell ref="F2:F3"/>
    <mergeCell ref="H2:H3"/>
    <mergeCell ref="G2:G3"/>
  </mergeCells>
  <pageMargins left="0.7" right="0.7" top="0.75" bottom="0.75" header="0.3" footer="0.3"/>
  <pageSetup orientation="landscape" scale="99" fitToHeight="0"/>
  <headerFooter>
    <oddHeader>&amp;C&amp;"-,Bold"&amp;14 Summary</oddHeader>
    <oddFooter>&amp;CHouston Terminal_x000a_Page &amp;P of &amp;N</oddFooter>
    <evenHeader/>
    <evenFooter/>
    <firstHeader/>
    <firstFooter/>
  </headerFooter>
</worksheet>
</file>

<file path=xl/worksheets/sheet9.xml><?xml version="1.0" encoding="utf-8"?>
<worksheet xmlns="http://schemas.openxmlformats.org/spreadsheetml/2006/main">
  <sheetPr codeName="Sheet3">
    <tabColor rgb="FFFF0000"/>
    <outlinePr summaryBelow="1" summaryRight="1"/>
    <pageSetUpPr fitToPage="1"/>
  </sheetPr>
  <dimension ref="B2:AE180"/>
  <sheetViews>
    <sheetView zoomScale="115" zoomScaleNormal="115" workbookViewId="0">
      <pane ySplit="3" topLeftCell="A4" activePane="bottomLeft" state="frozen"/>
      <selection pane="bottomLeft" activeCell="G61" sqref="G61"/>
    </sheetView>
  </sheetViews>
  <sheetFormatPr baseColWidth="10" defaultColWidth="9.5" defaultRowHeight="15" outlineLevelRow="1"/>
  <cols>
    <col width="1" customWidth="1" style="1" min="1" max="1"/>
    <col width="8.5" customWidth="1" style="2" min="2" max="2"/>
    <col hidden="1" width="10.5" customWidth="1" style="2" min="3" max="3"/>
    <col width="37.1640625" bestFit="1" customWidth="1" style="70" min="4" max="4"/>
    <col width="41.1640625" bestFit="1" customWidth="1" style="1" min="5" max="5"/>
    <col width="19.83203125" customWidth="1" style="1" min="6" max="7"/>
    <col hidden="1" outlineLevel="1" width="19.83203125" customWidth="1" style="1" min="8" max="10"/>
    <col collapsed="1" width="19.83203125" customWidth="1" style="1" min="11" max="11"/>
    <col width="19.83203125" customWidth="1" style="1" min="12" max="14"/>
    <col outlineLevel="1" width="29.6640625" customWidth="1" style="1" min="15" max="15"/>
    <col width="1.6640625" customWidth="1" style="1" min="16" max="16"/>
    <col hidden="1" outlineLevel="1" width="15" customWidth="1" style="1" min="17" max="17"/>
    <col outlineLevel="1" width="2.33203125" customWidth="1" style="1" min="18" max="18"/>
    <col hidden="1" outlineLevel="1" width="14.83203125" customWidth="1" style="1" min="19" max="21"/>
    <col hidden="1" outlineLevel="1" width="2.33203125" customWidth="1" style="1" min="22" max="22"/>
    <col hidden="1" outlineLevel="1" width="14.83203125" customWidth="1" style="1" min="23" max="26"/>
    <col hidden="1" outlineLevel="1" width="2.33203125" customWidth="1" style="1" min="27" max="27"/>
    <col hidden="1" outlineLevel="1" width="14.83203125" customWidth="1" style="1" min="28" max="28"/>
    <col hidden="1" outlineLevel="1" width="2.5" customWidth="1" style="1" min="29" max="29"/>
    <col hidden="1" outlineLevel="1" width="14.83203125" customWidth="1" style="1" min="30" max="30"/>
    <col hidden="1" width="10.1640625" customWidth="1" style="1" min="31" max="31"/>
    <col width="9.5" customWidth="1" style="1" min="32" max="16384"/>
  </cols>
  <sheetData>
    <row r="1" ht="7.5" customHeight="1" thickBot="1"/>
    <row r="2" ht="30.75" customFormat="1" customHeight="1" s="72" thickBot="1">
      <c r="B2" s="156" t="inlineStr">
        <is>
          <t>Code</t>
        </is>
      </c>
      <c r="C2" s="157" t="inlineStr">
        <is>
          <t>Cost Code</t>
        </is>
      </c>
      <c r="D2" s="157" t="inlineStr">
        <is>
          <t>Vendor</t>
        </is>
      </c>
      <c r="E2" s="158" t="inlineStr">
        <is>
          <t>Description</t>
        </is>
      </c>
      <c r="F2" s="158" t="inlineStr">
        <is>
          <t>Budget</t>
        </is>
      </c>
      <c r="G2" s="159" t="inlineStr">
        <is>
          <t>Committed Costs</t>
        </is>
      </c>
      <c r="H2" s="158" t="inlineStr">
        <is>
          <t>Change Orders</t>
        </is>
      </c>
      <c r="I2" s="159" t="inlineStr">
        <is>
          <t>Costs to Date (Gross)</t>
        </is>
      </c>
      <c r="J2" s="158" t="inlineStr">
        <is>
          <t>Retention</t>
        </is>
      </c>
      <c r="K2" s="159" t="inlineStr">
        <is>
          <t xml:space="preserve">Costs to Date </t>
        </is>
      </c>
      <c r="L2" s="159" t="inlineStr">
        <is>
          <t>Remaining Estimate</t>
        </is>
      </c>
      <c r="M2" s="159" t="inlineStr">
        <is>
          <t>Estimated Final Cost</t>
        </is>
      </c>
      <c r="N2" s="159" t="inlineStr">
        <is>
          <t>Budget vs EFC Variance</t>
        </is>
      </c>
      <c r="O2" s="160" t="inlineStr">
        <is>
          <t>Notes</t>
        </is>
      </c>
      <c r="Q2" s="215" t="inlineStr">
        <is>
          <t>Remaining to Invoice</t>
        </is>
      </c>
      <c r="S2" s="215" t="inlineStr">
        <is>
          <t>P11-21                     (Fcst)</t>
        </is>
      </c>
      <c r="T2" s="215" t="inlineStr">
        <is>
          <t>P12-21                (Fcst)</t>
        </is>
      </c>
      <c r="U2" s="215" t="inlineStr">
        <is>
          <t>Q4-21 TOTAL              (Fcst)</t>
        </is>
      </c>
      <c r="W2" s="215" t="inlineStr">
        <is>
          <t>P01-22          (Fcst)</t>
        </is>
      </c>
      <c r="X2" s="215" t="inlineStr">
        <is>
          <t>P02-22          (Fcst)</t>
        </is>
      </c>
      <c r="Y2" s="215" t="inlineStr">
        <is>
          <t>P03-22          (Fcst)</t>
        </is>
      </c>
      <c r="Z2" s="215" t="inlineStr">
        <is>
          <t>Q1-22  TOTAL      (Fcst)</t>
        </is>
      </c>
      <c r="AB2" s="215" t="inlineStr">
        <is>
          <t>Q4-21/Q1-22 TOTAL</t>
        </is>
      </c>
      <c r="AD2" s="223" t="inlineStr">
        <is>
          <t>Remaining to Allocate</t>
        </is>
      </c>
    </row>
    <row r="3" ht="16" customHeight="1">
      <c r="B3" s="80" t="n"/>
      <c r="C3" s="80" t="n"/>
      <c r="D3" s="80" t="n"/>
      <c r="E3" s="80" t="n"/>
      <c r="F3" s="80" t="n"/>
      <c r="G3" s="79" t="n"/>
      <c r="H3" s="80" t="n"/>
      <c r="I3" s="79" t="n"/>
      <c r="J3" s="80" t="n"/>
      <c r="K3" s="79" t="n"/>
      <c r="L3" s="81" t="n"/>
      <c r="M3" s="79" t="n"/>
      <c r="N3" s="81" t="n"/>
      <c r="O3" s="80" t="n"/>
    </row>
    <row r="4" ht="19" customHeight="1">
      <c r="B4" s="170" t="n">
        <v>100</v>
      </c>
      <c r="C4" s="214" t="n"/>
      <c r="D4" s="188" t="inlineStr">
        <is>
          <t>Building Costs</t>
        </is>
      </c>
      <c r="E4" s="189" t="n"/>
      <c r="F4" s="189" t="n"/>
      <c r="G4" s="189" t="n"/>
      <c r="H4" s="189" t="n"/>
      <c r="I4" s="189" t="n"/>
      <c r="J4" s="189" t="n"/>
      <c r="K4" s="189" t="n"/>
      <c r="L4" s="189" t="n"/>
      <c r="M4" s="189" t="n"/>
      <c r="N4" s="189" t="n"/>
      <c r="O4" s="190" t="n"/>
    </row>
    <row r="5" ht="15" customHeight="1">
      <c r="B5" s="61" t="n">
        <v>101</v>
      </c>
      <c r="C5" s="198" t="n"/>
      <c r="D5" s="221" t="inlineStr">
        <is>
          <t>Building &amp; Fit-Out Costs</t>
        </is>
      </c>
      <c r="E5" s="163" t="n"/>
      <c r="F5" s="163" t="n"/>
      <c r="G5" s="163" t="n"/>
      <c r="H5" s="163" t="n"/>
      <c r="I5" s="163" t="n"/>
      <c r="J5" s="163" t="n"/>
      <c r="K5" s="163" t="n"/>
      <c r="L5" s="163" t="n"/>
      <c r="M5" s="163" t="n"/>
      <c r="N5" s="164" t="n"/>
      <c r="O5" s="213" t="n"/>
      <c r="Q5" s="118" t="n"/>
      <c r="S5" s="118" t="n"/>
      <c r="T5" s="118" t="n"/>
      <c r="U5" s="118" t="n"/>
      <c r="W5" s="118" t="n"/>
      <c r="X5" s="118" t="n"/>
      <c r="Y5" s="118" t="n"/>
      <c r="Z5" s="118" t="n"/>
      <c r="AB5" s="118" t="n"/>
      <c r="AD5" s="118" t="n"/>
    </row>
    <row r="6" ht="14.5" customHeight="1">
      <c r="B6" s="15" t="inlineStr">
        <is>
          <t>101-1</t>
        </is>
      </c>
      <c r="C6" s="15" t="n"/>
      <c r="D6" s="83" t="inlineStr">
        <is>
          <t>General Contractor</t>
        </is>
      </c>
      <c r="E6" s="83" t="n"/>
      <c r="F6" s="171">
        <f>'Budget Summary'!D31</f>
        <v/>
      </c>
      <c r="G6" s="176">
        <f>SUMIF('Committed Costs '!C:C,B6,'Committed Costs '!G:G)</f>
        <v/>
      </c>
      <c r="H6" s="176">
        <f>SUMIF('Change Orders'!F:F,'Project Detail'!B6,'Change Orders'!E:E)</f>
        <v/>
      </c>
      <c r="I6" s="176">
        <f>SUMIF(Invoices!B:B,B6,Invoices!G:G)</f>
        <v/>
      </c>
      <c r="J6" s="176" t="n">
        <v>0</v>
      </c>
      <c r="K6" s="176">
        <f>I6-J6</f>
        <v/>
      </c>
      <c r="L6" s="171">
        <f>+M6-G6</f>
        <v/>
      </c>
      <c r="M6" s="171">
        <f>IF((F6+H6)&gt;G6,F6+H6,G6)</f>
        <v/>
      </c>
      <c r="N6" s="171">
        <f>F6-M6</f>
        <v/>
      </c>
      <c r="O6" s="13" t="n"/>
      <c r="Q6" s="7" t="n"/>
      <c r="S6" s="7" t="n"/>
      <c r="T6" s="7" t="n"/>
      <c r="U6" s="7" t="n"/>
      <c r="W6" s="7" t="n"/>
      <c r="X6" s="7" t="n"/>
      <c r="Y6" s="7" t="n"/>
      <c r="Z6" s="7" t="n"/>
      <c r="AB6" s="7" t="n"/>
      <c r="AD6" s="7" t="n"/>
    </row>
    <row r="7" hidden="1" ht="14.5" customHeight="1">
      <c r="B7" s="83" t="inlineStr">
        <is>
          <t>101-2</t>
        </is>
      </c>
      <c r="C7" s="83" t="n"/>
      <c r="D7" s="83" t="n"/>
      <c r="E7" s="83" t="n"/>
      <c r="F7" s="171" t="n">
        <v>0</v>
      </c>
      <c r="G7" s="176">
        <f>SUMIF('Committed Costs '!C:C,B7,'Committed Costs '!G:G)</f>
        <v/>
      </c>
      <c r="H7" s="176">
        <f>SUMIF('Change Orders'!F:F,'Project Detail'!B7,'Change Orders'!E:E)</f>
        <v/>
      </c>
      <c r="I7" s="176">
        <f>SUMIF(Invoices!B:B,B7,Invoices!G:G)</f>
        <v/>
      </c>
      <c r="J7" s="176" t="n">
        <v>0</v>
      </c>
      <c r="K7" s="176">
        <f>I7-J7</f>
        <v/>
      </c>
      <c r="L7" s="171">
        <f>+M7-G7</f>
        <v/>
      </c>
      <c r="M7" s="171">
        <f>IF((F7+H7)&gt;G7,F7+H7,G7)</f>
        <v/>
      </c>
      <c r="N7" s="171">
        <f>F7-M7</f>
        <v/>
      </c>
      <c r="O7" s="13" t="n"/>
      <c r="Q7" s="7" t="n"/>
      <c r="S7" s="7" t="n"/>
      <c r="T7" s="7" t="n"/>
      <c r="U7" s="7" t="n"/>
      <c r="W7" s="7" t="n"/>
      <c r="X7" s="7" t="n"/>
      <c r="Y7" s="7" t="n"/>
      <c r="Z7" s="7" t="n"/>
      <c r="AB7" s="7" t="n"/>
      <c r="AD7" s="7" t="n"/>
    </row>
    <row r="8" hidden="1" ht="14.5" customHeight="1">
      <c r="B8" s="83" t="inlineStr">
        <is>
          <t>101-3</t>
        </is>
      </c>
      <c r="C8" s="83" t="n"/>
      <c r="D8" s="83" t="n"/>
      <c r="E8" s="83" t="n"/>
      <c r="F8" s="171" t="n">
        <v>0</v>
      </c>
      <c r="G8" s="176">
        <f>SUMIF('Committed Costs '!C:C,B8,'Committed Costs '!G:G)</f>
        <v/>
      </c>
      <c r="H8" s="176">
        <f>SUMIF('Change Orders'!F:F,'Project Detail'!B8,'Change Orders'!E:E)</f>
        <v/>
      </c>
      <c r="I8" s="176">
        <f>SUMIF(Invoices!B:B,B8,Invoices!G:G)</f>
        <v/>
      </c>
      <c r="J8" s="176" t="n">
        <v>0</v>
      </c>
      <c r="K8" s="176">
        <f>I8-J8</f>
        <v/>
      </c>
      <c r="L8" s="171">
        <f>+M8-G8</f>
        <v/>
      </c>
      <c r="M8" s="171">
        <f>IF((F8+H8)&gt;G8,F8+H8,G8)</f>
        <v/>
      </c>
      <c r="N8" s="171">
        <f>F8-M8</f>
        <v/>
      </c>
      <c r="O8" s="13" t="n"/>
      <c r="Q8" s="191" t="n"/>
      <c r="S8" s="191" t="n"/>
      <c r="T8" s="191" t="n"/>
      <c r="U8" s="191" t="n"/>
      <c r="W8" s="191" t="n"/>
      <c r="X8" s="191" t="n"/>
      <c r="Y8" s="191" t="n"/>
      <c r="Z8" s="191" t="n"/>
      <c r="AB8" s="191" t="n"/>
      <c r="AD8" s="191" t="n"/>
    </row>
    <row r="9" hidden="1" ht="14.5" customHeight="1">
      <c r="B9" s="83" t="inlineStr">
        <is>
          <t>101-4</t>
        </is>
      </c>
      <c r="C9" s="83" t="n"/>
      <c r="D9" s="83" t="n"/>
      <c r="E9" s="83" t="n"/>
      <c r="F9" s="171" t="n">
        <v>0</v>
      </c>
      <c r="G9" s="176">
        <f>SUMIF('Committed Costs '!C:C,B9,'Committed Costs '!G:G)</f>
        <v/>
      </c>
      <c r="H9" s="176">
        <f>SUMIF('Change Orders'!F:F,'Project Detail'!B9,'Change Orders'!E:E)</f>
        <v/>
      </c>
      <c r="I9" s="176">
        <f>SUMIF(Invoices!B:B,B9,Invoices!G:G)</f>
        <v/>
      </c>
      <c r="J9" s="176" t="n">
        <v>0</v>
      </c>
      <c r="K9" s="176">
        <f>I9-J9</f>
        <v/>
      </c>
      <c r="L9" s="171">
        <f>+M9-G9</f>
        <v/>
      </c>
      <c r="M9" s="171">
        <f>IF((F9+H9)&gt;G9,F9+H9,G9)</f>
        <v/>
      </c>
      <c r="N9" s="171">
        <f>F9-M9</f>
        <v/>
      </c>
      <c r="O9" s="13" t="n"/>
      <c r="Q9" s="171">
        <f>M9-K9</f>
        <v/>
      </c>
      <c r="S9" s="171" t="n"/>
      <c r="T9" s="171" t="n"/>
      <c r="U9" s="171">
        <f>S9+T9</f>
        <v/>
      </c>
      <c r="W9" s="171" t="n"/>
      <c r="X9" s="171" t="n"/>
      <c r="Y9" s="171" t="n"/>
      <c r="Z9" s="171">
        <f>W9+X9+Y9</f>
        <v/>
      </c>
      <c r="AB9" s="171">
        <f>U9+Z9</f>
        <v/>
      </c>
      <c r="AD9" s="171">
        <f>Q9-AB9</f>
        <v/>
      </c>
    </row>
    <row r="10" ht="15" customHeight="1">
      <c r="B10" s="15" t="n"/>
      <c r="C10" s="15" t="n">
        <v>101</v>
      </c>
      <c r="D10" s="83" t="n"/>
      <c r="E10" s="172" t="inlineStr">
        <is>
          <t>Total Building &amp; Fit-Out Costs</t>
        </is>
      </c>
      <c r="F10" s="173">
        <f>SUM(F6:F9)</f>
        <v/>
      </c>
      <c r="G10" s="174">
        <f>SUM(G6:G9)</f>
        <v/>
      </c>
      <c r="H10" s="174">
        <f>SUM(H6:H9)</f>
        <v/>
      </c>
      <c r="I10" s="174">
        <f>SUM(I6:I9)</f>
        <v/>
      </c>
      <c r="J10" s="174">
        <f>SUM(J6:J9)</f>
        <v/>
      </c>
      <c r="K10" s="174">
        <f>SUM(K6:K9)</f>
        <v/>
      </c>
      <c r="L10" s="174">
        <f>SUM(L6:L9)</f>
        <v/>
      </c>
      <c r="M10" s="174">
        <f>SUM(M6:M9)</f>
        <v/>
      </c>
      <c r="N10" s="174">
        <f>SUM(N6:N9)</f>
        <v/>
      </c>
      <c r="O10" s="13" t="n"/>
      <c r="Q10" s="174">
        <f>Q9</f>
        <v/>
      </c>
      <c r="S10" s="174">
        <f>S9</f>
        <v/>
      </c>
      <c r="T10" s="174">
        <f>T9</f>
        <v/>
      </c>
      <c r="U10" s="174">
        <f>U9</f>
        <v/>
      </c>
      <c r="W10" s="174">
        <f>W9</f>
        <v/>
      </c>
      <c r="X10" s="174">
        <f>X9</f>
        <v/>
      </c>
      <c r="Y10" s="174">
        <f>Y9</f>
        <v/>
      </c>
      <c r="Z10" s="174">
        <f>Z9</f>
        <v/>
      </c>
      <c r="AB10" s="174">
        <f>AB9</f>
        <v/>
      </c>
      <c r="AD10" s="174">
        <f>AD9</f>
        <v/>
      </c>
    </row>
    <row r="11">
      <c r="B11" s="61" t="n">
        <v>102</v>
      </c>
      <c r="C11" s="198" t="n"/>
      <c r="D11" s="221" t="inlineStr">
        <is>
          <t>Secondary Contractors</t>
        </is>
      </c>
      <c r="E11" s="163" t="n"/>
      <c r="F11" s="163" t="n"/>
      <c r="G11" s="163" t="n"/>
      <c r="H11" s="163" t="n"/>
      <c r="I11" s="163" t="n"/>
      <c r="J11" s="163" t="n"/>
      <c r="K11" s="163" t="n"/>
      <c r="L11" s="163" t="n"/>
      <c r="M11" s="163" t="n"/>
      <c r="N11" s="164" t="n"/>
      <c r="O11" s="164" t="n"/>
      <c r="Q11" s="163" t="n"/>
      <c r="S11" s="163" t="n"/>
      <c r="T11" s="163" t="n"/>
      <c r="U11" s="163" t="n"/>
      <c r="W11" s="163" t="n"/>
      <c r="X11" s="163" t="n"/>
      <c r="Y11" s="163" t="n"/>
      <c r="Z11" s="163" t="n"/>
      <c r="AB11" s="163" t="n"/>
      <c r="AD11" s="163" t="n"/>
    </row>
    <row r="12">
      <c r="B12" s="15" t="inlineStr">
        <is>
          <t>102-1</t>
        </is>
      </c>
      <c r="C12" s="15" t="n"/>
      <c r="D12" s="175" t="n"/>
      <c r="E12" s="83" t="n"/>
      <c r="F12" s="176" t="n">
        <v>0</v>
      </c>
      <c r="G12" s="176">
        <f>SUMIF('Committed Costs '!C:C,B12,'Committed Costs '!G:G)</f>
        <v/>
      </c>
      <c r="H12" s="176">
        <f>SUMIF('Change Orders'!F:F,'Project Detail'!B12,'Change Orders'!E:E)</f>
        <v/>
      </c>
      <c r="I12" s="176">
        <f>SUMIF(Invoices!B:B,B12,Invoices!G:G)</f>
        <v/>
      </c>
      <c r="J12" s="176" t="n">
        <v>0</v>
      </c>
      <c r="K12" s="176">
        <f>I12-J12</f>
        <v/>
      </c>
      <c r="L12" s="171">
        <f>+M12-G12</f>
        <v/>
      </c>
      <c r="M12" s="171">
        <f>IF((F12+H12)&gt;G12,F12+H12,G12)</f>
        <v/>
      </c>
      <c r="N12" s="171">
        <f>F12-M12</f>
        <v/>
      </c>
      <c r="O12" s="171" t="n"/>
      <c r="Q12" s="7" t="n"/>
      <c r="S12" s="7" t="n"/>
      <c r="T12" s="7" t="n"/>
      <c r="U12" s="7" t="n"/>
      <c r="W12" s="7" t="n"/>
      <c r="X12" s="7" t="n"/>
      <c r="Y12" s="7" t="n"/>
      <c r="Z12" s="7" t="n"/>
      <c r="AB12" s="7" t="n"/>
      <c r="AD12" s="7" t="n"/>
    </row>
    <row r="13" hidden="1">
      <c r="B13" s="15" t="inlineStr">
        <is>
          <t>102-2</t>
        </is>
      </c>
      <c r="C13" s="15" t="n"/>
      <c r="D13" s="175" t="n"/>
      <c r="E13" s="83" t="n"/>
      <c r="F13" s="176" t="n">
        <v>0</v>
      </c>
      <c r="G13" s="176">
        <f>SUMIF('Committed Costs '!C:C,B13,'Committed Costs '!G:G)</f>
        <v/>
      </c>
      <c r="H13" s="176">
        <f>SUMIF('Change Orders'!F:F,'Project Detail'!B13,'Change Orders'!E:E)</f>
        <v/>
      </c>
      <c r="I13" s="176">
        <f>SUMIF(Invoices!B:B,B13,Invoices!G:G)</f>
        <v/>
      </c>
      <c r="J13" s="176" t="n">
        <v>0</v>
      </c>
      <c r="K13" s="176">
        <f>I13-J13</f>
        <v/>
      </c>
      <c r="L13" s="171">
        <f>+M13-G13</f>
        <v/>
      </c>
      <c r="M13" s="171">
        <f>IF((F13+H13)&gt;G13,F13+H13,G13)</f>
        <v/>
      </c>
      <c r="N13" s="171">
        <f>F13-M13</f>
        <v/>
      </c>
      <c r="O13" s="171" t="n"/>
      <c r="Q13" s="7" t="n"/>
      <c r="S13" s="7" t="n"/>
      <c r="T13" s="7" t="n"/>
      <c r="U13" s="7" t="n"/>
      <c r="W13" s="7" t="n"/>
      <c r="X13" s="7" t="n"/>
      <c r="Y13" s="7" t="n"/>
      <c r="Z13" s="7" t="n"/>
      <c r="AB13" s="7" t="n"/>
      <c r="AD13" s="7" t="n"/>
    </row>
    <row r="14" hidden="1">
      <c r="B14" s="15" t="inlineStr">
        <is>
          <t>102-3</t>
        </is>
      </c>
      <c r="C14" s="15" t="n"/>
      <c r="D14" s="175" t="n"/>
      <c r="E14" s="83" t="n"/>
      <c r="F14" s="176" t="n">
        <v>0</v>
      </c>
      <c r="G14" s="176">
        <f>SUMIF('Committed Costs '!C:C,B14,'Committed Costs '!G:G)</f>
        <v/>
      </c>
      <c r="H14" s="176">
        <f>SUMIF('Change Orders'!F:F,'Project Detail'!B14,'Change Orders'!E:E)</f>
        <v/>
      </c>
      <c r="I14" s="176">
        <f>SUMIF(Invoices!B:B,B14,Invoices!G:G)</f>
        <v/>
      </c>
      <c r="J14" s="176" t="n">
        <v>0</v>
      </c>
      <c r="K14" s="176">
        <f>I14-J14</f>
        <v/>
      </c>
      <c r="L14" s="171">
        <f>+M14-G14</f>
        <v/>
      </c>
      <c r="M14" s="171">
        <f>IF((F14+H14)&gt;G14,F14+H14,G14)</f>
        <v/>
      </c>
      <c r="N14" s="171">
        <f>F14-M14</f>
        <v/>
      </c>
      <c r="O14" s="171" t="n"/>
      <c r="Q14" s="191" t="n"/>
      <c r="S14" s="191" t="n"/>
      <c r="T14" s="191" t="n"/>
      <c r="U14" s="191" t="n"/>
      <c r="W14" s="191" t="n"/>
      <c r="X14" s="191" t="n"/>
      <c r="Y14" s="191" t="n"/>
      <c r="Z14" s="191" t="n"/>
      <c r="AB14" s="191" t="n"/>
      <c r="AD14" s="191" t="n"/>
    </row>
    <row r="15" hidden="1">
      <c r="B15" s="15" t="inlineStr">
        <is>
          <t>102-4</t>
        </is>
      </c>
      <c r="C15" s="15" t="n"/>
      <c r="D15" s="175" t="n"/>
      <c r="E15" s="83" t="n"/>
      <c r="F15" s="176" t="n">
        <v>0</v>
      </c>
      <c r="G15" s="176">
        <f>SUMIF('Committed Costs '!C:C,B15,'Committed Costs '!G:G)</f>
        <v/>
      </c>
      <c r="H15" s="176">
        <f>SUMIF('Change Orders'!F:F,'Project Detail'!B15,'Change Orders'!E:E)</f>
        <v/>
      </c>
      <c r="I15" s="176">
        <f>SUMIF(Invoices!B:B,B15,Invoices!G:G)</f>
        <v/>
      </c>
      <c r="J15" s="176" t="n">
        <v>0</v>
      </c>
      <c r="K15" s="176">
        <f>I15-J15</f>
        <v/>
      </c>
      <c r="L15" s="171">
        <f>+M15-G15</f>
        <v/>
      </c>
      <c r="M15" s="171">
        <f>IF((F15+H15)&gt;G15,F15+H15,G15)</f>
        <v/>
      </c>
      <c r="N15" s="171">
        <f>F15-M15</f>
        <v/>
      </c>
      <c r="O15" s="171" t="n"/>
      <c r="Q15" s="171">
        <f>M15-K15</f>
        <v/>
      </c>
      <c r="S15" s="171" t="n"/>
      <c r="T15" s="171" t="n"/>
      <c r="U15" s="171">
        <f>S15+T15</f>
        <v/>
      </c>
      <c r="W15" s="171" t="n"/>
      <c r="X15" s="171" t="n"/>
      <c r="Y15" s="171" t="n"/>
      <c r="Z15" s="171">
        <f>W15+X15+Y15</f>
        <v/>
      </c>
      <c r="AB15" s="171">
        <f>U15+Z15</f>
        <v/>
      </c>
      <c r="AD15" s="171">
        <f>Q15-AB15</f>
        <v/>
      </c>
    </row>
    <row r="16">
      <c r="B16" s="15" t="n"/>
      <c r="C16" s="15" t="n">
        <v>102</v>
      </c>
      <c r="D16" s="83" t="n"/>
      <c r="E16" s="172" t="inlineStr">
        <is>
          <t>Total Secondary Contractors</t>
        </is>
      </c>
      <c r="F16" s="173">
        <f>SUM(F12:F15)</f>
        <v/>
      </c>
      <c r="G16" s="174">
        <f>SUM(G12:G15)</f>
        <v/>
      </c>
      <c r="H16" s="174">
        <f>SUM(H12:H15)</f>
        <v/>
      </c>
      <c r="I16" s="174">
        <f>SUM(I12:I15)</f>
        <v/>
      </c>
      <c r="J16" s="174">
        <f>SUM(J12:J15)</f>
        <v/>
      </c>
      <c r="K16" s="174">
        <f>SUM(K12:K15)</f>
        <v/>
      </c>
      <c r="L16" s="174">
        <f>SUM(L12:L15)</f>
        <v/>
      </c>
      <c r="M16" s="174">
        <f>SUM(M12:M15)</f>
        <v/>
      </c>
      <c r="N16" s="174">
        <f>SUM(N12:N15)</f>
        <v/>
      </c>
      <c r="O16" s="13" t="n"/>
      <c r="Q16" s="174">
        <f>Q15</f>
        <v/>
      </c>
      <c r="S16" s="174">
        <f>S15</f>
        <v/>
      </c>
      <c r="T16" s="174">
        <f>T15</f>
        <v/>
      </c>
      <c r="U16" s="174">
        <f>U15</f>
        <v/>
      </c>
      <c r="W16" s="174">
        <f>W15</f>
        <v/>
      </c>
      <c r="X16" s="174">
        <f>X15</f>
        <v/>
      </c>
      <c r="Y16" s="174">
        <f>Y15</f>
        <v/>
      </c>
      <c r="Z16" s="174">
        <f>Z15</f>
        <v/>
      </c>
      <c r="AB16" s="174">
        <f>AB15</f>
        <v/>
      </c>
      <c r="AD16" s="174">
        <f>AD15</f>
        <v/>
      </c>
    </row>
    <row r="17" hidden="1">
      <c r="B17" s="61" t="n">
        <v>103</v>
      </c>
      <c r="C17" s="198" t="n"/>
      <c r="D17" s="221" t="inlineStr">
        <is>
          <t>Miscellaneous</t>
        </is>
      </c>
      <c r="E17" s="163" t="n"/>
      <c r="F17" s="163" t="n"/>
      <c r="G17" s="163" t="n"/>
      <c r="H17" s="163" t="n"/>
      <c r="I17" s="163" t="n"/>
      <c r="J17" s="163" t="n"/>
      <c r="K17" s="163" t="n"/>
      <c r="L17" s="163" t="n"/>
      <c r="M17" s="163" t="n"/>
      <c r="N17" s="164" t="n"/>
      <c r="O17" s="164" t="n"/>
      <c r="Q17" s="118" t="n"/>
      <c r="S17" s="163" t="n"/>
      <c r="T17" s="163" t="n"/>
      <c r="U17" s="163" t="n"/>
      <c r="W17" s="163" t="n"/>
      <c r="X17" s="163" t="n"/>
      <c r="Y17" s="163" t="n"/>
      <c r="Z17" s="163" t="n"/>
      <c r="AB17" s="163" t="n"/>
      <c r="AD17" s="118" t="n"/>
    </row>
    <row r="18" hidden="1">
      <c r="B18" s="15" t="inlineStr">
        <is>
          <t>103-1</t>
        </is>
      </c>
      <c r="C18" s="15" t="n"/>
      <c r="D18" s="175" t="n"/>
      <c r="E18" s="175" t="n"/>
      <c r="F18" s="171" t="n">
        <v>0</v>
      </c>
      <c r="G18" s="176">
        <f>SUMIF('Committed Costs '!C:C,B18,'Committed Costs '!G:G)</f>
        <v/>
      </c>
      <c r="H18" s="176">
        <f>SUMIF('Change Orders'!F:F,'Project Detail'!B18,'Change Orders'!E:E)</f>
        <v/>
      </c>
      <c r="I18" s="176">
        <f>SUMIF(Invoices!B:B,B18,Invoices!G:G)</f>
        <v/>
      </c>
      <c r="J18" s="176" t="n">
        <v>0</v>
      </c>
      <c r="K18" s="176">
        <f>I18-J18</f>
        <v/>
      </c>
      <c r="L18" s="171">
        <f>+M18-G18</f>
        <v/>
      </c>
      <c r="M18" s="171">
        <f>IF((F18+H18)&gt;G18,F18+H18,G18)</f>
        <v/>
      </c>
      <c r="N18" s="171">
        <f>F18-M18</f>
        <v/>
      </c>
      <c r="O18" s="13" t="n"/>
      <c r="Q18" s="7" t="n"/>
      <c r="S18" s="7" t="n"/>
      <c r="T18" s="7" t="n"/>
      <c r="U18" s="7" t="n"/>
      <c r="W18" s="7" t="n"/>
      <c r="X18" s="7" t="n"/>
      <c r="Y18" s="7" t="n"/>
      <c r="Z18" s="7" t="n"/>
      <c r="AB18" s="7" t="n"/>
      <c r="AD18" s="7" t="n"/>
    </row>
    <row r="19" hidden="1">
      <c r="B19" s="15" t="inlineStr">
        <is>
          <t>103-2</t>
        </is>
      </c>
      <c r="C19" s="15" t="n"/>
      <c r="D19" s="175" t="n"/>
      <c r="E19" s="175" t="n"/>
      <c r="F19" s="171" t="n">
        <v>0</v>
      </c>
      <c r="G19" s="176">
        <f>SUMIF('Committed Costs '!C:C,B19,'Committed Costs '!G:G)</f>
        <v/>
      </c>
      <c r="H19" s="176">
        <f>SUMIF('Change Orders'!F:F,'Project Detail'!B19,'Change Orders'!E:E)</f>
        <v/>
      </c>
      <c r="I19" s="176">
        <f>SUMIF(Invoices!B:B,B19,Invoices!G:G)</f>
        <v/>
      </c>
      <c r="J19" s="176" t="n">
        <v>0</v>
      </c>
      <c r="K19" s="176">
        <f>I19-J19</f>
        <v/>
      </c>
      <c r="L19" s="171">
        <f>+M19-G19</f>
        <v/>
      </c>
      <c r="M19" s="171">
        <f>IF((F19+H19)&gt;G19,F19+H19,G19)</f>
        <v/>
      </c>
      <c r="N19" s="171">
        <f>F19-M19</f>
        <v/>
      </c>
      <c r="O19" s="13" t="n"/>
      <c r="Q19" s="7" t="n"/>
      <c r="S19" s="7" t="n"/>
      <c r="T19" s="7" t="n"/>
      <c r="U19" s="7" t="n"/>
      <c r="W19" s="7" t="n"/>
      <c r="X19" s="7" t="n"/>
      <c r="Y19" s="7" t="n"/>
      <c r="Z19" s="7" t="n"/>
      <c r="AB19" s="7" t="n"/>
      <c r="AD19" s="7" t="n"/>
    </row>
    <row r="20" hidden="1">
      <c r="B20" s="15" t="inlineStr">
        <is>
          <t>103-3</t>
        </is>
      </c>
      <c r="C20" s="15" t="n"/>
      <c r="D20" s="175" t="n"/>
      <c r="E20" s="175" t="n"/>
      <c r="F20" s="171" t="n">
        <v>0</v>
      </c>
      <c r="G20" s="176">
        <f>SUMIF('Committed Costs '!C:C,B20,'Committed Costs '!G:G)</f>
        <v/>
      </c>
      <c r="H20" s="176">
        <f>SUMIF('Change Orders'!F:F,'Project Detail'!B20,'Change Orders'!E:E)</f>
        <v/>
      </c>
      <c r="I20" s="176">
        <f>SUMIF(Invoices!B:B,B20,Invoices!G:G)</f>
        <v/>
      </c>
      <c r="J20" s="176" t="n">
        <v>0</v>
      </c>
      <c r="K20" s="176">
        <f>I20-J20</f>
        <v/>
      </c>
      <c r="L20" s="171">
        <f>+M20-G20</f>
        <v/>
      </c>
      <c r="M20" s="171">
        <f>IF((F20+H20)&gt;G20,F20+H20,G20)</f>
        <v/>
      </c>
      <c r="N20" s="171">
        <f>F20-M20</f>
        <v/>
      </c>
      <c r="O20" s="13" t="n"/>
      <c r="Q20" s="191" t="n"/>
      <c r="S20" s="191" t="n"/>
      <c r="T20" s="191" t="n"/>
      <c r="U20" s="191" t="n"/>
      <c r="W20" s="191" t="n"/>
      <c r="X20" s="191" t="n"/>
      <c r="Y20" s="191" t="n"/>
      <c r="Z20" s="191" t="n"/>
      <c r="AB20" s="191" t="n"/>
      <c r="AD20" s="191" t="n"/>
    </row>
    <row r="21" hidden="1" ht="14.5" customHeight="1">
      <c r="B21" s="15" t="inlineStr">
        <is>
          <t>103-4</t>
        </is>
      </c>
      <c r="C21" s="15" t="n"/>
      <c r="D21" s="83" t="n"/>
      <c r="E21" s="83" t="n"/>
      <c r="F21" s="171" t="n">
        <v>0</v>
      </c>
      <c r="G21" s="176">
        <f>SUMIF('Committed Costs '!C:C,B21,'Committed Costs '!G:G)</f>
        <v/>
      </c>
      <c r="H21" s="176">
        <f>SUMIF('Change Orders'!F:F,'Project Detail'!B21,'Change Orders'!E:E)</f>
        <v/>
      </c>
      <c r="I21" s="176">
        <f>SUMIF(Invoices!B:B,B21,Invoices!G:G)</f>
        <v/>
      </c>
      <c r="J21" s="176" t="n">
        <v>0</v>
      </c>
      <c r="K21" s="176">
        <f>I21-J21</f>
        <v/>
      </c>
      <c r="L21" s="171">
        <f>+M21-G21</f>
        <v/>
      </c>
      <c r="M21" s="171">
        <f>IF((F21+H21)&gt;G21,F21+H21,G21)</f>
        <v/>
      </c>
      <c r="N21" s="171">
        <f>F21-M21</f>
        <v/>
      </c>
      <c r="O21" s="13" t="n"/>
      <c r="Q21" s="171">
        <f>M21-K21</f>
        <v/>
      </c>
      <c r="S21" s="171" t="n"/>
      <c r="T21" s="171" t="n"/>
      <c r="U21" s="171">
        <f>S21+T21</f>
        <v/>
      </c>
      <c r="W21" s="171" t="n"/>
      <c r="X21" s="171" t="n"/>
      <c r="Y21" s="171" t="n"/>
      <c r="Z21" s="171">
        <f>W21+X21+Y21</f>
        <v/>
      </c>
      <c r="AB21" s="171">
        <f>U21+Z21</f>
        <v/>
      </c>
      <c r="AD21" s="171">
        <f>Q21-AB21</f>
        <v/>
      </c>
    </row>
    <row r="22" hidden="1">
      <c r="B22" s="15" t="n"/>
      <c r="C22" s="15" t="n">
        <v>103</v>
      </c>
      <c r="D22" s="83" t="n"/>
      <c r="E22" s="172" t="inlineStr">
        <is>
          <t>Total Mics.</t>
        </is>
      </c>
      <c r="F22" s="173">
        <f>SUM(F18:F21)</f>
        <v/>
      </c>
      <c r="G22" s="174">
        <f>SUM(G18:G21)</f>
        <v/>
      </c>
      <c r="H22" s="174">
        <f>SUM(H18:H21)</f>
        <v/>
      </c>
      <c r="I22" s="174">
        <f>SUM(I18:I21)</f>
        <v/>
      </c>
      <c r="J22" s="174">
        <f>SUM(J18:J21)</f>
        <v/>
      </c>
      <c r="K22" s="174">
        <f>SUM(K18:K21)</f>
        <v/>
      </c>
      <c r="L22" s="174">
        <f>SUM(L18:L21)</f>
        <v/>
      </c>
      <c r="M22" s="174">
        <f>SUM(M18:M21)</f>
        <v/>
      </c>
      <c r="N22" s="174">
        <f>SUM(N18:N21)</f>
        <v/>
      </c>
      <c r="O22" s="13" t="n"/>
      <c r="Q22" s="174">
        <f>Q21</f>
        <v/>
      </c>
      <c r="S22" s="174">
        <f>S21</f>
        <v/>
      </c>
      <c r="T22" s="174">
        <f>T21</f>
        <v/>
      </c>
      <c r="U22" s="174">
        <f>U21</f>
        <v/>
      </c>
      <c r="W22" s="174">
        <f>W21</f>
        <v/>
      </c>
      <c r="X22" s="174">
        <f>X21</f>
        <v/>
      </c>
      <c r="Y22" s="174">
        <f>Y21</f>
        <v/>
      </c>
      <c r="Z22" s="174">
        <f>Z21</f>
        <v/>
      </c>
      <c r="AB22" s="174">
        <f>AB21</f>
        <v/>
      </c>
      <c r="AD22" s="174">
        <f>AD21</f>
        <v/>
      </c>
    </row>
    <row r="23" hidden="1">
      <c r="B23" s="61" t="n">
        <v>104</v>
      </c>
      <c r="C23" s="198" t="n"/>
      <c r="D23" s="197" t="n"/>
      <c r="E23" s="163" t="n"/>
      <c r="F23" s="163" t="n"/>
      <c r="G23" s="163" t="n"/>
      <c r="H23" s="163" t="n"/>
      <c r="I23" s="163" t="n"/>
      <c r="J23" s="163" t="n"/>
      <c r="K23" s="163" t="n"/>
      <c r="L23" s="163" t="n"/>
      <c r="M23" s="163" t="n"/>
      <c r="N23" s="164" t="n"/>
      <c r="O23" s="164" t="n"/>
      <c r="Q23" s="118" t="n"/>
      <c r="S23" s="163" t="n"/>
      <c r="T23" s="163" t="n"/>
      <c r="U23" s="163" t="n"/>
      <c r="W23" s="163" t="n"/>
      <c r="X23" s="163" t="n"/>
      <c r="Y23" s="163" t="n"/>
      <c r="Z23" s="163" t="n"/>
      <c r="AB23" s="163" t="n"/>
      <c r="AD23" s="118" t="n"/>
    </row>
    <row r="24" hidden="1">
      <c r="B24" s="15" t="inlineStr">
        <is>
          <t>104-1</t>
        </is>
      </c>
      <c r="C24" s="15" t="n"/>
      <c r="D24" s="83" t="n"/>
      <c r="E24" s="83" t="n"/>
      <c r="F24" s="176" t="n">
        <v>0</v>
      </c>
      <c r="G24" s="176">
        <f>SUMIF('Committed Costs '!C:C,B24,'Committed Costs '!G:G)</f>
        <v/>
      </c>
      <c r="H24" s="176">
        <f>SUMIF('Change Orders'!F:F,'Project Detail'!B24,'Change Orders'!E:E)</f>
        <v/>
      </c>
      <c r="I24" s="176">
        <f>SUMIF(Invoices!B:B,B24,Invoices!G:G)</f>
        <v/>
      </c>
      <c r="J24" s="176" t="n">
        <v>0</v>
      </c>
      <c r="K24" s="1016">
        <f>I24-J24</f>
        <v/>
      </c>
      <c r="L24" s="171">
        <f>+M24-G24</f>
        <v/>
      </c>
      <c r="M24" s="171">
        <f>K24</f>
        <v/>
      </c>
      <c r="N24" s="171">
        <f>F24-M24</f>
        <v/>
      </c>
      <c r="O24" s="13" t="n"/>
      <c r="Q24" s="7" t="n"/>
      <c r="S24" s="7" t="n"/>
      <c r="T24" s="7" t="n"/>
      <c r="U24" s="7" t="n"/>
      <c r="W24" s="7" t="n"/>
      <c r="X24" s="7" t="n"/>
      <c r="Y24" s="7" t="n"/>
      <c r="Z24" s="7" t="n"/>
      <c r="AB24" s="7" t="n"/>
      <c r="AD24" s="7" t="n"/>
    </row>
    <row r="25" hidden="1">
      <c r="B25" s="15" t="inlineStr">
        <is>
          <t>104-2</t>
        </is>
      </c>
      <c r="C25" s="15" t="n"/>
      <c r="D25" s="83" t="n"/>
      <c r="E25" s="83" t="n"/>
      <c r="F25" s="176" t="n">
        <v>0</v>
      </c>
      <c r="G25" s="176">
        <f>SUMIF('Committed Costs '!C:C,B25,'Committed Costs '!G:G)</f>
        <v/>
      </c>
      <c r="H25" s="176">
        <f>SUMIF('Change Orders'!F:F,'Project Detail'!B25,'Change Orders'!E:E)</f>
        <v/>
      </c>
      <c r="I25" s="176">
        <f>SUMIF(Invoices!B:B,B25,Invoices!G:G)</f>
        <v/>
      </c>
      <c r="J25" s="176" t="n">
        <v>0</v>
      </c>
      <c r="K25" s="176">
        <f>I25-J25</f>
        <v/>
      </c>
      <c r="L25" s="1017">
        <f>+M25-G25</f>
        <v/>
      </c>
      <c r="M25" s="171">
        <f>IF((F25+H25)&gt;G25,F25+H25,G25)</f>
        <v/>
      </c>
      <c r="N25" s="171">
        <f>F25-M25</f>
        <v/>
      </c>
      <c r="O25" s="13" t="n"/>
      <c r="Q25" s="7" t="n"/>
      <c r="S25" s="7" t="n"/>
      <c r="T25" s="7" t="n"/>
      <c r="U25" s="7" t="n"/>
      <c r="W25" s="7" t="n"/>
      <c r="X25" s="7" t="n"/>
      <c r="Y25" s="7" t="n"/>
      <c r="Z25" s="7" t="n"/>
      <c r="AB25" s="7" t="n"/>
      <c r="AD25" s="7" t="n"/>
    </row>
    <row r="26" hidden="1">
      <c r="B26" s="15" t="inlineStr">
        <is>
          <t>104-3</t>
        </is>
      </c>
      <c r="C26" s="15" t="n"/>
      <c r="D26" s="83" t="n"/>
      <c r="E26" s="83" t="n"/>
      <c r="F26" s="176" t="n">
        <v>0</v>
      </c>
      <c r="G26" s="176">
        <f>SUMIF('Committed Costs '!C:C,B26,'Committed Costs '!G:G)</f>
        <v/>
      </c>
      <c r="H26" s="176">
        <f>SUMIF('Change Orders'!F:F,'Project Detail'!B26,'Change Orders'!E:E)</f>
        <v/>
      </c>
      <c r="I26" s="176">
        <f>SUMIF(Invoices!B:B,B26,Invoices!G:G)</f>
        <v/>
      </c>
      <c r="J26" s="176" t="n">
        <v>0</v>
      </c>
      <c r="K26" s="176">
        <f>I26-J26</f>
        <v/>
      </c>
      <c r="L26" s="1017">
        <f>+M26-G26</f>
        <v/>
      </c>
      <c r="M26" s="171">
        <f>IF((F26+H26)&gt;G26,F26+H26,G26)</f>
        <v/>
      </c>
      <c r="N26" s="171">
        <f>F26-M26</f>
        <v/>
      </c>
      <c r="O26" s="13" t="n"/>
      <c r="Q26" s="191" t="n"/>
      <c r="S26" s="191" t="n"/>
      <c r="T26" s="191" t="n"/>
      <c r="U26" s="191" t="n"/>
      <c r="W26" s="191" t="n"/>
      <c r="X26" s="191" t="n"/>
      <c r="Y26" s="191" t="n"/>
      <c r="Z26" s="191" t="n"/>
      <c r="AB26" s="191" t="n"/>
      <c r="AD26" s="191" t="n"/>
    </row>
    <row r="27" hidden="1">
      <c r="B27" s="178" t="inlineStr">
        <is>
          <t>104-4</t>
        </is>
      </c>
      <c r="C27" s="178" t="n"/>
      <c r="D27" s="154" t="n"/>
      <c r="E27" s="154" t="n"/>
      <c r="F27" s="171" t="n">
        <v>0</v>
      </c>
      <c r="G27" s="171">
        <f>SUMIF('Committed Costs '!C:C,B27,'Committed Costs '!G:G)</f>
        <v/>
      </c>
      <c r="H27" s="171">
        <f>SUMIF('Change Orders'!F:F,'Project Detail'!B27,'Change Orders'!E:E)</f>
        <v/>
      </c>
      <c r="I27" s="171">
        <f>SUMIF(Invoices!B:B,B27,Invoices!G:G)</f>
        <v/>
      </c>
      <c r="J27" s="171" t="n">
        <v>0</v>
      </c>
      <c r="K27" s="171">
        <f>I27-J27</f>
        <v/>
      </c>
      <c r="L27" s="171">
        <f>+M27-G27</f>
        <v/>
      </c>
      <c r="M27" s="171">
        <f>IF((F27+H27)&gt;G27,F27+H27,G27)</f>
        <v/>
      </c>
      <c r="N27" s="171">
        <f>F27-M27</f>
        <v/>
      </c>
      <c r="O27" s="154" t="n"/>
      <c r="P27" s="32" t="n"/>
      <c r="Q27" s="171">
        <f>M27-K27</f>
        <v/>
      </c>
      <c r="S27" s="171" t="n"/>
      <c r="T27" s="171" t="n"/>
      <c r="U27" s="171">
        <f>S27+T27</f>
        <v/>
      </c>
      <c r="W27" s="171" t="n"/>
      <c r="X27" s="171" t="n"/>
      <c r="Y27" s="171" t="n"/>
      <c r="Z27" s="171">
        <f>W27+X27+Y27</f>
        <v/>
      </c>
      <c r="AB27" s="171">
        <f>U27+Z27</f>
        <v/>
      </c>
      <c r="AD27" s="171">
        <f>Q27-AB27</f>
        <v/>
      </c>
    </row>
    <row r="28" hidden="1">
      <c r="B28" s="15" t="n"/>
      <c r="C28" s="15" t="n">
        <v>104</v>
      </c>
      <c r="D28" s="83" t="n"/>
      <c r="E28" s="172" t="inlineStr">
        <is>
          <t>Total</t>
        </is>
      </c>
      <c r="F28" s="173">
        <f>SUM(F24:F27)</f>
        <v/>
      </c>
      <c r="G28" s="173">
        <f>SUM(G24:G27)</f>
        <v/>
      </c>
      <c r="H28" s="173">
        <f>SUM(H24:H27)</f>
        <v/>
      </c>
      <c r="I28" s="173">
        <f>SUM(I24:I27)</f>
        <v/>
      </c>
      <c r="J28" s="173">
        <f>SUM(J24:J27)</f>
        <v/>
      </c>
      <c r="K28" s="173">
        <f>SUM(K24:K27)</f>
        <v/>
      </c>
      <c r="L28" s="173">
        <f>SUM(L24:L27)</f>
        <v/>
      </c>
      <c r="M28" s="173">
        <f>SUM(M24:M27)</f>
        <v/>
      </c>
      <c r="N28" s="173">
        <f>SUM(N24:N27)</f>
        <v/>
      </c>
      <c r="O28" s="13" t="n"/>
      <c r="Q28" s="173">
        <f>Q27</f>
        <v/>
      </c>
      <c r="S28" s="174">
        <f>S27</f>
        <v/>
      </c>
      <c r="T28" s="174">
        <f>T27</f>
        <v/>
      </c>
      <c r="U28" s="174">
        <f>U27</f>
        <v/>
      </c>
      <c r="W28" s="174">
        <f>W27</f>
        <v/>
      </c>
      <c r="X28" s="174">
        <f>X27</f>
        <v/>
      </c>
      <c r="Y28" s="174">
        <f>Y27</f>
        <v/>
      </c>
      <c r="Z28" s="174">
        <f>Z27</f>
        <v/>
      </c>
      <c r="AB28" s="173">
        <f>AB27</f>
        <v/>
      </c>
      <c r="AD28" s="173">
        <f>AD27</f>
        <v/>
      </c>
    </row>
    <row r="29" ht="4.5" customHeight="1">
      <c r="B29" s="192" t="n"/>
      <c r="C29" s="193" t="n"/>
      <c r="D29" s="194" t="n"/>
      <c r="E29" s="193" t="n"/>
      <c r="F29" s="193" t="n"/>
      <c r="G29" s="193" t="n"/>
      <c r="H29" s="193" t="n"/>
      <c r="I29" s="193" t="n"/>
      <c r="J29" s="193" t="n"/>
      <c r="K29" s="193" t="n"/>
      <c r="L29" s="193" t="n"/>
      <c r="M29" s="193" t="n"/>
      <c r="N29" s="193" t="n"/>
      <c r="O29" s="195" t="n"/>
      <c r="Q29" s="193" t="n"/>
      <c r="S29" s="193" t="n"/>
      <c r="T29" s="193" t="n"/>
      <c r="U29" s="193" t="n"/>
      <c r="W29" s="193" t="n"/>
      <c r="X29" s="193" t="n"/>
      <c r="Y29" s="193" t="n"/>
      <c r="Z29" s="193" t="n"/>
      <c r="AB29" s="193" t="n"/>
      <c r="AD29" s="193" t="n"/>
    </row>
    <row r="30">
      <c r="B30" s="168" t="n"/>
      <c r="C30" s="167" t="n"/>
      <c r="D30" s="166" t="n"/>
      <c r="E30" s="196" t="inlineStr">
        <is>
          <t>TOTAL BUILDING COSTS</t>
        </is>
      </c>
      <c r="F30" s="174">
        <f>SUM(F10,F16,F22,F28)</f>
        <v/>
      </c>
      <c r="G30" s="174">
        <f>SUM(G10,G16,G22,G28)</f>
        <v/>
      </c>
      <c r="H30" s="174">
        <f>SUM(H10,H16,H22,H28)</f>
        <v/>
      </c>
      <c r="I30" s="174">
        <f>SUM(I10,I16,I22,I28)</f>
        <v/>
      </c>
      <c r="J30" s="174">
        <f>SUM(J10,J16,J22,J28)</f>
        <v/>
      </c>
      <c r="K30" s="174">
        <f>SUM(K10,K16,K22,K28)</f>
        <v/>
      </c>
      <c r="L30" s="174">
        <f>SUM(L10,L16,L22,L28)</f>
        <v/>
      </c>
      <c r="M30" s="174">
        <f>SUM(M10,M16,M22,M28)</f>
        <v/>
      </c>
      <c r="N30" s="174">
        <f>SUM(N10,N16,N22,N28)</f>
        <v/>
      </c>
      <c r="O30" s="180" t="n"/>
      <c r="Q30" s="174">
        <f>SUM(Q10,Q16,Q22,Q28)</f>
        <v/>
      </c>
      <c r="S30" s="174">
        <f>SUM(S10,S16,S22,S28)</f>
        <v/>
      </c>
      <c r="T30" s="174">
        <f>SUM(T10,T16,T22,T28)</f>
        <v/>
      </c>
      <c r="U30" s="174">
        <f>SUM(U10,U16,U22,U28)</f>
        <v/>
      </c>
      <c r="W30" s="174">
        <f>SUM(W10,W16,W22,W28)</f>
        <v/>
      </c>
      <c r="X30" s="174">
        <f>SUM(X10,X16,X22,X28)</f>
        <v/>
      </c>
      <c r="Y30" s="174">
        <f>SUM(Y10,Y16,Y22,Y28)</f>
        <v/>
      </c>
      <c r="Z30" s="174">
        <f>SUM(Z10,Z16,Z22,Z28)</f>
        <v/>
      </c>
      <c r="AB30" s="174">
        <f>SUM(AB10,AB16,AB22,AB28)</f>
        <v/>
      </c>
      <c r="AD30" s="174">
        <f>SUM(AD10,AD16,AD22,AD28)</f>
        <v/>
      </c>
    </row>
    <row r="31">
      <c r="B31" s="6" t="n"/>
      <c r="C31" s="6" t="n"/>
      <c r="D31" s="84" t="n"/>
      <c r="E31" s="6" t="n"/>
      <c r="F31" s="5" t="n"/>
      <c r="G31" s="5" t="n"/>
      <c r="H31" s="5" t="n"/>
      <c r="I31" s="5" t="n"/>
      <c r="J31" s="5" t="n"/>
      <c r="K31" s="5" t="n"/>
      <c r="L31" s="5" t="n"/>
      <c r="M31" s="5" t="n"/>
      <c r="N31" s="5" t="n"/>
      <c r="O31" s="6" t="n"/>
      <c r="Q31" s="5" t="n"/>
      <c r="S31" s="5" t="n"/>
      <c r="T31" s="5" t="n"/>
      <c r="U31" s="5" t="n"/>
      <c r="W31" s="5" t="n"/>
      <c r="X31" s="5" t="n"/>
      <c r="Y31" s="5" t="n"/>
      <c r="Z31" s="5" t="n"/>
      <c r="AB31" s="5" t="n"/>
      <c r="AD31" s="5" t="n"/>
    </row>
    <row r="32" ht="16" customHeight="1" thickBot="1">
      <c r="B32" s="3" t="n"/>
      <c r="C32" s="3" t="n"/>
      <c r="D32" s="84" t="n"/>
      <c r="E32" s="3" t="n"/>
      <c r="F32" s="5" t="n"/>
      <c r="G32" s="5" t="n"/>
      <c r="H32" s="5" t="n"/>
      <c r="I32" s="5" t="n"/>
      <c r="J32" s="5" t="n"/>
      <c r="K32" s="5" t="n"/>
      <c r="L32" s="5" t="n"/>
      <c r="M32" s="5" t="n"/>
      <c r="N32" s="5" t="n"/>
      <c r="O32" s="6" t="n"/>
      <c r="Q32" s="5" t="n"/>
      <c r="S32" s="5" t="n"/>
      <c r="T32" s="5" t="n"/>
      <c r="U32" s="5" t="n"/>
      <c r="W32" s="5" t="n"/>
      <c r="X32" s="5" t="n"/>
      <c r="Y32" s="5" t="n"/>
      <c r="Z32" s="5" t="n"/>
      <c r="AB32" s="5" t="n"/>
      <c r="AD32" s="5" t="n"/>
    </row>
    <row r="33" ht="18" customHeight="1" thickBot="1">
      <c r="B33" s="170" t="n">
        <v>200</v>
      </c>
      <c r="C33" s="78" t="n"/>
      <c r="D33" s="188" t="inlineStr">
        <is>
          <t>Soft Costs</t>
        </is>
      </c>
      <c r="E33" s="189" t="n"/>
      <c r="F33" s="189" t="n"/>
      <c r="G33" s="189" t="n"/>
      <c r="H33" s="189" t="n"/>
      <c r="I33" s="189" t="n"/>
      <c r="J33" s="189" t="n"/>
      <c r="K33" s="189" t="n"/>
      <c r="L33" s="189" t="n"/>
      <c r="M33" s="189" t="n"/>
      <c r="N33" s="189" t="n"/>
      <c r="O33" s="190" t="n"/>
      <c r="Q33" s="216" t="n"/>
      <c r="S33" s="216" t="n"/>
      <c r="T33" s="216" t="n"/>
      <c r="U33" s="216" t="n"/>
      <c r="W33" s="216" t="n"/>
      <c r="X33" s="216" t="n"/>
      <c r="Y33" s="216" t="n"/>
      <c r="Z33" s="216" t="n"/>
      <c r="AB33" s="216" t="n"/>
      <c r="AD33" s="216" t="n"/>
    </row>
    <row r="34" ht="15" customHeight="1">
      <c r="B34" s="200" t="n">
        <v>201</v>
      </c>
      <c r="C34" s="201" t="n"/>
      <c r="D34" s="202" t="inlineStr">
        <is>
          <t>Project Management</t>
        </is>
      </c>
      <c r="E34" s="203" t="n"/>
      <c r="F34" s="203" t="n"/>
      <c r="G34" s="203" t="n"/>
      <c r="H34" s="203" t="n"/>
      <c r="I34" s="203" t="n"/>
      <c r="J34" s="203" t="n"/>
      <c r="K34" s="203" t="n"/>
      <c r="L34" s="203" t="n"/>
      <c r="M34" s="203" t="n"/>
      <c r="N34" s="203" t="n"/>
      <c r="O34" s="204" t="n"/>
      <c r="Q34" s="118" t="n"/>
      <c r="S34" s="203" t="n"/>
      <c r="T34" s="203" t="n"/>
      <c r="U34" s="203" t="n"/>
      <c r="W34" s="203" t="n"/>
      <c r="X34" s="203" t="n"/>
      <c r="Y34" s="203" t="n"/>
      <c r="Z34" s="203" t="n"/>
      <c r="AB34" s="203" t="n"/>
      <c r="AD34" s="118" t="n"/>
    </row>
    <row r="35" ht="14.5" customHeight="1">
      <c r="B35" s="144" t="inlineStr">
        <is>
          <t>201-1</t>
        </is>
      </c>
      <c r="C35" s="144" t="n"/>
      <c r="D35" s="83" t="inlineStr">
        <is>
          <t xml:space="preserve">LNE </t>
        </is>
      </c>
      <c r="E35" s="83" t="inlineStr">
        <is>
          <t>Project Management</t>
        </is>
      </c>
      <c r="F35" s="85">
        <f>'Budget Summary'!D45</f>
        <v/>
      </c>
      <c r="G35" s="176">
        <f>SUMIF('Committed Costs '!C:C,B35,'Committed Costs '!G:G)</f>
        <v/>
      </c>
      <c r="H35" s="176">
        <f>SUMIF('Change Orders'!F:F,'Project Detail'!B35,'Change Orders'!E:E)</f>
        <v/>
      </c>
      <c r="I35" s="176">
        <f>SUMIF(Invoices!B:B,B35,Invoices!G:G)</f>
        <v/>
      </c>
      <c r="J35" s="176" t="n">
        <v>0</v>
      </c>
      <c r="K35" s="176">
        <f>I35-J35</f>
        <v/>
      </c>
      <c r="L35" s="171">
        <f>+M35-G35</f>
        <v/>
      </c>
      <c r="M35" s="171">
        <f>G35</f>
        <v/>
      </c>
      <c r="N35" s="171">
        <f>F35-M35</f>
        <v/>
      </c>
      <c r="O35" s="154" t="n"/>
      <c r="Q35" s="171">
        <f>M35-K35</f>
        <v/>
      </c>
      <c r="S35" s="171" t="n"/>
      <c r="T35" s="171" t="n"/>
      <c r="U35" s="171">
        <f>S35+T35</f>
        <v/>
      </c>
      <c r="W35" s="171" t="n"/>
      <c r="X35" s="171" t="n"/>
      <c r="Y35" s="171" t="n"/>
      <c r="Z35" s="171">
        <f>W35+X35+Y35</f>
        <v/>
      </c>
      <c r="AB35" s="171">
        <f>U35+Z35</f>
        <v/>
      </c>
      <c r="AD35" s="171">
        <f>Q35-AB35</f>
        <v/>
      </c>
    </row>
    <row r="36" ht="14.5" customHeight="1">
      <c r="B36" s="144" t="inlineStr">
        <is>
          <t>201-2</t>
        </is>
      </c>
      <c r="C36" s="144" t="n"/>
      <c r="D36" s="181" t="inlineStr">
        <is>
          <t>TBD</t>
        </is>
      </c>
      <c r="E36" s="13" t="inlineStr">
        <is>
          <t>Project Management (3rd Party)</t>
        </is>
      </c>
      <c r="F36" s="85">
        <f>'Budget Summary'!#REF!</f>
        <v/>
      </c>
      <c r="G36" s="176">
        <f>SUMIF('Committed Costs '!C:C,B36,'Committed Costs '!G:G)</f>
        <v/>
      </c>
      <c r="H36" s="176">
        <f>SUMIF('Change Orders'!F:F,'Project Detail'!B36,'Change Orders'!E:E)</f>
        <v/>
      </c>
      <c r="I36" s="176">
        <f>SUMIF(Invoices!B:B,B36,Invoices!G:G)</f>
        <v/>
      </c>
      <c r="J36" s="176" t="n">
        <v>0</v>
      </c>
      <c r="K36" s="176">
        <f>I36-J36</f>
        <v/>
      </c>
      <c r="L36" s="171">
        <f>+M36-G36</f>
        <v/>
      </c>
      <c r="M36" s="171">
        <f>IF((F36+H36)&gt;G36,F36+H36,G36)</f>
        <v/>
      </c>
      <c r="N36" s="171">
        <f>F36-M36</f>
        <v/>
      </c>
      <c r="O36" s="13" t="n"/>
      <c r="Q36" s="171" t="n"/>
      <c r="S36" s="171" t="n"/>
      <c r="T36" s="171" t="n"/>
      <c r="U36" s="171" t="n"/>
      <c r="W36" s="171" t="n"/>
      <c r="X36" s="171" t="n"/>
      <c r="Y36" s="171" t="n"/>
      <c r="Z36" s="171" t="n"/>
      <c r="AB36" s="171" t="n"/>
      <c r="AD36" s="171" t="n"/>
    </row>
    <row r="37" ht="14.5" customHeight="1">
      <c r="B37" s="144" t="inlineStr">
        <is>
          <t>201-3</t>
        </is>
      </c>
      <c r="C37" s="144" t="n"/>
      <c r="D37" s="181" t="n"/>
      <c r="E37" s="13" t="n"/>
      <c r="F37" s="85" t="n">
        <v>0</v>
      </c>
      <c r="G37" s="176">
        <f>SUMIF('Committed Costs '!C:C,B37,'Committed Costs '!G:G)</f>
        <v/>
      </c>
      <c r="H37" s="176">
        <f>SUMIF('Change Orders'!F:F,'Project Detail'!B37,'Change Orders'!E:E)</f>
        <v/>
      </c>
      <c r="I37" s="176">
        <f>SUMIF(Invoices!B:B,B37,Invoices!G:G)</f>
        <v/>
      </c>
      <c r="J37" s="176" t="n">
        <v>0</v>
      </c>
      <c r="K37" s="176">
        <f>I37-J37</f>
        <v/>
      </c>
      <c r="L37" s="171">
        <f>+M37-G37</f>
        <v/>
      </c>
      <c r="M37" s="171">
        <f>IF((F37+H37)&gt;G37,F37+H37,G37)</f>
        <v/>
      </c>
      <c r="N37" s="171">
        <f>F37-M37</f>
        <v/>
      </c>
      <c r="O37" s="13" t="n"/>
      <c r="Q37" s="171" t="n"/>
      <c r="S37" s="171" t="n"/>
      <c r="T37" s="171" t="n"/>
      <c r="U37" s="171" t="n"/>
      <c r="W37" s="171" t="n"/>
      <c r="X37" s="171" t="n"/>
      <c r="Y37" s="171" t="n"/>
      <c r="Z37" s="171" t="n"/>
      <c r="AB37" s="171" t="n"/>
      <c r="AD37" s="171" t="n"/>
    </row>
    <row r="38" ht="14.5" customHeight="1">
      <c r="B38" s="144" t="inlineStr">
        <is>
          <t>201-4</t>
        </is>
      </c>
      <c r="C38" s="144" t="n"/>
      <c r="D38" s="181" t="n"/>
      <c r="E38" s="13" t="n"/>
      <c r="F38" s="85" t="n">
        <v>0</v>
      </c>
      <c r="G38" s="176">
        <f>SUMIF('Committed Costs '!C:C,B38,'Committed Costs '!G:G)</f>
        <v/>
      </c>
      <c r="H38" s="176">
        <f>SUMIF('Change Orders'!F:F,'Project Detail'!B38,'Change Orders'!E:E)</f>
        <v/>
      </c>
      <c r="I38" s="176">
        <f>SUMIF(Invoices!B:B,B38,Invoices!G:G)</f>
        <v/>
      </c>
      <c r="J38" s="176" t="n">
        <v>0</v>
      </c>
      <c r="K38" s="176">
        <f>I38-J38</f>
        <v/>
      </c>
      <c r="L38" s="171">
        <f>+M38-G38</f>
        <v/>
      </c>
      <c r="M38" s="171">
        <f>IF((F38+H38)&gt;G38,F38+H38,G38)</f>
        <v/>
      </c>
      <c r="N38" s="171">
        <f>F38-M38</f>
        <v/>
      </c>
      <c r="O38" s="13" t="n"/>
      <c r="Q38" s="171" t="n"/>
      <c r="S38" s="171" t="n"/>
      <c r="T38" s="171" t="n"/>
      <c r="U38" s="171" t="n"/>
      <c r="W38" s="171" t="n"/>
      <c r="X38" s="171" t="n"/>
      <c r="Y38" s="171" t="n"/>
      <c r="Z38" s="171" t="n"/>
      <c r="AB38" s="171" t="n"/>
      <c r="AD38" s="171" t="n"/>
    </row>
    <row r="39" ht="15" customHeight="1">
      <c r="B39" s="15" t="n"/>
      <c r="C39" s="15" t="n">
        <v>201</v>
      </c>
      <c r="D39" s="83" t="n"/>
      <c r="E39" s="172" t="inlineStr">
        <is>
          <t>Total Project Management</t>
        </is>
      </c>
      <c r="F39" s="173">
        <f>SUM(F35:F38)</f>
        <v/>
      </c>
      <c r="G39" s="173">
        <f>SUM(G35:G38)</f>
        <v/>
      </c>
      <c r="H39" s="173">
        <f>SUM(H35:H38)</f>
        <v/>
      </c>
      <c r="I39" s="173">
        <f>SUM(I35:I38)</f>
        <v/>
      </c>
      <c r="J39" s="173">
        <f>SUM(J35:J38)</f>
        <v/>
      </c>
      <c r="K39" s="173">
        <f>SUM(K35:K38)</f>
        <v/>
      </c>
      <c r="L39" s="173">
        <f>SUM(L35:L38)</f>
        <v/>
      </c>
      <c r="M39" s="173">
        <f>SUM(M35:M38)</f>
        <v/>
      </c>
      <c r="N39" s="173">
        <f>SUM(N35:N38)</f>
        <v/>
      </c>
      <c r="O39" s="13" t="n"/>
      <c r="Q39" s="173">
        <f>Q35</f>
        <v/>
      </c>
      <c r="S39" s="173">
        <f>S35</f>
        <v/>
      </c>
      <c r="T39" s="173">
        <f>T35</f>
        <v/>
      </c>
      <c r="U39" s="173">
        <f>U35</f>
        <v/>
      </c>
      <c r="W39" s="173">
        <f>W35</f>
        <v/>
      </c>
      <c r="X39" s="173">
        <f>X35</f>
        <v/>
      </c>
      <c r="Y39" s="173">
        <f>Y35</f>
        <v/>
      </c>
      <c r="Z39" s="173">
        <f>Z35</f>
        <v/>
      </c>
      <c r="AB39" s="173">
        <f>AB35</f>
        <v/>
      </c>
      <c r="AD39" s="173">
        <f>AD35</f>
        <v/>
      </c>
    </row>
    <row r="40" ht="15" customHeight="1">
      <c r="B40" s="206" t="n">
        <v>202</v>
      </c>
      <c r="C40" s="207" t="n"/>
      <c r="D40" s="208" t="inlineStr">
        <is>
          <t>Architectural Fees</t>
        </is>
      </c>
      <c r="E40" s="209" t="n"/>
      <c r="F40" s="209" t="n"/>
      <c r="G40" s="209" t="n"/>
      <c r="H40" s="209" t="n"/>
      <c r="I40" s="209" t="n"/>
      <c r="J40" s="209" t="n"/>
      <c r="K40" s="209" t="n"/>
      <c r="L40" s="209" t="n"/>
      <c r="M40" s="209" t="n"/>
      <c r="N40" s="209" t="n"/>
      <c r="O40" s="210" t="n"/>
      <c r="Q40" s="118" t="n"/>
      <c r="S40" s="209" t="n"/>
      <c r="T40" s="209" t="n"/>
      <c r="U40" s="209" t="n"/>
      <c r="W40" s="209" t="n"/>
      <c r="X40" s="209" t="n"/>
      <c r="Y40" s="209" t="n"/>
      <c r="Z40" s="209" t="n"/>
      <c r="AB40" s="209" t="n"/>
      <c r="AD40" s="118" t="n"/>
    </row>
    <row r="41" ht="14.5" customHeight="1">
      <c r="B41" s="144" t="inlineStr">
        <is>
          <t>202-1</t>
        </is>
      </c>
      <c r="C41" s="144" t="n"/>
      <c r="D41" s="181" t="inlineStr">
        <is>
          <t>TBD</t>
        </is>
      </c>
      <c r="E41" s="83" t="inlineStr">
        <is>
          <t>Architectural Fees</t>
        </is>
      </c>
      <c r="F41" s="182">
        <f>'Budget Summary'!D35</f>
        <v/>
      </c>
      <c r="G41" s="176">
        <f>SUMIF('Committed Costs '!C:C,B41,'Committed Costs '!G:G)</f>
        <v/>
      </c>
      <c r="H41" s="176">
        <f>SUMIF('Change Orders'!F:F,'Project Detail'!B41,'Change Orders'!E:E)</f>
        <v/>
      </c>
      <c r="I41" s="176">
        <f>SUMIF(Invoices!B:B,B41,Invoices!G:G)</f>
        <v/>
      </c>
      <c r="J41" s="176" t="n">
        <v>0</v>
      </c>
      <c r="K41" s="176">
        <f>I41-J41</f>
        <v/>
      </c>
      <c r="L41" s="171">
        <f>+M41-G41</f>
        <v/>
      </c>
      <c r="M41" s="171">
        <f>G41</f>
        <v/>
      </c>
      <c r="N41" s="171">
        <f>F41-M41</f>
        <v/>
      </c>
      <c r="O41" s="154" t="n"/>
      <c r="Q41" s="171">
        <f>M41-K41</f>
        <v/>
      </c>
      <c r="S41" s="171" t="n"/>
      <c r="T41" s="171" t="n"/>
      <c r="U41" s="171">
        <f>S41+T41</f>
        <v/>
      </c>
      <c r="W41" s="171" t="n"/>
      <c r="X41" s="171" t="n"/>
      <c r="Y41" s="171" t="n"/>
      <c r="Z41" s="171">
        <f>W41+X41+Y41</f>
        <v/>
      </c>
      <c r="AB41" s="171">
        <f>U41+Z41</f>
        <v/>
      </c>
      <c r="AD41" s="171">
        <f>Q41-AB41</f>
        <v/>
      </c>
    </row>
    <row r="42" ht="14.5" customHeight="1">
      <c r="B42" s="183" t="inlineStr">
        <is>
          <t>202-2</t>
        </is>
      </c>
      <c r="C42" s="183" t="n"/>
      <c r="D42" s="184" t="n"/>
      <c r="E42" s="154" t="n"/>
      <c r="F42" s="182" t="n">
        <v>0</v>
      </c>
      <c r="G42" s="171">
        <f>SUMIF('Committed Costs '!C:C,B42,'Committed Costs '!G:G)</f>
        <v/>
      </c>
      <c r="H42" s="171">
        <f>SUMIF('Change Orders'!F:F,'Project Detail'!B42,'Change Orders'!E:E)</f>
        <v/>
      </c>
      <c r="I42" s="171">
        <f>SUMIF(Invoices!B:B,B42,Invoices!G:G)</f>
        <v/>
      </c>
      <c r="J42" s="171" t="n">
        <v>0</v>
      </c>
      <c r="K42" s="171">
        <f>I42-J42</f>
        <v/>
      </c>
      <c r="L42" s="171">
        <f>+M42-G42</f>
        <v/>
      </c>
      <c r="M42" s="171">
        <f>IF((F42+H42)&gt;G42,F42+H42,G42)</f>
        <v/>
      </c>
      <c r="N42" s="185">
        <f>F42-M42</f>
        <v/>
      </c>
      <c r="O42" s="154" t="n"/>
      <c r="Q42" s="171">
        <f>M42-K42</f>
        <v/>
      </c>
      <c r="S42" s="171" t="n"/>
      <c r="T42" s="171" t="n"/>
      <c r="U42" s="171">
        <f>S42+T42</f>
        <v/>
      </c>
      <c r="W42" s="171" t="n"/>
      <c r="X42" s="171" t="n"/>
      <c r="Y42" s="171" t="n"/>
      <c r="Z42" s="171">
        <f>W42+X42+Y42</f>
        <v/>
      </c>
      <c r="AB42" s="171">
        <f>U42+Z42</f>
        <v/>
      </c>
      <c r="AD42" s="171">
        <f>Q42-AB42</f>
        <v/>
      </c>
    </row>
    <row r="43" ht="14.5" customHeight="1">
      <c r="B43" s="144" t="inlineStr">
        <is>
          <t>202-3</t>
        </is>
      </c>
      <c r="C43" s="144" t="n"/>
      <c r="D43" s="181" t="n"/>
      <c r="E43" s="83" t="n"/>
      <c r="F43" s="182" t="n">
        <v>0</v>
      </c>
      <c r="G43" s="176">
        <f>SUMIF('Committed Costs '!C:C,B43,'Committed Costs '!G:G)</f>
        <v/>
      </c>
      <c r="H43" s="176">
        <f>SUMIF('Change Orders'!F:F,'Project Detail'!B43,'Change Orders'!E:E)</f>
        <v/>
      </c>
      <c r="I43" s="176">
        <f>SUMIF(Invoices!B:B,B43,Invoices!G:G)</f>
        <v/>
      </c>
      <c r="J43" s="176" t="n">
        <v>0</v>
      </c>
      <c r="K43" s="176">
        <f>I43-J43</f>
        <v/>
      </c>
      <c r="L43" s="171">
        <f>+M43-G43</f>
        <v/>
      </c>
      <c r="M43" s="171" t="n">
        <v>0</v>
      </c>
      <c r="N43" s="171">
        <f>F43-M43</f>
        <v/>
      </c>
      <c r="O43" s="154" t="n"/>
      <c r="Q43" s="171">
        <f>M43-K43</f>
        <v/>
      </c>
      <c r="S43" s="171" t="n"/>
      <c r="T43" s="171" t="n"/>
      <c r="U43" s="171">
        <f>S43+T43</f>
        <v/>
      </c>
      <c r="W43" s="171" t="n"/>
      <c r="X43" s="171" t="n"/>
      <c r="Y43" s="171" t="n"/>
      <c r="Z43" s="171">
        <f>W43+X43+Y43</f>
        <v/>
      </c>
      <c r="AB43" s="171">
        <f>U43+Z43</f>
        <v/>
      </c>
      <c r="AD43" s="171">
        <f>Q43-AB43</f>
        <v/>
      </c>
    </row>
    <row r="44" ht="14.5" customHeight="1">
      <c r="B44" s="144" t="inlineStr">
        <is>
          <t>202-4</t>
        </is>
      </c>
      <c r="C44" s="144" t="n"/>
      <c r="D44" s="181" t="n"/>
      <c r="E44" s="13" t="n"/>
      <c r="F44" s="85" t="n">
        <v>0</v>
      </c>
      <c r="G44" s="176">
        <f>SUMIF('Committed Costs '!C:C,B44,'Committed Costs '!G:G)</f>
        <v/>
      </c>
      <c r="H44" s="176">
        <f>SUMIF('Change Orders'!F:F,'Project Detail'!B44,'Change Orders'!E:E)</f>
        <v/>
      </c>
      <c r="I44" s="176">
        <f>SUMIF(Invoices!B:B,B44,Invoices!G:G)</f>
        <v/>
      </c>
      <c r="J44" s="176" t="n">
        <v>0</v>
      </c>
      <c r="K44" s="176">
        <f>I44-J44</f>
        <v/>
      </c>
      <c r="L44" s="171">
        <f>+M44-G44</f>
        <v/>
      </c>
      <c r="M44" s="171">
        <f>IF((F44+H44)&gt;G44,F44+H44,G44)</f>
        <v/>
      </c>
      <c r="N44" s="171">
        <f>F44-M44</f>
        <v/>
      </c>
      <c r="O44" s="13" t="n"/>
      <c r="Q44" s="171" t="n"/>
      <c r="S44" s="171" t="n"/>
      <c r="T44" s="171" t="n"/>
      <c r="U44" s="171" t="n"/>
      <c r="W44" s="171" t="n"/>
      <c r="X44" s="171" t="n"/>
      <c r="Y44" s="171" t="n"/>
      <c r="Z44" s="171" t="n"/>
      <c r="AB44" s="171" t="n"/>
      <c r="AD44" s="171" t="n"/>
    </row>
    <row r="45" ht="15" customHeight="1">
      <c r="B45" s="15" t="n"/>
      <c r="C45" s="15" t="n">
        <v>202</v>
      </c>
      <c r="D45" s="83" t="n"/>
      <c r="E45" s="172" t="inlineStr">
        <is>
          <t>Total Architectural Fees</t>
        </is>
      </c>
      <c r="F45" s="173">
        <f>SUM(F41:F44)</f>
        <v/>
      </c>
      <c r="G45" s="173">
        <f>SUM(G41:G44)</f>
        <v/>
      </c>
      <c r="H45" s="173">
        <f>SUM(H41:H44)</f>
        <v/>
      </c>
      <c r="I45" s="173">
        <f>SUM(I41:I44)</f>
        <v/>
      </c>
      <c r="J45" s="173">
        <f>SUM(J41:J44)</f>
        <v/>
      </c>
      <c r="K45" s="173">
        <f>SUM(K41:K44)</f>
        <v/>
      </c>
      <c r="L45" s="173">
        <f>SUM(L41:L44)</f>
        <v/>
      </c>
      <c r="M45" s="173">
        <f>SUM(M41:M44)</f>
        <v/>
      </c>
      <c r="N45" s="173">
        <f>SUM(N41:N44)</f>
        <v/>
      </c>
      <c r="O45" s="13" t="n"/>
      <c r="Q45" s="173">
        <f>SUM(Q41:Q43)</f>
        <v/>
      </c>
      <c r="S45" s="173">
        <f>SUM(S41:S43)</f>
        <v/>
      </c>
      <c r="T45" s="173">
        <f>SUM(T41:T43)</f>
        <v/>
      </c>
      <c r="U45" s="173">
        <f>SUM(U41:U43)</f>
        <v/>
      </c>
      <c r="W45" s="173">
        <f>SUM(W41:W43)</f>
        <v/>
      </c>
      <c r="X45" s="173">
        <f>SUM(X41:X43)</f>
        <v/>
      </c>
      <c r="Y45" s="173">
        <f>SUM(Y41:Y43)</f>
        <v/>
      </c>
      <c r="Z45" s="173">
        <f>SUM(Z41:Z43)</f>
        <v/>
      </c>
      <c r="AB45" s="173">
        <f>SUM(AB41:AB43)</f>
        <v/>
      </c>
      <c r="AD45" s="173">
        <f>SUM(AD41:AD43)</f>
        <v/>
      </c>
    </row>
    <row r="46" ht="15" customHeight="1">
      <c r="B46" s="206" t="n">
        <v>203</v>
      </c>
      <c r="C46" s="207" t="n"/>
      <c r="D46" s="208" t="inlineStr">
        <is>
          <t>Design, Engineering &amp; Misc.</t>
        </is>
      </c>
      <c r="E46" s="209" t="n"/>
      <c r="F46" s="209" t="n"/>
      <c r="G46" s="209" t="n"/>
      <c r="H46" s="209" t="n"/>
      <c r="I46" s="209" t="n"/>
      <c r="J46" s="209" t="n"/>
      <c r="K46" s="209" t="n"/>
      <c r="L46" s="209" t="n"/>
      <c r="M46" s="209" t="n"/>
      <c r="N46" s="209" t="n"/>
      <c r="O46" s="210" t="n"/>
      <c r="Q46" s="118" t="n"/>
      <c r="S46" s="209" t="n"/>
      <c r="T46" s="209" t="n"/>
      <c r="U46" s="209" t="n"/>
      <c r="W46" s="209" t="n"/>
      <c r="X46" s="209" t="n"/>
      <c r="Y46" s="209" t="n"/>
      <c r="Z46" s="209" t="n"/>
      <c r="AB46" s="209" t="n"/>
      <c r="AD46" s="118" t="n"/>
    </row>
    <row r="47" ht="14.5" customHeight="1">
      <c r="B47" s="183" t="inlineStr">
        <is>
          <t>203-1</t>
        </is>
      </c>
      <c r="C47" s="183" t="n"/>
      <c r="D47" s="154" t="inlineStr">
        <is>
          <t>K2</t>
        </is>
      </c>
      <c r="E47" s="154" t="inlineStr">
        <is>
          <t xml:space="preserve">AV/LV Design </t>
        </is>
      </c>
      <c r="F47" s="182">
        <f>'Budget Summary'!#REF!</f>
        <v/>
      </c>
      <c r="G47" s="171">
        <f>SUMIF('Committed Costs '!C:C,B47,'Committed Costs '!G:G)</f>
        <v/>
      </c>
      <c r="H47" s="171">
        <f>SUMIF('Change Orders'!F:F,'Project Detail'!B47,'Change Orders'!E:E)</f>
        <v/>
      </c>
      <c r="I47" s="171">
        <f>SUMIF(Invoices!B:B,B47,Invoices!G:G)</f>
        <v/>
      </c>
      <c r="J47" s="171" t="n">
        <v>0</v>
      </c>
      <c r="K47" s="171">
        <f>I47-J47</f>
        <v/>
      </c>
      <c r="L47" s="171">
        <f>+M47-G47</f>
        <v/>
      </c>
      <c r="M47" s="171">
        <f>G47</f>
        <v/>
      </c>
      <c r="N47" s="171">
        <f>F47-M47</f>
        <v/>
      </c>
      <c r="O47" s="154" t="n"/>
      <c r="Q47" s="171">
        <f>M47-K47</f>
        <v/>
      </c>
      <c r="S47" s="171" t="n"/>
      <c r="T47" s="171" t="n"/>
      <c r="U47" s="171">
        <f>S47+T47</f>
        <v/>
      </c>
      <c r="W47" s="171" t="n"/>
      <c r="X47" s="171" t="n"/>
      <c r="Y47" s="171" t="n"/>
      <c r="Z47" s="171">
        <f>W47+X47+Y47</f>
        <v/>
      </c>
      <c r="AB47" s="171">
        <f>U47+Z47</f>
        <v/>
      </c>
      <c r="AD47" s="171">
        <f>Q47-AB47</f>
        <v/>
      </c>
    </row>
    <row r="48" ht="14.5" customHeight="1">
      <c r="B48" s="144" t="inlineStr">
        <is>
          <t>203-2</t>
        </is>
      </c>
      <c r="C48" s="144" t="n"/>
      <c r="D48" s="83" t="inlineStr">
        <is>
          <t>Trimark</t>
        </is>
      </c>
      <c r="E48" s="83" t="inlineStr">
        <is>
          <t>Kitchen Design</t>
        </is>
      </c>
      <c r="F48" s="182">
        <f>'Budget Summary'!#REF!</f>
        <v/>
      </c>
      <c r="G48" s="176">
        <f>SUMIF('Committed Costs '!C:C,B48,'Committed Costs '!G:G)</f>
        <v/>
      </c>
      <c r="H48" s="176">
        <f>SUMIF('Change Orders'!F:F,'Project Detail'!B48,'Change Orders'!E:E)</f>
        <v/>
      </c>
      <c r="I48" s="176">
        <f>SUMIF(Invoices!B:B,B48,Invoices!G:G)</f>
        <v/>
      </c>
      <c r="J48" s="176" t="n">
        <v>0</v>
      </c>
      <c r="K48" s="176">
        <f>I48-J48</f>
        <v/>
      </c>
      <c r="L48" s="171">
        <f>+M48-G48</f>
        <v/>
      </c>
      <c r="M48" s="171">
        <f>G48</f>
        <v/>
      </c>
      <c r="N48" s="171">
        <f>F48-M48</f>
        <v/>
      </c>
      <c r="O48" s="83" t="n"/>
      <c r="Q48" s="171">
        <f>M48-K48</f>
        <v/>
      </c>
      <c r="S48" s="171" t="n"/>
      <c r="T48" s="171" t="n"/>
      <c r="U48" s="171">
        <f>S48+T48</f>
        <v/>
      </c>
      <c r="W48" s="171" t="n"/>
      <c r="X48" s="171" t="n"/>
      <c r="Y48" s="171" t="n"/>
      <c r="Z48" s="171">
        <f>W48+X48+Y48</f>
        <v/>
      </c>
      <c r="AB48" s="171">
        <f>U48+Z48</f>
        <v/>
      </c>
      <c r="AD48" s="171">
        <f>Q48-AB48</f>
        <v/>
      </c>
    </row>
    <row r="49" ht="14.5" customHeight="1">
      <c r="B49" s="144" t="inlineStr">
        <is>
          <t>203-3</t>
        </is>
      </c>
      <c r="C49" s="144" t="n"/>
      <c r="D49" s="83" t="inlineStr">
        <is>
          <t>Bandit Lites</t>
        </is>
      </c>
      <c r="E49" s="83" t="inlineStr">
        <is>
          <t>Lighting Design</t>
        </is>
      </c>
      <c r="F49" s="182">
        <f>'Budget Summary'!#REF!</f>
        <v/>
      </c>
      <c r="G49" s="176">
        <f>SUMIF('Committed Costs '!C:C,B49,'Committed Costs '!G:G)</f>
        <v/>
      </c>
      <c r="H49" s="176">
        <f>SUMIF('Change Orders'!F:F,'Project Detail'!B49,'Change Orders'!E:E)</f>
        <v/>
      </c>
      <c r="I49" s="176">
        <f>SUMIF(Invoices!B:B,B49,Invoices!G:G)</f>
        <v/>
      </c>
      <c r="J49" s="176" t="n">
        <v>0</v>
      </c>
      <c r="K49" s="176">
        <f>I49-J49</f>
        <v/>
      </c>
      <c r="L49" s="171">
        <f>+M49-G49</f>
        <v/>
      </c>
      <c r="M49" s="171">
        <f>G49</f>
        <v/>
      </c>
      <c r="N49" s="171">
        <f>F49-M49</f>
        <v/>
      </c>
      <c r="O49" s="83" t="n"/>
      <c r="Q49" s="171">
        <f>M49-K49</f>
        <v/>
      </c>
      <c r="S49" s="171" t="n"/>
      <c r="T49" s="171" t="n"/>
      <c r="U49" s="171">
        <f>S49+T49</f>
        <v/>
      </c>
      <c r="W49" s="171" t="n"/>
      <c r="X49" s="171" t="n"/>
      <c r="Y49" s="171" t="n"/>
      <c r="Z49" s="171">
        <f>W49+X49+Y49</f>
        <v/>
      </c>
      <c r="AB49" s="171">
        <f>U49+Z49</f>
        <v/>
      </c>
      <c r="AD49" s="171">
        <f>Q49-AB49</f>
        <v/>
      </c>
    </row>
    <row r="50" ht="14.5" customHeight="1">
      <c r="B50" s="144" t="inlineStr">
        <is>
          <t>203-4</t>
        </is>
      </c>
      <c r="C50" s="144" t="n"/>
      <c r="D50" s="83" t="inlineStr">
        <is>
          <t>TBD</t>
        </is>
      </c>
      <c r="E50" s="83" t="inlineStr">
        <is>
          <t>Branding</t>
        </is>
      </c>
      <c r="F50" s="182">
        <f>'Budget Summary'!D33</f>
        <v/>
      </c>
      <c r="G50" s="176">
        <f>SUMIF('Committed Costs '!C:C,B50,'Committed Costs '!G:G)</f>
        <v/>
      </c>
      <c r="H50" s="176">
        <f>SUMIF('Change Orders'!F:F,'Project Detail'!B50,'Change Orders'!E:E)</f>
        <v/>
      </c>
      <c r="I50" s="176">
        <f>SUMIF(Invoices!B:B,B50,Invoices!G:G)</f>
        <v/>
      </c>
      <c r="J50" s="176" t="n">
        <v>0</v>
      </c>
      <c r="K50" s="176">
        <f>I50-J50</f>
        <v/>
      </c>
      <c r="L50" s="171">
        <f>+M50-G50</f>
        <v/>
      </c>
      <c r="M50" s="171">
        <f>G50</f>
        <v/>
      </c>
      <c r="N50" s="171">
        <f>F50-M50</f>
        <v/>
      </c>
      <c r="O50" s="83" t="n"/>
      <c r="Q50" s="171" t="n"/>
      <c r="S50" s="171" t="n"/>
      <c r="T50" s="171" t="n"/>
      <c r="U50" s="171" t="n"/>
      <c r="W50" s="171" t="n"/>
      <c r="X50" s="171" t="n"/>
      <c r="Y50" s="171" t="n"/>
      <c r="Z50" s="171" t="n"/>
      <c r="AB50" s="171" t="n"/>
      <c r="AD50" s="171" t="n"/>
    </row>
    <row r="51" ht="14.5" customHeight="1">
      <c r="B51" s="144" t="inlineStr">
        <is>
          <t>203-5</t>
        </is>
      </c>
      <c r="C51" s="144" t="n"/>
      <c r="D51" s="83" t="inlineStr">
        <is>
          <t>TBD</t>
        </is>
      </c>
      <c r="E51" s="83" t="inlineStr">
        <is>
          <t>Civil Engineering</t>
        </is>
      </c>
      <c r="F51" s="182">
        <f>'Budget Summary'!D36</f>
        <v/>
      </c>
      <c r="G51" s="176">
        <f>SUMIF('Committed Costs '!C:C,B51,'Committed Costs '!G:G)</f>
        <v/>
      </c>
      <c r="H51" s="176">
        <f>SUMIF('Change Orders'!F:F,'Project Detail'!B51,'Change Orders'!E:E)</f>
        <v/>
      </c>
      <c r="I51" s="176">
        <f>SUMIF(Invoices!B:B,B51,Invoices!G:G)</f>
        <v/>
      </c>
      <c r="J51" s="176" t="n">
        <v>0</v>
      </c>
      <c r="K51" s="176">
        <f>I51-J51</f>
        <v/>
      </c>
      <c r="L51" s="171">
        <f>+M51-G51</f>
        <v/>
      </c>
      <c r="M51" s="171">
        <f>G51</f>
        <v/>
      </c>
      <c r="N51" s="171">
        <f>F51-M51</f>
        <v/>
      </c>
      <c r="O51" s="83" t="n"/>
      <c r="Q51" s="171" t="n"/>
      <c r="S51" s="171" t="n"/>
      <c r="T51" s="171" t="n"/>
      <c r="U51" s="171" t="n"/>
      <c r="W51" s="171" t="n"/>
      <c r="X51" s="171" t="n"/>
      <c r="Y51" s="171" t="n"/>
      <c r="Z51" s="171" t="n"/>
      <c r="AB51" s="171" t="n"/>
      <c r="AD51" s="171" t="n"/>
    </row>
    <row r="52" ht="14.5" customHeight="1">
      <c r="B52" s="144" t="inlineStr">
        <is>
          <t>203-6</t>
        </is>
      </c>
      <c r="C52" s="144" t="n"/>
      <c r="D52" s="83" t="inlineStr">
        <is>
          <t>K2 / Metro Acoustics</t>
        </is>
      </c>
      <c r="E52" s="83" t="inlineStr">
        <is>
          <t xml:space="preserve">Acoustic Design </t>
        </is>
      </c>
      <c r="F52" s="182">
        <f>'Budget Summary'!#REF!</f>
        <v/>
      </c>
      <c r="G52" s="176">
        <f>SUMIF('Committed Costs '!C:C,B52,'Committed Costs '!G:G)</f>
        <v/>
      </c>
      <c r="H52" s="176">
        <f>SUMIF('Change Orders'!F:F,'Project Detail'!B52,'Change Orders'!E:E)</f>
        <v/>
      </c>
      <c r="I52" s="176">
        <f>SUMIF(Invoices!B:B,B52,Invoices!G:G)</f>
        <v/>
      </c>
      <c r="J52" s="176" t="n">
        <v>0</v>
      </c>
      <c r="K52" s="176">
        <f>I52-J52</f>
        <v/>
      </c>
      <c r="L52" s="171">
        <f>+M52-G52</f>
        <v/>
      </c>
      <c r="M52" s="171">
        <f>G52</f>
        <v/>
      </c>
      <c r="N52" s="171">
        <f>F52-M52</f>
        <v/>
      </c>
      <c r="O52" s="83" t="n"/>
      <c r="Q52" s="171" t="n"/>
      <c r="S52" s="171" t="n"/>
      <c r="T52" s="171" t="n"/>
      <c r="U52" s="171" t="n"/>
      <c r="W52" s="171" t="n"/>
      <c r="X52" s="171" t="n"/>
      <c r="Y52" s="171" t="n"/>
      <c r="Z52" s="171" t="n"/>
      <c r="AB52" s="171" t="n"/>
      <c r="AD52" s="171" t="n"/>
    </row>
    <row r="53" ht="14.5" customHeight="1">
      <c r="B53" s="144" t="inlineStr">
        <is>
          <t>203-7</t>
        </is>
      </c>
      <c r="C53" s="144" t="n"/>
      <c r="D53" s="83" t="inlineStr">
        <is>
          <t>TBD</t>
        </is>
      </c>
      <c r="E53" s="83" t="inlineStr">
        <is>
          <t>Signage / Wayfinding Design</t>
        </is>
      </c>
      <c r="F53" s="182">
        <f>'Budget Summary'!#REF!</f>
        <v/>
      </c>
      <c r="G53" s="176">
        <f>SUMIF('Committed Costs '!C:C,B53,'Committed Costs '!G:G)</f>
        <v/>
      </c>
      <c r="H53" s="176">
        <f>SUMIF('Change Orders'!F:F,'Project Detail'!B53,'Change Orders'!E:E)</f>
        <v/>
      </c>
      <c r="I53" s="176">
        <f>SUMIF(Invoices!B:B,B53,Invoices!G:G)</f>
        <v/>
      </c>
      <c r="J53" s="176" t="n">
        <v>0</v>
      </c>
      <c r="K53" s="176">
        <f>I53-J53</f>
        <v/>
      </c>
      <c r="L53" s="171">
        <f>+M53-G53</f>
        <v/>
      </c>
      <c r="M53" s="171">
        <f>G53</f>
        <v/>
      </c>
      <c r="N53" s="171">
        <f>F53-M53</f>
        <v/>
      </c>
      <c r="O53" s="83" t="n"/>
      <c r="Q53" s="171" t="n"/>
      <c r="S53" s="171" t="n"/>
      <c r="T53" s="171" t="n"/>
      <c r="U53" s="171" t="n"/>
      <c r="W53" s="171" t="n"/>
      <c r="X53" s="171" t="n"/>
      <c r="Y53" s="171" t="n"/>
      <c r="Z53" s="171" t="n"/>
      <c r="AB53" s="171" t="n"/>
      <c r="AD53" s="171" t="n"/>
    </row>
    <row r="54" ht="14.5" customHeight="1">
      <c r="B54" s="144" t="inlineStr">
        <is>
          <t>203-8</t>
        </is>
      </c>
      <c r="C54" s="144" t="n"/>
      <c r="D54" s="83" t="inlineStr">
        <is>
          <t>TBD</t>
        </is>
      </c>
      <c r="E54" s="83" t="inlineStr">
        <is>
          <t>Zoning &amp; Permit Fees</t>
        </is>
      </c>
      <c r="F54" s="182">
        <f>'Budget Summary'!D41</f>
        <v/>
      </c>
      <c r="G54" s="176">
        <f>SUMIF('Committed Costs '!C:C,B54,'Committed Costs '!G:G)</f>
        <v/>
      </c>
      <c r="H54" s="176">
        <f>SUMIF('Change Orders'!F:F,'Project Detail'!B54,'Change Orders'!E:E)</f>
        <v/>
      </c>
      <c r="I54" s="176">
        <f>SUMIF(Invoices!B:B,B54,Invoices!G:G)</f>
        <v/>
      </c>
      <c r="J54" s="176" t="n">
        <v>0</v>
      </c>
      <c r="K54" s="176">
        <f>I54-J54</f>
        <v/>
      </c>
      <c r="L54" s="171">
        <f>+M54-G54</f>
        <v/>
      </c>
      <c r="M54" s="171">
        <f>G54</f>
        <v/>
      </c>
      <c r="N54" s="171">
        <f>F54-M54</f>
        <v/>
      </c>
      <c r="O54" s="83" t="n"/>
      <c r="Q54" s="171" t="n"/>
      <c r="S54" s="171" t="n"/>
      <c r="T54" s="171" t="n"/>
      <c r="U54" s="171" t="n"/>
      <c r="W54" s="171" t="n"/>
      <c r="X54" s="171" t="n"/>
      <c r="Y54" s="171" t="n"/>
      <c r="Z54" s="171" t="n"/>
      <c r="AB54" s="171" t="n"/>
      <c r="AD54" s="171" t="n"/>
    </row>
    <row r="55" ht="14.5" customHeight="1">
      <c r="B55" s="144" t="inlineStr">
        <is>
          <t>203-9</t>
        </is>
      </c>
      <c r="C55" s="144" t="n"/>
      <c r="D55" s="83" t="inlineStr">
        <is>
          <t>TBD</t>
        </is>
      </c>
      <c r="E55" s="83" t="inlineStr">
        <is>
          <t>Testing / Quality Control</t>
        </is>
      </c>
      <c r="F55" s="182">
        <f>'Budget Summary'!D44</f>
        <v/>
      </c>
      <c r="G55" s="176">
        <f>SUMIF('Committed Costs '!C:C,B55,'Committed Costs '!G:G)</f>
        <v/>
      </c>
      <c r="H55" s="176">
        <f>SUMIF('Change Orders'!F:F,'Project Detail'!B55,'Change Orders'!E:E)</f>
        <v/>
      </c>
      <c r="I55" s="176">
        <f>SUMIF(Invoices!B:B,B55,Invoices!G:G)</f>
        <v/>
      </c>
      <c r="J55" s="176" t="n">
        <v>0</v>
      </c>
      <c r="K55" s="176">
        <f>I55-J55</f>
        <v/>
      </c>
      <c r="L55" s="171">
        <f>+M55-G55</f>
        <v/>
      </c>
      <c r="M55" s="171">
        <f>G55</f>
        <v/>
      </c>
      <c r="N55" s="171">
        <f>F55-M55</f>
        <v/>
      </c>
      <c r="O55" s="83" t="n"/>
      <c r="Q55" s="171" t="n"/>
      <c r="S55" s="171" t="n"/>
      <c r="T55" s="171" t="n"/>
      <c r="U55" s="171" t="n"/>
      <c r="W55" s="171" t="n"/>
      <c r="X55" s="171" t="n"/>
      <c r="Y55" s="171" t="n"/>
      <c r="Z55" s="171" t="n"/>
      <c r="AB55" s="171" t="n"/>
      <c r="AD55" s="171" t="n"/>
    </row>
    <row r="56" ht="14.5" customHeight="1">
      <c r="B56" s="144" t="inlineStr">
        <is>
          <t>203-10</t>
        </is>
      </c>
      <c r="C56" s="144" t="n"/>
      <c r="D56" s="83" t="inlineStr">
        <is>
          <t>TBD</t>
        </is>
      </c>
      <c r="E56" s="83" t="inlineStr">
        <is>
          <t>Reimbursable Expenses</t>
        </is>
      </c>
      <c r="F56" s="182">
        <f>'Budget Summary'!D46</f>
        <v/>
      </c>
      <c r="G56" s="176">
        <f>SUMIF('Committed Costs '!C:C,B56,'Committed Costs '!G:G)</f>
        <v/>
      </c>
      <c r="H56" s="176">
        <f>SUMIF('Change Orders'!F:F,'Project Detail'!B56,'Change Orders'!E:E)</f>
        <v/>
      </c>
      <c r="I56" s="176">
        <f>SUMIF(Invoices!B:B,B56,Invoices!G:G)</f>
        <v/>
      </c>
      <c r="J56" s="176" t="n">
        <v>0</v>
      </c>
      <c r="K56" s="176">
        <f>I56-J56</f>
        <v/>
      </c>
      <c r="L56" s="171">
        <f>+M56-G56</f>
        <v/>
      </c>
      <c r="M56" s="171">
        <f>G56</f>
        <v/>
      </c>
      <c r="N56" s="171">
        <f>F56-M56</f>
        <v/>
      </c>
      <c r="O56" s="83" t="n"/>
      <c r="Q56" s="171">
        <f>M56-K56</f>
        <v/>
      </c>
      <c r="S56" s="171" t="n"/>
      <c r="T56" s="171" t="n"/>
      <c r="U56" s="171">
        <f>S56+T56</f>
        <v/>
      </c>
      <c r="W56" s="171" t="n"/>
      <c r="X56" s="171" t="n"/>
      <c r="Y56" s="171" t="n"/>
      <c r="Z56" s="171">
        <f>W56+X56+Y56</f>
        <v/>
      </c>
      <c r="AB56" s="171">
        <f>U56+Z56</f>
        <v/>
      </c>
      <c r="AD56" s="171">
        <f>Q56-AB56</f>
        <v/>
      </c>
    </row>
    <row r="57" ht="15" customHeight="1">
      <c r="B57" s="15" t="n"/>
      <c r="C57" s="15" t="n">
        <v>203</v>
      </c>
      <c r="D57" s="83" t="n"/>
      <c r="E57" s="172" t="inlineStr">
        <is>
          <t>Total Design, Engineering &amp; Misc.</t>
        </is>
      </c>
      <c r="F57" s="173">
        <f>SUM(F47:F56)</f>
        <v/>
      </c>
      <c r="G57" s="173">
        <f>SUM(G47:G56)</f>
        <v/>
      </c>
      <c r="H57" s="173">
        <f>SUM(H47:H56)</f>
        <v/>
      </c>
      <c r="I57" s="173">
        <f>SUM(I47:I56)</f>
        <v/>
      </c>
      <c r="J57" s="173">
        <f>SUM(J47:J56)</f>
        <v/>
      </c>
      <c r="K57" s="173">
        <f>SUM(K47:K56)</f>
        <v/>
      </c>
      <c r="L57" s="173">
        <f>SUM(L47:L56)</f>
        <v/>
      </c>
      <c r="M57" s="173">
        <f>SUM(M47:M56)</f>
        <v/>
      </c>
      <c r="N57" s="173">
        <f>SUM(N47:N56)</f>
        <v/>
      </c>
      <c r="O57" s="13" t="n"/>
      <c r="Q57" s="173">
        <f>SUM(Q47:Q56)</f>
        <v/>
      </c>
      <c r="S57" s="173">
        <f>SUM(S47:S56)</f>
        <v/>
      </c>
      <c r="T57" s="173">
        <f>SUM(T47:T56)</f>
        <v/>
      </c>
      <c r="U57" s="173">
        <f>SUM(U47:U56)</f>
        <v/>
      </c>
      <c r="W57" s="173">
        <f>SUM(W47:W56)</f>
        <v/>
      </c>
      <c r="X57" s="173">
        <f>SUM(X47:X56)</f>
        <v/>
      </c>
      <c r="Y57" s="173">
        <f>SUM(Y47:Y56)</f>
        <v/>
      </c>
      <c r="Z57" s="173">
        <f>SUM(Z47:Z56)</f>
        <v/>
      </c>
      <c r="AB57" s="173">
        <f>SUM(AB47:AB56)</f>
        <v/>
      </c>
      <c r="AD57" s="173">
        <f>SUM(AD47:AD56)</f>
        <v/>
      </c>
    </row>
    <row r="58" ht="4.5" customHeight="1">
      <c r="B58" s="192" t="n"/>
      <c r="C58" s="193" t="n"/>
      <c r="D58" s="194" t="n"/>
      <c r="E58" s="193" t="n"/>
      <c r="F58" s="193" t="n"/>
      <c r="G58" s="193" t="n"/>
      <c r="H58" s="193" t="n"/>
      <c r="I58" s="193" t="n"/>
      <c r="J58" s="193" t="n"/>
      <c r="K58" s="193" t="n"/>
      <c r="L58" s="193" t="n"/>
      <c r="M58" s="193" t="n"/>
      <c r="N58" s="193" t="n"/>
      <c r="O58" s="195" t="n"/>
      <c r="Q58" s="193" t="n"/>
      <c r="S58" s="193" t="n"/>
      <c r="T58" s="193" t="n"/>
      <c r="U58" s="193" t="n"/>
      <c r="W58" s="193" t="n"/>
      <c r="X58" s="193" t="n"/>
      <c r="Y58" s="193" t="n"/>
      <c r="Z58" s="193" t="n"/>
      <c r="AB58" s="193" t="n"/>
      <c r="AD58" s="193" t="n"/>
    </row>
    <row r="59">
      <c r="B59" s="168" t="n"/>
      <c r="C59" s="167" t="n"/>
      <c r="D59" s="166" t="n"/>
      <c r="E59" s="196" t="inlineStr">
        <is>
          <t>TOTAL SOFT COSTS</t>
        </is>
      </c>
      <c r="F59" s="186">
        <f>SUM(F39,F45,F57)</f>
        <v/>
      </c>
      <c r="G59" s="186">
        <f>SUM(G39,G45,G57)</f>
        <v/>
      </c>
      <c r="H59" s="186">
        <f>SUM(H39,H45,H57)</f>
        <v/>
      </c>
      <c r="I59" s="186">
        <f>SUM(I39,I45,I57)</f>
        <v/>
      </c>
      <c r="J59" s="186">
        <f>SUM(J39,J45,J57)</f>
        <v/>
      </c>
      <c r="K59" s="186">
        <f>SUM(K39,K45,K57)</f>
        <v/>
      </c>
      <c r="L59" s="186">
        <f>SUM(L39,L45,L57)</f>
        <v/>
      </c>
      <c r="M59" s="186">
        <f>SUM(M39,M45,M57)</f>
        <v/>
      </c>
      <c r="N59" s="186">
        <f>SUM(N39,N45,N57)</f>
        <v/>
      </c>
      <c r="O59" s="187" t="n"/>
      <c r="Q59" s="186">
        <f>SUM(Q39,Q45,Q57)</f>
        <v/>
      </c>
      <c r="S59" s="186">
        <f>SUM(S39,S45,S57)</f>
        <v/>
      </c>
      <c r="T59" s="186">
        <f>SUM(T39,T45,T57)</f>
        <v/>
      </c>
      <c r="U59" s="186">
        <f>SUM(U39,U45,U57)</f>
        <v/>
      </c>
      <c r="W59" s="186">
        <f>SUM(W39,W45,W57)</f>
        <v/>
      </c>
      <c r="X59" s="186">
        <f>SUM(X39,X45,X57)</f>
        <v/>
      </c>
      <c r="Y59" s="186">
        <f>SUM(Y39,Y45,Y57)</f>
        <v/>
      </c>
      <c r="Z59" s="186">
        <f>SUM(Z39,Z45,Z57)</f>
        <v/>
      </c>
      <c r="AB59" s="186">
        <f>SUM(AB39,AB45,AB57)</f>
        <v/>
      </c>
      <c r="AD59" s="186">
        <f>SUM(AD39,AD45,AD57)</f>
        <v/>
      </c>
    </row>
    <row r="60">
      <c r="B60" s="6" t="n"/>
      <c r="C60" s="6" t="n"/>
      <c r="D60" s="84" t="n"/>
      <c r="E60" s="6" t="n"/>
      <c r="F60" s="52" t="n"/>
      <c r="G60" s="52" t="n"/>
      <c r="H60" s="52" t="n"/>
      <c r="I60" s="52" t="n"/>
      <c r="J60" s="52" t="n"/>
      <c r="K60" s="52" t="n"/>
      <c r="L60" s="52" t="n"/>
      <c r="M60" s="52" t="n"/>
      <c r="N60" s="52" t="n"/>
      <c r="Q60" s="52" t="n"/>
      <c r="S60" s="52" t="n"/>
      <c r="T60" s="52" t="n"/>
      <c r="U60" s="52" t="n"/>
      <c r="W60" s="52" t="n"/>
      <c r="X60" s="52" t="n"/>
      <c r="Y60" s="52" t="n"/>
      <c r="Z60" s="52" t="n"/>
      <c r="AB60" s="52" t="n"/>
      <c r="AD60" s="52" t="n"/>
    </row>
    <row r="61" ht="16" customHeight="1" thickBot="1">
      <c r="E61" s="82" t="n"/>
      <c r="F61" s="5" t="n"/>
    </row>
    <row r="62" ht="18" customHeight="1" thickBot="1">
      <c r="B62" s="170" t="n">
        <v>300</v>
      </c>
      <c r="C62" s="78" t="n"/>
      <c r="D62" s="211" t="inlineStr">
        <is>
          <t>FF&amp;E Costs</t>
        </is>
      </c>
      <c r="E62" s="189" t="n"/>
      <c r="F62" s="1018" t="n"/>
      <c r="G62" s="1018" t="n"/>
      <c r="H62" s="189" t="n"/>
      <c r="I62" s="189" t="n"/>
      <c r="J62" s="189" t="n"/>
      <c r="K62" s="189" t="n"/>
      <c r="L62" s="189" t="n"/>
      <c r="M62" s="189" t="n"/>
      <c r="N62" s="189" t="n"/>
      <c r="O62" s="190" t="n"/>
      <c r="Q62" s="216" t="n"/>
      <c r="S62" s="216" t="n"/>
      <c r="T62" s="216" t="n"/>
      <c r="U62" s="216" t="n"/>
      <c r="W62" s="216" t="n"/>
      <c r="X62" s="216" t="n"/>
      <c r="Y62" s="216" t="n"/>
      <c r="Z62" s="216" t="n"/>
      <c r="AB62" s="216" t="n"/>
      <c r="AD62" s="216" t="n"/>
    </row>
    <row r="63" ht="15" customHeight="1">
      <c r="B63" s="206" t="n">
        <v>301</v>
      </c>
      <c r="C63" s="201" t="n"/>
      <c r="D63" s="208" t="inlineStr">
        <is>
          <t>Seating</t>
        </is>
      </c>
      <c r="E63" s="209" t="n"/>
      <c r="F63" s="209" t="n"/>
      <c r="G63" s="209" t="n"/>
      <c r="H63" s="209" t="n"/>
      <c r="I63" s="209" t="n"/>
      <c r="J63" s="209" t="n"/>
      <c r="K63" s="209" t="n"/>
      <c r="L63" s="209" t="n"/>
      <c r="M63" s="209" t="n"/>
      <c r="N63" s="209" t="n"/>
      <c r="O63" s="210" t="n"/>
      <c r="Q63" s="118" t="n"/>
      <c r="S63" s="209" t="n"/>
      <c r="T63" s="209" t="n"/>
      <c r="U63" s="209" t="n"/>
      <c r="W63" s="209" t="n"/>
      <c r="X63" s="209" t="n"/>
      <c r="Y63" s="209" t="n"/>
      <c r="Z63" s="209" t="n"/>
      <c r="AB63" s="209" t="n"/>
      <c r="AD63" s="118" t="n"/>
    </row>
    <row r="64" ht="14.5" customHeight="1">
      <c r="B64" s="144" t="inlineStr">
        <is>
          <t>301-1</t>
        </is>
      </c>
      <c r="C64" s="144" t="n"/>
      <c r="D64" s="83" t="inlineStr">
        <is>
          <t>TBD</t>
        </is>
      </c>
      <c r="E64" s="83" t="inlineStr">
        <is>
          <t>Fixed Seating</t>
        </is>
      </c>
      <c r="F64" s="85">
        <f>'Budget Summary'!D49</f>
        <v/>
      </c>
      <c r="G64" s="176">
        <f>SUMIF('Committed Costs '!C:C,B64,'Committed Costs '!G:G)</f>
        <v/>
      </c>
      <c r="H64" s="176">
        <f>SUMIF('Change Orders'!F:F,'Project Detail'!B64,'Change Orders'!E:E)</f>
        <v/>
      </c>
      <c r="I64" s="176">
        <f>SUMIF(Invoices!B:B,B64,Invoices!G:G)</f>
        <v/>
      </c>
      <c r="J64" s="176" t="n">
        <v>0</v>
      </c>
      <c r="K64" s="176">
        <f>I64-J64</f>
        <v/>
      </c>
      <c r="L64" s="171">
        <f>+M64-G64</f>
        <v/>
      </c>
      <c r="M64" s="171">
        <f>IF((F64+H64)&gt;G64,F64+H64,G64)</f>
        <v/>
      </c>
      <c r="N64" s="171">
        <f>F64-M64</f>
        <v/>
      </c>
      <c r="O64" s="83" t="n"/>
      <c r="Q64" s="171">
        <f>M64-K64</f>
        <v/>
      </c>
      <c r="S64" s="171" t="n"/>
      <c r="T64" s="171" t="n"/>
      <c r="U64" s="171">
        <f>S64+T64</f>
        <v/>
      </c>
      <c r="W64" s="171" t="n"/>
      <c r="X64" s="171" t="n"/>
      <c r="Y64" s="171" t="n"/>
      <c r="Z64" s="171">
        <f>W64+X64+Y64</f>
        <v/>
      </c>
      <c r="AB64" s="171">
        <f>U64+Z64</f>
        <v/>
      </c>
      <c r="AD64" s="171">
        <f>Q64-AB64</f>
        <v/>
      </c>
    </row>
    <row r="65" hidden="1" ht="14.5" customHeight="1">
      <c r="B65" s="144" t="inlineStr">
        <is>
          <t>301-2</t>
        </is>
      </c>
      <c r="C65" s="144" t="n"/>
      <c r="D65" s="83" t="inlineStr">
        <is>
          <t>N/A</t>
        </is>
      </c>
      <c r="E65" s="83" t="inlineStr">
        <is>
          <t>Chairs - Gasser Bar Stools</t>
        </is>
      </c>
      <c r="F65" s="37">
        <f>46800-46800</f>
        <v/>
      </c>
      <c r="G65" s="176">
        <f>SUMIF('Committed Costs '!C:C,B65,'Committed Costs '!G:G)</f>
        <v/>
      </c>
      <c r="H65" s="176">
        <f>SUMIF('Change Orders'!F:F,'Project Detail'!B65,'Change Orders'!E:E)</f>
        <v/>
      </c>
      <c r="I65" s="176">
        <f>SUMIF(Invoices!B:B,B65,Invoices!G:G)</f>
        <v/>
      </c>
      <c r="J65" s="176" t="n">
        <v>0</v>
      </c>
      <c r="K65" s="176">
        <f>I65-J65</f>
        <v/>
      </c>
      <c r="L65" s="171">
        <f>+M65-G65</f>
        <v/>
      </c>
      <c r="M65" s="171">
        <f>IF((F65+H65)&gt;G65,F65+H65,G65)</f>
        <v/>
      </c>
      <c r="N65" s="1017">
        <f>F65-M65</f>
        <v/>
      </c>
      <c r="O65" s="83" t="n"/>
      <c r="Q65" s="171">
        <f>M65-K65</f>
        <v/>
      </c>
      <c r="S65" s="171" t="n"/>
      <c r="T65" s="171" t="n"/>
      <c r="U65" s="171">
        <f>S65+T65+#REF!</f>
        <v/>
      </c>
      <c r="W65" s="171" t="n"/>
      <c r="X65" s="171" t="n"/>
      <c r="Y65" s="171" t="n"/>
      <c r="Z65" s="171">
        <f>W65+X65+Y65</f>
        <v/>
      </c>
      <c r="AB65" s="171">
        <f>U65+Z65</f>
        <v/>
      </c>
      <c r="AD65" s="171">
        <f>Q65-AB65</f>
        <v/>
      </c>
    </row>
    <row r="66" hidden="1" ht="14.5" customHeight="1">
      <c r="B66" s="144" t="inlineStr">
        <is>
          <t>301-3</t>
        </is>
      </c>
      <c r="C66" s="144" t="n"/>
      <c r="D66" s="83" t="inlineStr">
        <is>
          <t>N/A</t>
        </is>
      </c>
      <c r="E66" s="83" t="inlineStr">
        <is>
          <t>Chairs - Gasser</t>
        </is>
      </c>
      <c r="F66" s="37">
        <f>90000-90000</f>
        <v/>
      </c>
      <c r="G66" s="176">
        <f>SUMIF('Committed Costs '!C:C,B66,'Committed Costs '!G:G)</f>
        <v/>
      </c>
      <c r="H66" s="176">
        <f>SUMIF('Change Orders'!F:F,'Project Detail'!B66,'Change Orders'!E:E)</f>
        <v/>
      </c>
      <c r="I66" s="176">
        <f>SUMIF(Invoices!B:B,B66,Invoices!G:G)</f>
        <v/>
      </c>
      <c r="J66" s="176" t="n">
        <v>0</v>
      </c>
      <c r="K66" s="176">
        <f>I66-J66</f>
        <v/>
      </c>
      <c r="L66" s="171">
        <f>+M66-G66</f>
        <v/>
      </c>
      <c r="M66" s="171">
        <f>IF((F66+H66)&gt;G66,F66+H66,G66)</f>
        <v/>
      </c>
      <c r="N66" s="1017">
        <f>F66-M66</f>
        <v/>
      </c>
      <c r="O66" s="83" t="n"/>
      <c r="Q66" s="171">
        <f>M66-K66</f>
        <v/>
      </c>
      <c r="S66" s="171" t="n"/>
      <c r="T66" s="171" t="n"/>
      <c r="U66" s="171">
        <f>S66+T66+#REF!</f>
        <v/>
      </c>
      <c r="W66" s="171" t="n"/>
      <c r="X66" s="171" t="n"/>
      <c r="Y66" s="171" t="n"/>
      <c r="Z66" s="171">
        <f>W66+X66+Y66</f>
        <v/>
      </c>
      <c r="AB66" s="171">
        <f>U66+Z66</f>
        <v/>
      </c>
      <c r="AD66" s="171">
        <f>Q66-AB66</f>
        <v/>
      </c>
    </row>
    <row r="67" hidden="1" ht="14.5" customHeight="1">
      <c r="B67" s="144" t="inlineStr">
        <is>
          <t>301-4</t>
        </is>
      </c>
      <c r="C67" s="144" t="n"/>
      <c r="D67" s="83" t="inlineStr">
        <is>
          <t>N/A</t>
        </is>
      </c>
      <c r="E67" s="83" t="inlineStr">
        <is>
          <t>Ottoman - Boxes</t>
        </is>
      </c>
      <c r="F67" s="37">
        <f>18720-18720</f>
        <v/>
      </c>
      <c r="G67" s="176">
        <f>SUMIF('Committed Costs '!C:C,B67,'Committed Costs '!G:G)</f>
        <v/>
      </c>
      <c r="H67" s="176">
        <f>SUMIF('Change Orders'!F:F,'Project Detail'!B67,'Change Orders'!E:E)</f>
        <v/>
      </c>
      <c r="I67" s="176">
        <f>SUMIF(Invoices!B:B,B67,Invoices!G:G)</f>
        <v/>
      </c>
      <c r="J67" s="176" t="n">
        <v>0</v>
      </c>
      <c r="K67" s="176">
        <f>I67-J67</f>
        <v/>
      </c>
      <c r="L67" s="171">
        <f>+M67-G67</f>
        <v/>
      </c>
      <c r="M67" s="171">
        <f>IF((F67+H67)&gt;G67,F67+H67,G67)</f>
        <v/>
      </c>
      <c r="N67" s="1017">
        <f>F67-M67</f>
        <v/>
      </c>
      <c r="O67" s="83" t="n"/>
      <c r="Q67" s="171">
        <f>M67-K67</f>
        <v/>
      </c>
      <c r="S67" s="171" t="n"/>
      <c r="T67" s="171" t="n"/>
      <c r="U67" s="171">
        <f>S67+T67+#REF!</f>
        <v/>
      </c>
      <c r="W67" s="171" t="n"/>
      <c r="X67" s="171" t="n"/>
      <c r="Y67" s="171" t="n"/>
      <c r="Z67" s="171">
        <f>W67+X67+Y67</f>
        <v/>
      </c>
      <c r="AB67" s="171">
        <f>U67+Z67</f>
        <v/>
      </c>
      <c r="AD67" s="171">
        <f>Q67-AB67</f>
        <v/>
      </c>
    </row>
    <row r="68" hidden="1" ht="14.5" customHeight="1">
      <c r="B68" s="144" t="inlineStr">
        <is>
          <t>301-5</t>
        </is>
      </c>
      <c r="C68" s="144" t="n"/>
      <c r="D68" s="83" t="inlineStr">
        <is>
          <t>N/A</t>
        </is>
      </c>
      <c r="E68" s="83" t="inlineStr">
        <is>
          <t>Side Tables - Boxes</t>
        </is>
      </c>
      <c r="F68" s="37">
        <f>18000-18000</f>
        <v/>
      </c>
      <c r="G68" s="176">
        <f>SUMIF('Committed Costs '!C:C,B68,'Committed Costs '!G:G)</f>
        <v/>
      </c>
      <c r="H68" s="176">
        <f>SUMIF('Change Orders'!F:F,'Project Detail'!B68,'Change Orders'!E:E)</f>
        <v/>
      </c>
      <c r="I68" s="176">
        <f>SUMIF(Invoices!B:B,B68,Invoices!G:G)</f>
        <v/>
      </c>
      <c r="J68" s="176" t="n">
        <v>0</v>
      </c>
      <c r="K68" s="176">
        <f>I68-J68</f>
        <v/>
      </c>
      <c r="L68" s="171">
        <f>+M68-G68</f>
        <v/>
      </c>
      <c r="M68" s="171">
        <f>IF((F68+H68)&gt;G68,F68+H68,G68)</f>
        <v/>
      </c>
      <c r="N68" s="1017">
        <f>F68-M68</f>
        <v/>
      </c>
      <c r="O68" s="83" t="n"/>
      <c r="Q68" s="171">
        <f>M68-K68</f>
        <v/>
      </c>
      <c r="S68" s="171" t="n"/>
      <c r="T68" s="171" t="n"/>
      <c r="U68" s="171">
        <f>S68+T68+#REF!</f>
        <v/>
      </c>
      <c r="W68" s="171" t="n"/>
      <c r="X68" s="171" t="n"/>
      <c r="Y68" s="171" t="n"/>
      <c r="Z68" s="171">
        <f>W68+X68+Y68</f>
        <v/>
      </c>
      <c r="AB68" s="171">
        <f>U68+Z68</f>
        <v/>
      </c>
      <c r="AD68" s="171">
        <f>Q68-AB68</f>
        <v/>
      </c>
    </row>
    <row r="69" hidden="1" ht="14.5" customHeight="1">
      <c r="B69" s="144" t="inlineStr">
        <is>
          <t>301-6</t>
        </is>
      </c>
      <c r="C69" s="144" t="n"/>
      <c r="D69" s="83" t="inlineStr">
        <is>
          <t>N/A</t>
        </is>
      </c>
      <c r="E69" s="83" t="inlineStr">
        <is>
          <t>VIP - Cocktail Table</t>
        </is>
      </c>
      <c r="F69" s="37">
        <f>5300-5300</f>
        <v/>
      </c>
      <c r="G69" s="176">
        <f>SUMIF('Committed Costs '!C:C,B69,'Committed Costs '!G:G)</f>
        <v/>
      </c>
      <c r="H69" s="176">
        <f>SUMIF('Change Orders'!F:F,'Project Detail'!B69,'Change Orders'!E:E)</f>
        <v/>
      </c>
      <c r="I69" s="176">
        <f>SUMIF(Invoices!B:B,B69,Invoices!G:G)</f>
        <v/>
      </c>
      <c r="J69" s="176" t="n">
        <v>0</v>
      </c>
      <c r="K69" s="176">
        <f>I69-J69</f>
        <v/>
      </c>
      <c r="L69" s="171">
        <f>+M69-G69</f>
        <v/>
      </c>
      <c r="M69" s="171">
        <f>IF((F69+H69)&gt;G69,F69+H69,G69)</f>
        <v/>
      </c>
      <c r="N69" s="1017">
        <f>F69-M69</f>
        <v/>
      </c>
      <c r="O69" s="83" t="n"/>
      <c r="Q69" s="171">
        <f>M69-K69</f>
        <v/>
      </c>
      <c r="S69" s="171" t="n"/>
      <c r="T69" s="171" t="n"/>
      <c r="U69" s="171">
        <f>S69+T69+#REF!</f>
        <v/>
      </c>
      <c r="W69" s="171" t="n"/>
      <c r="X69" s="171" t="n"/>
      <c r="Y69" s="171" t="n"/>
      <c r="Z69" s="171">
        <f>W69+X69+Y69</f>
        <v/>
      </c>
      <c r="AB69" s="171">
        <f>U69+Z69</f>
        <v/>
      </c>
      <c r="AD69" s="171">
        <f>Q69-AB69</f>
        <v/>
      </c>
    </row>
    <row r="70" hidden="1" ht="14.5" customHeight="1">
      <c r="B70" s="144" t="inlineStr">
        <is>
          <t>301-7</t>
        </is>
      </c>
      <c r="C70" s="144" t="n"/>
      <c r="D70" s="83" t="inlineStr">
        <is>
          <t>N/A</t>
        </is>
      </c>
      <c r="E70" s="83" t="inlineStr">
        <is>
          <t>VIP - Stools</t>
        </is>
      </c>
      <c r="F70" s="37">
        <f>12000-12000</f>
        <v/>
      </c>
      <c r="G70" s="176">
        <f>SUMIF('Committed Costs '!C:C,B70,'Committed Costs '!G:G)</f>
        <v/>
      </c>
      <c r="H70" s="176">
        <f>SUMIF('Change Orders'!F:F,'Project Detail'!B70,'Change Orders'!E:E)</f>
        <v/>
      </c>
      <c r="I70" s="176">
        <f>SUMIF(Invoices!B:B,B70,Invoices!G:G)</f>
        <v/>
      </c>
      <c r="J70" s="176" t="n">
        <v>0</v>
      </c>
      <c r="K70" s="176">
        <f>I70-J70</f>
        <v/>
      </c>
      <c r="L70" s="171">
        <f>+M70-G70</f>
        <v/>
      </c>
      <c r="M70" s="171">
        <f>IF((F70+H70)&gt;G70,F70+H70,G70)</f>
        <v/>
      </c>
      <c r="N70" s="1017">
        <f>F70-M70</f>
        <v/>
      </c>
      <c r="O70" s="83" t="n"/>
      <c r="Q70" s="171">
        <f>M70-K70</f>
        <v/>
      </c>
      <c r="S70" s="171" t="n"/>
      <c r="T70" s="171" t="n"/>
      <c r="U70" s="171">
        <f>S70+T70+#REF!</f>
        <v/>
      </c>
      <c r="W70" s="171" t="n"/>
      <c r="X70" s="171" t="n"/>
      <c r="Y70" s="171" t="n"/>
      <c r="Z70" s="171">
        <f>W70+X70+Y70</f>
        <v/>
      </c>
      <c r="AB70" s="171">
        <f>U70+Z70</f>
        <v/>
      </c>
      <c r="AD70" s="171">
        <f>Q70-AB70</f>
        <v/>
      </c>
    </row>
    <row r="71" hidden="1" ht="14.5" customHeight="1">
      <c r="B71" s="144" t="inlineStr">
        <is>
          <t>301-8</t>
        </is>
      </c>
      <c r="C71" s="144" t="n"/>
      <c r="D71" s="83" t="inlineStr">
        <is>
          <t>N/A</t>
        </is>
      </c>
      <c r="E71" s="83" t="inlineStr">
        <is>
          <t>VIP - Coffee Tables</t>
        </is>
      </c>
      <c r="F71" s="37">
        <f>12000-12000</f>
        <v/>
      </c>
      <c r="G71" s="176">
        <f>SUMIF('Committed Costs '!C:C,B71,'Committed Costs '!G:G)</f>
        <v/>
      </c>
      <c r="H71" s="176">
        <f>SUMIF('Change Orders'!F:F,'Project Detail'!B71,'Change Orders'!E:E)</f>
        <v/>
      </c>
      <c r="I71" s="176">
        <f>SUMIF(Invoices!B:B,B71,Invoices!G:G)</f>
        <v/>
      </c>
      <c r="J71" s="176" t="n">
        <v>0</v>
      </c>
      <c r="K71" s="176">
        <f>I71-J71</f>
        <v/>
      </c>
      <c r="L71" s="171">
        <f>+M71-G71</f>
        <v/>
      </c>
      <c r="M71" s="171">
        <f>IF((F71+H71)&gt;G71,F71+H71,G71)</f>
        <v/>
      </c>
      <c r="N71" s="1017">
        <f>F71-M71</f>
        <v/>
      </c>
      <c r="O71" s="83" t="n"/>
      <c r="Q71" s="171">
        <f>M71-K71</f>
        <v/>
      </c>
      <c r="S71" s="171" t="n"/>
      <c r="T71" s="171" t="n"/>
      <c r="U71" s="171">
        <f>S71+T71+#REF!</f>
        <v/>
      </c>
      <c r="W71" s="171" t="n"/>
      <c r="X71" s="171" t="n"/>
      <c r="Y71" s="171" t="n"/>
      <c r="Z71" s="171">
        <f>W71+X71+Y71</f>
        <v/>
      </c>
      <c r="AB71" s="171">
        <f>U71+Z71</f>
        <v/>
      </c>
      <c r="AD71" s="171">
        <f>Q71-AB71</f>
        <v/>
      </c>
    </row>
    <row r="72" hidden="1" ht="14.5" customHeight="1">
      <c r="B72" s="144" t="inlineStr">
        <is>
          <t>301-9</t>
        </is>
      </c>
      <c r="C72" s="144" t="n"/>
      <c r="D72" s="83" t="inlineStr">
        <is>
          <t>N/A</t>
        </is>
      </c>
      <c r="E72" s="83" t="inlineStr">
        <is>
          <t>VIP - Hightop</t>
        </is>
      </c>
      <c r="F72" s="37">
        <f>5000-5000</f>
        <v/>
      </c>
      <c r="G72" s="176">
        <f>SUMIF('Committed Costs '!C:C,B72,'Committed Costs '!G:G)</f>
        <v/>
      </c>
      <c r="H72" s="176">
        <f>SUMIF('Change Orders'!F:F,'Project Detail'!B72,'Change Orders'!E:E)</f>
        <v/>
      </c>
      <c r="I72" s="176">
        <f>SUMIF(Invoices!B:B,B72,Invoices!G:G)</f>
        <v/>
      </c>
      <c r="J72" s="176" t="n">
        <v>0</v>
      </c>
      <c r="K72" s="176">
        <f>I72-J72</f>
        <v/>
      </c>
      <c r="L72" s="171">
        <f>+M72-G72</f>
        <v/>
      </c>
      <c r="M72" s="171">
        <f>IF((F72+H72)&gt;G72,F72+H72,G72)</f>
        <v/>
      </c>
      <c r="N72" s="1017">
        <f>F72-M72</f>
        <v/>
      </c>
      <c r="O72" s="83" t="n"/>
      <c r="Q72" s="171">
        <f>M72-K72</f>
        <v/>
      </c>
      <c r="S72" s="171" t="n"/>
      <c r="T72" s="171" t="n"/>
      <c r="U72" s="171">
        <f>S72+T72+#REF!</f>
        <v/>
      </c>
      <c r="W72" s="171" t="n"/>
      <c r="X72" s="171" t="n"/>
      <c r="Y72" s="171" t="n"/>
      <c r="Z72" s="171">
        <f>W72+X72+Y72</f>
        <v/>
      </c>
      <c r="AB72" s="171">
        <f>U72+Z72</f>
        <v/>
      </c>
      <c r="AD72" s="171">
        <f>Q72-AB72</f>
        <v/>
      </c>
    </row>
    <row r="73" hidden="1" ht="14.5" customHeight="1">
      <c r="B73" s="144" t="inlineStr">
        <is>
          <t>301-10</t>
        </is>
      </c>
      <c r="C73" s="144" t="n"/>
      <c r="D73" s="83" t="inlineStr">
        <is>
          <t>N/A</t>
        </is>
      </c>
      <c r="E73" s="83" t="inlineStr">
        <is>
          <t>VIP - Sofa</t>
        </is>
      </c>
      <c r="F73" s="37">
        <f>12000-12000</f>
        <v/>
      </c>
      <c r="G73" s="176">
        <f>SUMIF('Committed Costs '!C:C,B73,'Committed Costs '!G:G)</f>
        <v/>
      </c>
      <c r="H73" s="176">
        <f>SUMIF('Change Orders'!F:F,'Project Detail'!B73,'Change Orders'!E:E)</f>
        <v/>
      </c>
      <c r="I73" s="176">
        <f>SUMIF(Invoices!B:B,B73,Invoices!G:G)</f>
        <v/>
      </c>
      <c r="J73" s="176" t="n">
        <v>0</v>
      </c>
      <c r="K73" s="176">
        <f>I73-J73</f>
        <v/>
      </c>
      <c r="L73" s="171">
        <f>+M73-G73</f>
        <v/>
      </c>
      <c r="M73" s="171">
        <f>IF((F73+H73)&gt;G73,F73+H73,G73)</f>
        <v/>
      </c>
      <c r="N73" s="1017">
        <f>F73-M73</f>
        <v/>
      </c>
      <c r="O73" s="83" t="n"/>
      <c r="Q73" s="171">
        <f>M73-K73</f>
        <v/>
      </c>
      <c r="S73" s="171" t="n"/>
      <c r="T73" s="171" t="n"/>
      <c r="U73" s="171">
        <f>S73+T73+#REF!</f>
        <v/>
      </c>
      <c r="W73" s="171" t="n"/>
      <c r="X73" s="171" t="n"/>
      <c r="Y73" s="171" t="n"/>
      <c r="Z73" s="171">
        <f>W73+X73+Y73</f>
        <v/>
      </c>
      <c r="AB73" s="171">
        <f>U73+Z73</f>
        <v/>
      </c>
      <c r="AD73" s="171">
        <f>Q73-AB73</f>
        <v/>
      </c>
    </row>
    <row r="74" hidden="1" ht="14.5" customHeight="1">
      <c r="B74" s="144" t="inlineStr">
        <is>
          <t>301-11</t>
        </is>
      </c>
      <c r="C74" s="144" t="n"/>
      <c r="D74" s="83" t="inlineStr">
        <is>
          <t>N/A</t>
        </is>
      </c>
      <c r="E74" s="83" t="inlineStr">
        <is>
          <t>VIP - Banquet</t>
        </is>
      </c>
      <c r="F74" s="37">
        <f>21000-21000</f>
        <v/>
      </c>
      <c r="G74" s="176">
        <f>SUMIF('Committed Costs '!C:C,B74,'Committed Costs '!G:G)</f>
        <v/>
      </c>
      <c r="H74" s="176">
        <f>SUMIF('Change Orders'!F:F,'Project Detail'!B74,'Change Orders'!E:E)</f>
        <v/>
      </c>
      <c r="I74" s="176">
        <f>SUMIF(Invoices!B:B,B74,Invoices!G:G)</f>
        <v/>
      </c>
      <c r="J74" s="176" t="n">
        <v>0</v>
      </c>
      <c r="K74" s="176">
        <f>I74-J74</f>
        <v/>
      </c>
      <c r="L74" s="171">
        <f>+M74-G74</f>
        <v/>
      </c>
      <c r="M74" s="171">
        <f>IF((F74+H74)&gt;G74,F74+H74,G74)</f>
        <v/>
      </c>
      <c r="N74" s="1017">
        <f>F74-M74</f>
        <v/>
      </c>
      <c r="O74" s="83" t="n"/>
      <c r="Q74" s="171">
        <f>M74-K74</f>
        <v/>
      </c>
      <c r="S74" s="171" t="n"/>
      <c r="T74" s="171" t="n"/>
      <c r="U74" s="171">
        <f>S74+T74+#REF!</f>
        <v/>
      </c>
      <c r="W74" s="171" t="n"/>
      <c r="X74" s="171" t="n"/>
      <c r="Y74" s="171" t="n"/>
      <c r="Z74" s="171">
        <f>W74+X74+Y74</f>
        <v/>
      </c>
      <c r="AB74" s="171">
        <f>U74+Z74</f>
        <v/>
      </c>
      <c r="AD74" s="171">
        <f>Q74-AB74</f>
        <v/>
      </c>
    </row>
    <row r="75" hidden="1" ht="14.5" customHeight="1">
      <c r="B75" s="144" t="inlineStr">
        <is>
          <t>301-12</t>
        </is>
      </c>
      <c r="C75" s="144" t="n"/>
      <c r="D75" s="83" t="inlineStr">
        <is>
          <t>N/A</t>
        </is>
      </c>
      <c r="E75" s="83" t="inlineStr">
        <is>
          <t>Artist Lounge</t>
        </is>
      </c>
      <c r="F75" s="37">
        <f>15000-15000</f>
        <v/>
      </c>
      <c r="G75" s="176">
        <f>SUMIF('Committed Costs '!C:C,B75,'Committed Costs '!G:G)</f>
        <v/>
      </c>
      <c r="H75" s="176">
        <f>SUMIF('Change Orders'!F:F,'Project Detail'!B75,'Change Orders'!E:E)</f>
        <v/>
      </c>
      <c r="I75" s="176">
        <f>SUMIF(Invoices!B:B,B75,Invoices!G:G)</f>
        <v/>
      </c>
      <c r="J75" s="176" t="n">
        <v>0</v>
      </c>
      <c r="K75" s="176">
        <f>I75-J75</f>
        <v/>
      </c>
      <c r="L75" s="171">
        <f>+M75-G75</f>
        <v/>
      </c>
      <c r="M75" s="171">
        <f>IF((F75+H75)&gt;G75,F75+H75,G75)</f>
        <v/>
      </c>
      <c r="N75" s="1017">
        <f>F75-M75</f>
        <v/>
      </c>
      <c r="O75" s="83" t="n"/>
      <c r="Q75" s="171">
        <f>M75-K75</f>
        <v/>
      </c>
      <c r="S75" s="171" t="n"/>
      <c r="T75" s="171" t="n"/>
      <c r="U75" s="171">
        <f>S75+T75+#REF!</f>
        <v/>
      </c>
      <c r="W75" s="171" t="n"/>
      <c r="X75" s="171" t="n"/>
      <c r="Y75" s="171" t="n"/>
      <c r="Z75" s="171">
        <f>W75+X75+Y75</f>
        <v/>
      </c>
      <c r="AB75" s="171">
        <f>U75+Z75</f>
        <v/>
      </c>
      <c r="AD75" s="171">
        <f>Q75-AB75</f>
        <v/>
      </c>
    </row>
    <row r="76" hidden="1" ht="14.5" customHeight="1">
      <c r="B76" s="144" t="inlineStr">
        <is>
          <t>301-13</t>
        </is>
      </c>
      <c r="C76" s="144" t="n"/>
      <c r="D76" s="83" t="inlineStr">
        <is>
          <t>N/A</t>
        </is>
      </c>
      <c r="E76" s="83" t="inlineStr">
        <is>
          <t>Dressing Room</t>
        </is>
      </c>
      <c r="F76" s="37">
        <f>15000-15000</f>
        <v/>
      </c>
      <c r="G76" s="176">
        <f>SUMIF('Committed Costs '!C:C,B76,'Committed Costs '!G:G)</f>
        <v/>
      </c>
      <c r="H76" s="176">
        <f>SUMIF('Change Orders'!F:F,'Project Detail'!B76,'Change Orders'!E:E)</f>
        <v/>
      </c>
      <c r="I76" s="176">
        <f>SUMIF(Invoices!B:B,B76,Invoices!G:G)</f>
        <v/>
      </c>
      <c r="J76" s="176" t="n">
        <v>0</v>
      </c>
      <c r="K76" s="176">
        <f>I76-J76</f>
        <v/>
      </c>
      <c r="L76" s="171">
        <f>+M76-G76</f>
        <v/>
      </c>
      <c r="M76" s="171">
        <f>IF((F76+H76)&gt;G76,F76+H76,G76)</f>
        <v/>
      </c>
      <c r="N76" s="1017">
        <f>F76-M76</f>
        <v/>
      </c>
      <c r="O76" s="83" t="n"/>
      <c r="Q76" s="171">
        <f>M76-K76</f>
        <v/>
      </c>
      <c r="S76" s="171" t="n"/>
      <c r="T76" s="171" t="n"/>
      <c r="U76" s="171">
        <f>S76+T76+#REF!</f>
        <v/>
      </c>
      <c r="W76" s="171" t="n"/>
      <c r="X76" s="171" t="n"/>
      <c r="Y76" s="171" t="n"/>
      <c r="Z76" s="171">
        <f>W76+X76+Y76</f>
        <v/>
      </c>
      <c r="AB76" s="171">
        <f>U76+Z76</f>
        <v/>
      </c>
      <c r="AD76" s="171">
        <f>Q76-AB76</f>
        <v/>
      </c>
    </row>
    <row r="77" hidden="1">
      <c r="B77" s="144" t="inlineStr">
        <is>
          <t>301-14</t>
        </is>
      </c>
      <c r="C77" s="144" t="n"/>
      <c r="D77" s="83" t="inlineStr">
        <is>
          <t>N/A</t>
        </is>
      </c>
      <c r="E77" s="83" t="inlineStr">
        <is>
          <t>Rugs</t>
        </is>
      </c>
      <c r="F77" s="37">
        <f>5000-5000</f>
        <v/>
      </c>
      <c r="G77" s="176">
        <f>SUMIF('Committed Costs '!C:C,B77,'Committed Costs '!G:G)</f>
        <v/>
      </c>
      <c r="H77" s="176">
        <f>SUMIF('Change Orders'!F:F,'Project Detail'!B77,'Change Orders'!E:E)</f>
        <v/>
      </c>
      <c r="I77" s="176">
        <f>SUMIF(Invoices!B:B,B77,Invoices!G:G)</f>
        <v/>
      </c>
      <c r="J77" s="176" t="n">
        <v>0</v>
      </c>
      <c r="K77" s="176">
        <f>I77-J77</f>
        <v/>
      </c>
      <c r="L77" s="171">
        <f>+M77-G77</f>
        <v/>
      </c>
      <c r="M77" s="171">
        <f>IF((F77+H77)&gt;G77,F77+H77,G77)</f>
        <v/>
      </c>
      <c r="N77" s="1017">
        <f>F77-M77</f>
        <v/>
      </c>
      <c r="O77" s="83" t="n"/>
      <c r="Q77" s="171">
        <f>M77-K77</f>
        <v/>
      </c>
      <c r="S77" s="171" t="n"/>
      <c r="T77" s="171" t="n"/>
      <c r="U77" s="171">
        <f>S77+T77+#REF!</f>
        <v/>
      </c>
      <c r="W77" s="171" t="n"/>
      <c r="X77" s="171" t="n"/>
      <c r="Y77" s="171" t="n"/>
      <c r="Z77" s="171">
        <f>W77+X77+Y77</f>
        <v/>
      </c>
      <c r="AB77" s="171">
        <f>U77+Z77</f>
        <v/>
      </c>
      <c r="AD77" s="171">
        <f>Q77-AB77</f>
        <v/>
      </c>
    </row>
    <row r="78" hidden="1">
      <c r="B78" s="144" t="inlineStr">
        <is>
          <t>301-15</t>
        </is>
      </c>
      <c r="C78" s="144" t="n"/>
      <c r="D78" s="83" t="inlineStr">
        <is>
          <t>N/A</t>
        </is>
      </c>
      <c r="E78" s="83" t="inlineStr">
        <is>
          <t>Catering Room Chairs</t>
        </is>
      </c>
      <c r="F78" s="37">
        <f>8000-6820.3-1179.7</f>
        <v/>
      </c>
      <c r="G78" s="176">
        <f>SUMIF('Committed Costs '!C:C,B78,'Committed Costs '!G:G)</f>
        <v/>
      </c>
      <c r="H78" s="176">
        <f>SUMIF('Change Orders'!F:F,'Project Detail'!B78,'Change Orders'!E:E)</f>
        <v/>
      </c>
      <c r="I78" s="176">
        <f>SUMIF(Invoices!B:B,B78,Invoices!G:G)</f>
        <v/>
      </c>
      <c r="J78" s="176" t="n">
        <v>0</v>
      </c>
      <c r="K78" s="176">
        <f>I78-J78</f>
        <v/>
      </c>
      <c r="L78" s="1017">
        <f>+M78-G78</f>
        <v/>
      </c>
      <c r="M78" s="171" t="n">
        <v>0</v>
      </c>
      <c r="N78" s="171">
        <f>F78-M78</f>
        <v/>
      </c>
      <c r="O78" s="83" t="n"/>
      <c r="Q78" s="171">
        <f>M78-K78</f>
        <v/>
      </c>
      <c r="S78" s="171" t="n"/>
      <c r="T78" s="171" t="n"/>
      <c r="U78" s="171">
        <f>S78+T78+#REF!</f>
        <v/>
      </c>
      <c r="W78" s="171" t="n"/>
      <c r="X78" s="171" t="n"/>
      <c r="Y78" s="171" t="n"/>
      <c r="Z78" s="171">
        <f>W78+X78+Y78</f>
        <v/>
      </c>
      <c r="AB78" s="171">
        <f>U78+Z78</f>
        <v/>
      </c>
      <c r="AD78" s="171">
        <f>Q78-AB78</f>
        <v/>
      </c>
    </row>
    <row r="79" hidden="1">
      <c r="B79" s="144" t="inlineStr">
        <is>
          <t>301-16</t>
        </is>
      </c>
      <c r="C79" s="144" t="n"/>
      <c r="D79" s="83" t="inlineStr">
        <is>
          <t>N/A</t>
        </is>
      </c>
      <c r="E79" s="83" t="inlineStr">
        <is>
          <t>Catering Room Tables</t>
        </is>
      </c>
      <c r="F79" s="37">
        <f>4000-4000</f>
        <v/>
      </c>
      <c r="G79" s="176">
        <f>SUMIF('Committed Costs '!C:C,B79,'Committed Costs '!G:G)</f>
        <v/>
      </c>
      <c r="H79" s="176">
        <f>SUMIF('Change Orders'!F:F,'Project Detail'!B79,'Change Orders'!E:E)</f>
        <v/>
      </c>
      <c r="I79" s="176">
        <f>SUMIF(Invoices!B:B,B79,Invoices!G:G)</f>
        <v/>
      </c>
      <c r="J79" s="176" t="n">
        <v>0</v>
      </c>
      <c r="K79" s="176">
        <f>I79-J79</f>
        <v/>
      </c>
      <c r="L79" s="171">
        <f>+M79-G79</f>
        <v/>
      </c>
      <c r="M79" s="171" t="n">
        <v>0</v>
      </c>
      <c r="N79" s="171">
        <f>F79-M79</f>
        <v/>
      </c>
      <c r="O79" s="83" t="n"/>
      <c r="Q79" s="171">
        <f>M79-K79</f>
        <v/>
      </c>
      <c r="S79" s="171" t="n"/>
      <c r="T79" s="171" t="n"/>
      <c r="U79" s="171">
        <f>S79+T79+#REF!</f>
        <v/>
      </c>
      <c r="W79" s="171" t="n"/>
      <c r="X79" s="171" t="n"/>
      <c r="Y79" s="171" t="n"/>
      <c r="Z79" s="171">
        <f>W79+X79+Y79</f>
        <v/>
      </c>
      <c r="AB79" s="171">
        <f>U79+Z79</f>
        <v/>
      </c>
      <c r="AD79" s="171">
        <f>Q79-AB79</f>
        <v/>
      </c>
    </row>
    <row r="80">
      <c r="B80" s="183" t="inlineStr">
        <is>
          <t>301-17</t>
        </is>
      </c>
      <c r="C80" s="183" t="n"/>
      <c r="D80" s="154" t="inlineStr">
        <is>
          <t>Multiple Vendors</t>
        </is>
      </c>
      <c r="E80" s="154" t="inlineStr">
        <is>
          <t>Box &amp; VIP Seats</t>
        </is>
      </c>
      <c r="F80" s="182">
        <f>'Budget Summary'!#REF!</f>
        <v/>
      </c>
      <c r="G80" s="171">
        <f>SUMIF('Committed Costs '!C:C,B80,'Committed Costs '!G:G)</f>
        <v/>
      </c>
      <c r="H80" s="171">
        <f>SUMIF('Change Orders'!F:F,'Project Detail'!B80,'Change Orders'!E:E)</f>
        <v/>
      </c>
      <c r="I80" s="171">
        <f>SUMIF(Invoices!B:B,B80,Invoices!G:G)</f>
        <v/>
      </c>
      <c r="J80" s="171" t="n">
        <v>0</v>
      </c>
      <c r="K80" s="171">
        <f>I80-J80</f>
        <v/>
      </c>
      <c r="L80" s="171">
        <f>+M80-G80</f>
        <v/>
      </c>
      <c r="M80" s="171">
        <f>IF((F80+H80)&gt;G80,F80+H80,G80)</f>
        <v/>
      </c>
      <c r="N80" s="171">
        <f>F80-M80</f>
        <v/>
      </c>
      <c r="O80" s="154" t="n"/>
      <c r="P80" s="1019" t="n"/>
      <c r="Q80" s="171">
        <f>M80-K80</f>
        <v/>
      </c>
      <c r="S80" s="171" t="n"/>
      <c r="T80" s="171" t="n"/>
      <c r="U80" s="171">
        <f>S80+T80</f>
        <v/>
      </c>
      <c r="W80" s="171" t="n"/>
      <c r="X80" s="171" t="n"/>
      <c r="Y80" s="171" t="n"/>
      <c r="Z80" s="171">
        <f>W80+X80+Y80</f>
        <v/>
      </c>
      <c r="AB80" s="171">
        <f>U80+Z80</f>
        <v/>
      </c>
      <c r="AD80" s="171">
        <f>Q80-AB80</f>
        <v/>
      </c>
      <c r="AE80" s="32" t="n"/>
    </row>
    <row r="81" hidden="1">
      <c r="B81" s="183" t="inlineStr">
        <is>
          <t>301-18</t>
        </is>
      </c>
      <c r="C81" s="183" t="n"/>
      <c r="D81" s="154" t="n"/>
      <c r="E81" s="154" t="n"/>
      <c r="F81" s="182" t="n">
        <v>0</v>
      </c>
      <c r="G81" s="171">
        <f>SUMIF('Committed Costs '!C:C,B81,'Committed Costs '!G:G)</f>
        <v/>
      </c>
      <c r="H81" s="171">
        <f>SUMIF('Change Orders'!F:F,'Project Detail'!B81,'Change Orders'!E:E)</f>
        <v/>
      </c>
      <c r="I81" s="171">
        <f>SUMIF(Invoices!B:B,B81,Invoices!G:G)</f>
        <v/>
      </c>
      <c r="J81" s="171" t="n">
        <v>0</v>
      </c>
      <c r="K81" s="171">
        <f>I81-J81</f>
        <v/>
      </c>
      <c r="L81" s="171">
        <f>+M81-G81</f>
        <v/>
      </c>
      <c r="M81" s="171">
        <f>IF((F81+H81)&gt;G81,F81+H81,G81)</f>
        <v/>
      </c>
      <c r="N81" s="171">
        <f>F81-M81</f>
        <v/>
      </c>
      <c r="O81" s="154" t="n"/>
      <c r="P81" s="1019" t="n"/>
      <c r="Q81" s="171" t="n"/>
      <c r="S81" s="171" t="n"/>
      <c r="T81" s="171" t="n"/>
      <c r="U81" s="171" t="n"/>
      <c r="W81" s="171" t="n"/>
      <c r="X81" s="171" t="n"/>
      <c r="Y81" s="171" t="n"/>
      <c r="Z81" s="171" t="n"/>
      <c r="AB81" s="171" t="n"/>
      <c r="AD81" s="171" t="n"/>
      <c r="AE81" s="32" t="n"/>
    </row>
    <row r="82" ht="15" customHeight="1">
      <c r="B82" s="144" t="n"/>
      <c r="C82" s="144" t="n">
        <v>301</v>
      </c>
      <c r="D82" s="205" t="n"/>
      <c r="E82" s="179" t="inlineStr">
        <is>
          <t>Total Seating</t>
        </is>
      </c>
      <c r="F82" s="186">
        <f>SUM(F64:F81)</f>
        <v/>
      </c>
      <c r="G82" s="186">
        <f>SUM(G64:G81)</f>
        <v/>
      </c>
      <c r="H82" s="186">
        <f>SUM(H64:H81)</f>
        <v/>
      </c>
      <c r="I82" s="186">
        <f>SUM(I64:I81)</f>
        <v/>
      </c>
      <c r="J82" s="186">
        <f>SUM(J64:J81)</f>
        <v/>
      </c>
      <c r="K82" s="186">
        <f>SUM(K64:K81)</f>
        <v/>
      </c>
      <c r="L82" s="186">
        <f>SUM(L64:L81)</f>
        <v/>
      </c>
      <c r="M82" s="186">
        <f>SUM(M64:M81)</f>
        <v/>
      </c>
      <c r="N82" s="186">
        <f>SUM(N64:N81)</f>
        <v/>
      </c>
      <c r="O82" s="13" t="n"/>
      <c r="Q82" s="186">
        <f>SUM(Q64:Q80)</f>
        <v/>
      </c>
      <c r="S82" s="186">
        <f>SUM(S64:S80)</f>
        <v/>
      </c>
      <c r="T82" s="186">
        <f>SUM(T64:T80)</f>
        <v/>
      </c>
      <c r="U82" s="186">
        <f>U64+U80</f>
        <v/>
      </c>
      <c r="W82" s="186">
        <f>SUM(W64:W80)</f>
        <v/>
      </c>
      <c r="X82" s="186">
        <f>SUM(X64:X80)</f>
        <v/>
      </c>
      <c r="Y82" s="186">
        <f>SUM(Y64:Y80)</f>
        <v/>
      </c>
      <c r="Z82" s="186">
        <f>SUM(Z64:Z80)</f>
        <v/>
      </c>
      <c r="AB82" s="186">
        <f>AB64+AB80</f>
        <v/>
      </c>
      <c r="AD82" s="186">
        <f>AD64+AD80</f>
        <v/>
      </c>
    </row>
    <row r="83" ht="15" customHeight="1">
      <c r="B83" s="206" t="n">
        <v>302</v>
      </c>
      <c r="C83" s="207" t="n"/>
      <c r="D83" s="208" t="inlineStr">
        <is>
          <t>Concessions</t>
        </is>
      </c>
      <c r="E83" s="209" t="n"/>
      <c r="F83" s="209" t="n"/>
      <c r="G83" s="209" t="n"/>
      <c r="H83" s="209" t="n"/>
      <c r="I83" s="209" t="n"/>
      <c r="J83" s="209" t="n"/>
      <c r="K83" s="209" t="n"/>
      <c r="L83" s="209" t="n"/>
      <c r="M83" s="209" t="n"/>
      <c r="N83" s="209" t="n"/>
      <c r="O83" s="210" t="n"/>
      <c r="Q83" s="118" t="n"/>
      <c r="S83" s="209" t="n"/>
      <c r="T83" s="209" t="n"/>
      <c r="U83" s="209" t="n"/>
      <c r="W83" s="209" t="n"/>
      <c r="X83" s="209" t="n"/>
      <c r="Y83" s="209" t="n"/>
      <c r="Z83" s="209" t="n"/>
      <c r="AB83" s="209" t="n"/>
      <c r="AD83" s="118" t="n"/>
    </row>
    <row r="84" ht="14.5" customHeight="1">
      <c r="B84" s="144" t="inlineStr">
        <is>
          <t>302-1</t>
        </is>
      </c>
      <c r="C84" s="144" t="n"/>
      <c r="D84" s="83" t="inlineStr">
        <is>
          <t>TriMark</t>
        </is>
      </c>
      <c r="E84" s="83" t="inlineStr">
        <is>
          <t>Kitchen and Bars</t>
        </is>
      </c>
      <c r="F84" s="182">
        <f>'Budget Summary'!D50</f>
        <v/>
      </c>
      <c r="G84" s="176">
        <f>SUMIF('Committed Costs '!C:C,B84,'Committed Costs '!G:G)</f>
        <v/>
      </c>
      <c r="H84" s="176">
        <f>SUMIF('Change Orders'!F:F,'Project Detail'!B84,'Change Orders'!E:E)</f>
        <v/>
      </c>
      <c r="I84" s="176">
        <f>SUMIF(Invoices!B:B,B84,Invoices!G:G)</f>
        <v/>
      </c>
      <c r="J84" s="176" t="n">
        <v>0</v>
      </c>
      <c r="K84" s="176">
        <f>I84-J84</f>
        <v/>
      </c>
      <c r="L84" s="171">
        <f>+M84-G84</f>
        <v/>
      </c>
      <c r="M84" s="171">
        <f>G84</f>
        <v/>
      </c>
      <c r="N84" s="171">
        <f>F84-M84</f>
        <v/>
      </c>
      <c r="O84" s="83" t="n"/>
      <c r="Q84" s="171">
        <f>M84-K84</f>
        <v/>
      </c>
      <c r="S84" s="171" t="n"/>
      <c r="T84" s="171" t="n"/>
      <c r="U84" s="171">
        <f>S84+T84</f>
        <v/>
      </c>
      <c r="W84" s="171" t="n"/>
      <c r="X84" s="171" t="n"/>
      <c r="Y84" s="171" t="n"/>
      <c r="Z84" s="171">
        <f>W84+X84+Y84</f>
        <v/>
      </c>
      <c r="AB84" s="171">
        <f>U84+Z84</f>
        <v/>
      </c>
      <c r="AD84" s="171">
        <f>Q84-AB84</f>
        <v/>
      </c>
    </row>
    <row r="85" ht="14.5" customHeight="1">
      <c r="B85" s="144" t="inlineStr">
        <is>
          <t>302-2</t>
        </is>
      </c>
      <c r="C85" s="144" t="n"/>
      <c r="D85" s="83" t="inlineStr">
        <is>
          <t>TBD</t>
        </is>
      </c>
      <c r="E85" s="83" t="inlineStr">
        <is>
          <t>Miscellaneous Equipment (POS)</t>
        </is>
      </c>
      <c r="F85" s="85">
        <f>'Budget Summary'!D51</f>
        <v/>
      </c>
      <c r="G85" s="176">
        <f>SUMIF('Committed Costs '!C:C,B85,'Committed Costs '!G:G)</f>
        <v/>
      </c>
      <c r="H85" s="176">
        <f>SUMIF('Change Orders'!F:F,'Project Detail'!B85,'Change Orders'!E:E)</f>
        <v/>
      </c>
      <c r="I85" s="176">
        <f>SUMIF(Invoices!B:B,B85,Invoices!G:G)</f>
        <v/>
      </c>
      <c r="J85" s="176" t="n">
        <v>0</v>
      </c>
      <c r="K85" s="176">
        <f>I85-J85</f>
        <v/>
      </c>
      <c r="L85" s="176">
        <f>+M85-G85</f>
        <v/>
      </c>
      <c r="M85" s="176">
        <f>G85</f>
        <v/>
      </c>
      <c r="N85" s="176">
        <f>F85-M85</f>
        <v/>
      </c>
      <c r="O85" s="83" t="n"/>
      <c r="P85" s="32" t="n"/>
      <c r="Q85" s="171">
        <f>M85-K85</f>
        <v/>
      </c>
      <c r="S85" s="176" t="n"/>
      <c r="T85" s="176" t="n"/>
      <c r="U85" s="171">
        <f>S85+T85</f>
        <v/>
      </c>
      <c r="W85" s="176" t="n"/>
      <c r="X85" s="176" t="n"/>
      <c r="Y85" s="176" t="n"/>
      <c r="Z85" s="171">
        <f>W85+X85+Y85</f>
        <v/>
      </c>
      <c r="AB85" s="171">
        <f>U85+Z85</f>
        <v/>
      </c>
      <c r="AD85" s="171">
        <f>Q85-AB85</f>
        <v/>
      </c>
    </row>
    <row r="86" ht="14.5" customHeight="1">
      <c r="B86" s="144" t="inlineStr">
        <is>
          <t>302-3</t>
        </is>
      </c>
      <c r="C86" s="144" t="n"/>
      <c r="D86" s="83" t="inlineStr">
        <is>
          <t>TBD</t>
        </is>
      </c>
      <c r="E86" s="83" t="inlineStr">
        <is>
          <t>Portable Bars</t>
        </is>
      </c>
      <c r="F86" s="85">
        <f>'Budget Summary'!#REF!</f>
        <v/>
      </c>
      <c r="G86" s="176">
        <f>SUMIF('Committed Costs '!C:C,B86,'Committed Costs '!G:G)</f>
        <v/>
      </c>
      <c r="H86" s="176">
        <f>SUMIF('Change Orders'!F:F,'Project Detail'!B86,'Change Orders'!E:E)</f>
        <v/>
      </c>
      <c r="I86" s="176">
        <f>SUMIF(Invoices!B:B,B86,Invoices!G:G)</f>
        <v/>
      </c>
      <c r="J86" s="176" t="n">
        <v>0</v>
      </c>
      <c r="K86" s="176">
        <f>I86-J86</f>
        <v/>
      </c>
      <c r="L86" s="176">
        <f>+M86-G86</f>
        <v/>
      </c>
      <c r="M86" s="176" t="n">
        <v>0</v>
      </c>
      <c r="N86" s="176">
        <f>F86-M86</f>
        <v/>
      </c>
      <c r="O86" s="83" t="n"/>
      <c r="Q86" s="171">
        <f>M86-K86</f>
        <v/>
      </c>
      <c r="S86" s="171" t="n"/>
      <c r="T86" s="171" t="n"/>
      <c r="U86" s="171">
        <f>S86+T86</f>
        <v/>
      </c>
      <c r="W86" s="171" t="n"/>
      <c r="X86" s="171" t="n"/>
      <c r="Y86" s="171" t="n"/>
      <c r="Z86" s="171">
        <f>W86+X86+Y86</f>
        <v/>
      </c>
      <c r="AB86" s="171">
        <f>U86+Z86</f>
        <v/>
      </c>
      <c r="AD86" s="171">
        <f>Q86-AB86</f>
        <v/>
      </c>
    </row>
    <row r="87" hidden="1" ht="14.5" customHeight="1">
      <c r="B87" s="144" t="inlineStr">
        <is>
          <t>302-4</t>
        </is>
      </c>
      <c r="C87" s="144" t="n"/>
      <c r="D87" s="83" t="n"/>
      <c r="E87" s="83" t="n"/>
      <c r="F87" s="85" t="n">
        <v>0</v>
      </c>
      <c r="G87" s="176">
        <f>SUMIF('Committed Costs '!C:C,B87,'Committed Costs '!G:G)</f>
        <v/>
      </c>
      <c r="H87" s="176">
        <f>SUMIF('Change Orders'!F:F,'Project Detail'!B87,'Change Orders'!E:E)</f>
        <v/>
      </c>
      <c r="I87" s="176">
        <f>SUMIF(Invoices!B:B,B87,Invoices!G:G)</f>
        <v/>
      </c>
      <c r="J87" s="176" t="n">
        <v>0</v>
      </c>
      <c r="K87" s="176">
        <f>I87-J87</f>
        <v/>
      </c>
      <c r="L87" s="171">
        <f>+M87-G87</f>
        <v/>
      </c>
      <c r="M87" s="171">
        <f>IF((F87+H87)&gt;G87,F87+H87,G87)</f>
        <v/>
      </c>
      <c r="N87" s="171">
        <f>F87-M87</f>
        <v/>
      </c>
      <c r="O87" s="83" t="n"/>
      <c r="Q87" s="171">
        <f>M87-K87</f>
        <v/>
      </c>
      <c r="S87" s="171" t="n"/>
      <c r="T87" s="171" t="n"/>
      <c r="U87" s="171">
        <f>S87+T87</f>
        <v/>
      </c>
      <c r="W87" s="171" t="n"/>
      <c r="X87" s="171" t="n"/>
      <c r="Y87" s="171" t="n"/>
      <c r="Z87" s="171">
        <f>W87+X87+Y87</f>
        <v/>
      </c>
      <c r="AB87" s="171">
        <f>U87+Z87</f>
        <v/>
      </c>
      <c r="AD87" s="171">
        <f>Q87-AB87</f>
        <v/>
      </c>
    </row>
    <row r="88" ht="15" customHeight="1">
      <c r="B88" s="144" t="n"/>
      <c r="C88" s="144" t="n">
        <v>302</v>
      </c>
      <c r="D88" s="205" t="n"/>
      <c r="E88" s="179" t="inlineStr">
        <is>
          <t>Total Concession</t>
        </is>
      </c>
      <c r="F88" s="186">
        <f>SUM(F84:F87)</f>
        <v/>
      </c>
      <c r="G88" s="186">
        <f>SUM(G84:G87)</f>
        <v/>
      </c>
      <c r="H88" s="186">
        <f>SUM(H84:H87)</f>
        <v/>
      </c>
      <c r="I88" s="186">
        <f>SUM(I84:I87)</f>
        <v/>
      </c>
      <c r="J88" s="186">
        <f>SUM(J84:J87)</f>
        <v/>
      </c>
      <c r="K88" s="186">
        <f>SUM(K84:K87)</f>
        <v/>
      </c>
      <c r="L88" s="186">
        <f>SUM(L84:L87)</f>
        <v/>
      </c>
      <c r="M88" s="186">
        <f>SUM(M84:M87)</f>
        <v/>
      </c>
      <c r="N88" s="186">
        <f>SUM(N84:N87)</f>
        <v/>
      </c>
      <c r="O88" s="13" t="n"/>
      <c r="Q88" s="186">
        <f>SUM(Q84:Q87)</f>
        <v/>
      </c>
      <c r="S88" s="186">
        <f>SUM(S84:S87)</f>
        <v/>
      </c>
      <c r="T88" s="186">
        <f>SUM(T84:T87)</f>
        <v/>
      </c>
      <c r="U88" s="186">
        <f>SUM(U84:U87)</f>
        <v/>
      </c>
      <c r="W88" s="186">
        <f>SUM(W84:W87)</f>
        <v/>
      </c>
      <c r="X88" s="186">
        <f>SUM(X84:X87)</f>
        <v/>
      </c>
      <c r="Y88" s="186">
        <f>SUM(Y84:Y87)</f>
        <v/>
      </c>
      <c r="Z88" s="186">
        <f>SUM(Z84:Z87)</f>
        <v/>
      </c>
      <c r="AB88" s="186">
        <f>SUM(AB84:AB87)</f>
        <v/>
      </c>
      <c r="AD88" s="186">
        <f>SUM(AD84:AD87)</f>
        <v/>
      </c>
    </row>
    <row r="89" ht="15" customHeight="1">
      <c r="B89" s="206" t="n">
        <v>303</v>
      </c>
      <c r="C89" s="207" t="n"/>
      <c r="D89" s="208" t="inlineStr">
        <is>
          <t>Phone &amp; Data Systems</t>
        </is>
      </c>
      <c r="E89" s="209" t="n"/>
      <c r="F89" s="209" t="n"/>
      <c r="G89" s="209" t="n"/>
      <c r="H89" s="209" t="n"/>
      <c r="I89" s="209" t="n"/>
      <c r="J89" s="209" t="n"/>
      <c r="K89" s="209" t="n"/>
      <c r="L89" s="209" t="n"/>
      <c r="M89" s="209" t="n"/>
      <c r="N89" s="209" t="n"/>
      <c r="O89" s="210" t="n"/>
      <c r="Q89" s="118" t="n"/>
      <c r="S89" s="209" t="n"/>
      <c r="T89" s="209" t="n"/>
      <c r="U89" s="209" t="n"/>
      <c r="W89" s="209" t="n"/>
      <c r="X89" s="209" t="n"/>
      <c r="Y89" s="209" t="n"/>
      <c r="Z89" s="209" t="n"/>
      <c r="AB89" s="209" t="n"/>
      <c r="AD89" s="118" t="n"/>
    </row>
    <row r="90" ht="14.5" customHeight="1">
      <c r="B90" s="144" t="inlineStr">
        <is>
          <t>303-1</t>
        </is>
      </c>
      <c r="C90" s="144" t="n"/>
      <c r="D90" s="139" t="inlineStr">
        <is>
          <t>Multiple Vendors</t>
        </is>
      </c>
      <c r="E90" s="83" t="inlineStr">
        <is>
          <t>CCTV</t>
        </is>
      </c>
      <c r="F90" s="85">
        <f>'Budget Summary'!D52</f>
        <v/>
      </c>
      <c r="G90" s="176">
        <f>SUMIF('Committed Costs '!C:C,B90,'Committed Costs '!G:G)</f>
        <v/>
      </c>
      <c r="H90" s="176">
        <f>SUMIF('Change Orders'!F:F,'Project Detail'!B90,'Change Orders'!E:E)</f>
        <v/>
      </c>
      <c r="I90" s="176">
        <f>SUMIF(Invoices!B:B,B90,Invoices!G:G)</f>
        <v/>
      </c>
      <c r="J90" s="176" t="n">
        <v>0</v>
      </c>
      <c r="K90" s="176">
        <f>I90-J90</f>
        <v/>
      </c>
      <c r="L90" s="38">
        <f>+M90-G90</f>
        <v/>
      </c>
      <c r="M90" s="171">
        <f>IF((F90+H90)&gt;G90,F90+H90,G90)</f>
        <v/>
      </c>
      <c r="N90" s="171">
        <f>F90-M90</f>
        <v/>
      </c>
      <c r="O90" s="83" t="n"/>
      <c r="Q90" s="171">
        <f>M90-K90</f>
        <v/>
      </c>
      <c r="S90" s="171" t="n"/>
      <c r="T90" s="171" t="n"/>
      <c r="U90" s="171">
        <f>S90+T90</f>
        <v/>
      </c>
      <c r="W90" s="171" t="n"/>
      <c r="X90" s="171" t="n"/>
      <c r="Y90" s="171" t="n"/>
      <c r="Z90" s="171">
        <f>W90+X90+Y90</f>
        <v/>
      </c>
      <c r="AB90" s="171">
        <f>U90+Z90</f>
        <v/>
      </c>
      <c r="AD90" s="171">
        <f>Q90-AB90</f>
        <v/>
      </c>
    </row>
    <row r="91" ht="14.5" customHeight="1">
      <c r="B91" s="183" t="inlineStr">
        <is>
          <t>303-2</t>
        </is>
      </c>
      <c r="C91" s="183" t="n"/>
      <c r="D91" s="154" t="inlineStr">
        <is>
          <t>Entisys, Insight, Multi-Link</t>
        </is>
      </c>
      <c r="E91" s="154" t="inlineStr">
        <is>
          <t>Data /Wifi Systems</t>
        </is>
      </c>
      <c r="F91" s="182">
        <f>'Budget Summary'!D53</f>
        <v/>
      </c>
      <c r="G91" s="218">
        <f>SUMIF('Committed Costs '!C:C,B91,'Committed Costs '!G:G)</f>
        <v/>
      </c>
      <c r="H91" s="218">
        <f>SUMIF('Change Orders'!F:F,'Project Detail'!B91,'Change Orders'!E:E)</f>
        <v/>
      </c>
      <c r="I91" s="218">
        <f>SUMIF(Invoices!B:B,B91,Invoices!G:G)</f>
        <v/>
      </c>
      <c r="J91" s="218" t="n">
        <v>0</v>
      </c>
      <c r="K91" s="218">
        <f>I91-J91</f>
        <v/>
      </c>
      <c r="L91" s="1017">
        <f>+M91-G91</f>
        <v/>
      </c>
      <c r="M91" s="171">
        <f>IF((F91+H91)&gt;G91,F91+H91,G91)</f>
        <v/>
      </c>
      <c r="N91" s="171">
        <f>F91-M91</f>
        <v/>
      </c>
      <c r="O91" s="154" t="n"/>
      <c r="Q91" s="171">
        <f>M91-K91</f>
        <v/>
      </c>
      <c r="S91" s="171" t="n"/>
      <c r="T91" s="171" t="n"/>
      <c r="U91" s="171">
        <f>S91+T91</f>
        <v/>
      </c>
      <c r="W91" s="171" t="n"/>
      <c r="X91" s="171" t="n"/>
      <c r="Y91" s="171" t="n"/>
      <c r="Z91" s="171">
        <f>W91+X91+Y91</f>
        <v/>
      </c>
      <c r="AB91" s="171">
        <f>U91+Z91</f>
        <v/>
      </c>
      <c r="AD91" s="171">
        <f>Q91-AB91</f>
        <v/>
      </c>
    </row>
    <row r="92" ht="15" customHeight="1">
      <c r="B92" s="144" t="n"/>
      <c r="C92" s="144" t="n">
        <v>303</v>
      </c>
      <c r="D92" s="205" t="n"/>
      <c r="E92" s="179" t="inlineStr">
        <is>
          <t>Total Phone &amp; Data</t>
        </is>
      </c>
      <c r="F92" s="186">
        <f>SUM(F90:F91)</f>
        <v/>
      </c>
      <c r="G92" s="186">
        <f>SUM(G90:G91)</f>
        <v/>
      </c>
      <c r="H92" s="186">
        <f>SUM(H90:H91)</f>
        <v/>
      </c>
      <c r="I92" s="186">
        <f>SUM(I90:I91)</f>
        <v/>
      </c>
      <c r="J92" s="186">
        <f>SUM(J90:J91)</f>
        <v/>
      </c>
      <c r="K92" s="186">
        <f>SUM(K90:K91)</f>
        <v/>
      </c>
      <c r="L92" s="186">
        <f>SUM(L90:L91)</f>
        <v/>
      </c>
      <c r="M92" s="186">
        <f>SUM(M90:M91)</f>
        <v/>
      </c>
      <c r="N92" s="186">
        <f>SUM(N90:N91)</f>
        <v/>
      </c>
      <c r="O92" s="13" t="n"/>
      <c r="Q92" s="186">
        <f>SUM(Q90:Q91)</f>
        <v/>
      </c>
      <c r="S92" s="186">
        <f>SUM(S90:S91)</f>
        <v/>
      </c>
      <c r="T92" s="186">
        <f>SUM(T90:T91)</f>
        <v/>
      </c>
      <c r="U92" s="186">
        <f>SUM(U90:U91)</f>
        <v/>
      </c>
      <c r="W92" s="186">
        <f>SUM(W90:W91)</f>
        <v/>
      </c>
      <c r="X92" s="186">
        <f>SUM(X90:X91)</f>
        <v/>
      </c>
      <c r="Y92" s="186">
        <f>SUM(Y90:Y91)</f>
        <v/>
      </c>
      <c r="Z92" s="186">
        <f>SUM(Z90:Z91)</f>
        <v/>
      </c>
      <c r="AB92" s="186">
        <f>SUM(AB90:AB91)</f>
        <v/>
      </c>
      <c r="AD92" s="186">
        <f>SUM(AD90:AD91)</f>
        <v/>
      </c>
    </row>
    <row r="93" ht="15" customHeight="1">
      <c r="B93" s="206" t="n">
        <v>304</v>
      </c>
      <c r="C93" s="207" t="n"/>
      <c r="D93" s="208" t="inlineStr">
        <is>
          <t>Office Furniture</t>
        </is>
      </c>
      <c r="E93" s="209" t="n"/>
      <c r="F93" s="209" t="n"/>
      <c r="G93" s="209" t="n"/>
      <c r="H93" s="209" t="n"/>
      <c r="I93" s="209" t="n"/>
      <c r="J93" s="209" t="n"/>
      <c r="K93" s="209" t="n"/>
      <c r="L93" s="209" t="n"/>
      <c r="M93" s="209" t="n"/>
      <c r="N93" s="209" t="n"/>
      <c r="O93" s="210" t="n"/>
      <c r="Q93" s="118" t="n"/>
      <c r="S93" s="209" t="n"/>
      <c r="T93" s="209" t="n"/>
      <c r="U93" s="209" t="n"/>
      <c r="W93" s="209" t="n"/>
      <c r="X93" s="209" t="n"/>
      <c r="Y93" s="209" t="n"/>
      <c r="Z93" s="209" t="n"/>
      <c r="AB93" s="209" t="n"/>
      <c r="AD93" s="118" t="n"/>
    </row>
    <row r="94" ht="14.5" customHeight="1">
      <c r="B94" s="144" t="inlineStr">
        <is>
          <t>304-1</t>
        </is>
      </c>
      <c r="C94" s="144" t="n"/>
      <c r="D94" s="83" t="inlineStr">
        <is>
          <t>Pivot / YE Co.</t>
        </is>
      </c>
      <c r="E94" s="83" t="inlineStr">
        <is>
          <t>Office Furniture (From Furniture Tracker)</t>
        </is>
      </c>
      <c r="F94" s="85">
        <f>'Budget Summary'!D54</f>
        <v/>
      </c>
      <c r="G94" s="176">
        <f>SUMIF('Committed Costs '!C:C,B94,'Committed Costs '!G:G)</f>
        <v/>
      </c>
      <c r="H94" s="176">
        <f>SUMIF('Change Orders'!F:F,'Project Detail'!B94,'Change Orders'!E:E)</f>
        <v/>
      </c>
      <c r="I94" s="176">
        <f>SUMIF(Invoices!B:B,B94,Invoices!G:G)</f>
        <v/>
      </c>
      <c r="J94" s="176" t="n">
        <v>0</v>
      </c>
      <c r="K94" s="176">
        <f>I94-J94</f>
        <v/>
      </c>
      <c r="L94" s="171">
        <f>+M94-G94</f>
        <v/>
      </c>
      <c r="M94" s="171">
        <f>G94</f>
        <v/>
      </c>
      <c r="N94" s="171">
        <f>F94-M94</f>
        <v/>
      </c>
      <c r="O94" s="187" t="n"/>
      <c r="Q94" s="171">
        <f>M94-K94</f>
        <v/>
      </c>
      <c r="S94" s="171" t="n"/>
      <c r="T94" s="171" t="n"/>
      <c r="U94" s="171">
        <f>S94+T94</f>
        <v/>
      </c>
      <c r="W94" s="171" t="n"/>
      <c r="X94" s="171" t="n"/>
      <c r="Y94" s="171" t="n"/>
      <c r="Z94" s="171">
        <f>W94+X94+Y94</f>
        <v/>
      </c>
      <c r="AB94" s="171">
        <f>U94+Z94</f>
        <v/>
      </c>
      <c r="AD94" s="171">
        <f>Q94-AB94</f>
        <v/>
      </c>
      <c r="AE94" s="32" t="n"/>
    </row>
    <row r="95" hidden="1" ht="14.5" customHeight="1">
      <c r="B95" s="183" t="inlineStr">
        <is>
          <t>304-2</t>
        </is>
      </c>
      <c r="C95" s="183" t="n"/>
      <c r="D95" s="154" t="inlineStr">
        <is>
          <t>N/A</t>
        </is>
      </c>
      <c r="E95" s="154" t="inlineStr">
        <is>
          <t>Administration Refrigerator</t>
        </is>
      </c>
      <c r="F95" s="85">
        <f>600-600</f>
        <v/>
      </c>
      <c r="G95" s="171">
        <f>SUMIF('Committed Costs '!C:C,B95,'Committed Costs '!G:G)</f>
        <v/>
      </c>
      <c r="H95" s="171">
        <f>SUMIF('Change Orders'!F:F,'Project Detail'!B95,'Change Orders'!E:E)</f>
        <v/>
      </c>
      <c r="I95" s="171">
        <f>SUMIF(Invoices!B:B,B95,Invoices!G:G)</f>
        <v/>
      </c>
      <c r="J95" s="171" t="n">
        <v>0</v>
      </c>
      <c r="K95" s="171">
        <f>I95-J95</f>
        <v/>
      </c>
      <c r="L95" s="171">
        <f>+M95-G95</f>
        <v/>
      </c>
      <c r="M95" s="171">
        <f>IF((F95+H95)&gt;G95,F95+H95,G95)</f>
        <v/>
      </c>
      <c r="N95" s="176">
        <f>F95-M95</f>
        <v/>
      </c>
      <c r="O95" s="13" t="n"/>
      <c r="Q95" s="171">
        <f>G95-K95</f>
        <v/>
      </c>
      <c r="S95" s="171" t="n"/>
      <c r="T95" s="171" t="n"/>
      <c r="U95" s="171">
        <f>S95+T95+#REF!</f>
        <v/>
      </c>
      <c r="W95" s="171" t="n"/>
      <c r="X95" s="171" t="n"/>
      <c r="Y95" s="171" t="n"/>
      <c r="Z95" s="171">
        <f>W95+X95+Y95</f>
        <v/>
      </c>
      <c r="AB95" s="171">
        <f>U95+Z95</f>
        <v/>
      </c>
      <c r="AD95" s="171" t="n"/>
    </row>
    <row r="96" hidden="1" ht="14.5" customHeight="1">
      <c r="B96" s="183" t="inlineStr">
        <is>
          <t>304-3</t>
        </is>
      </c>
      <c r="C96" s="183" t="n"/>
      <c r="D96" s="154" t="inlineStr">
        <is>
          <t>N/A</t>
        </is>
      </c>
      <c r="E96" s="154" t="inlineStr">
        <is>
          <t>Desks-Production</t>
        </is>
      </c>
      <c r="F96" s="85">
        <f>1000-1000</f>
        <v/>
      </c>
      <c r="G96" s="171">
        <f>SUMIF('Committed Costs '!C:C,B96,'Committed Costs '!G:G)</f>
        <v/>
      </c>
      <c r="H96" s="171">
        <f>SUMIF('Change Orders'!F:F,'Project Detail'!B96,'Change Orders'!E:E)</f>
        <v/>
      </c>
      <c r="I96" s="171">
        <f>SUMIF(Invoices!B:B,B96,Invoices!G:G)</f>
        <v/>
      </c>
      <c r="J96" s="171" t="n">
        <v>0</v>
      </c>
      <c r="K96" s="171">
        <f>I96-J96</f>
        <v/>
      </c>
      <c r="L96" s="171">
        <f>+M96-G96</f>
        <v/>
      </c>
      <c r="M96" s="171">
        <f>IF((F96+H96)&gt;G96,F96+H96,G96)</f>
        <v/>
      </c>
      <c r="N96" s="176">
        <f>F96-M96</f>
        <v/>
      </c>
      <c r="O96" s="13" t="n"/>
      <c r="Q96" s="171">
        <f>G96-K96</f>
        <v/>
      </c>
      <c r="S96" s="171" t="n"/>
      <c r="T96" s="171" t="n"/>
      <c r="U96" s="171">
        <f>S96+T96+#REF!</f>
        <v/>
      </c>
      <c r="W96" s="171" t="n"/>
      <c r="X96" s="171" t="n"/>
      <c r="Y96" s="171" t="n"/>
      <c r="Z96" s="171">
        <f>W96+X96+Y96</f>
        <v/>
      </c>
      <c r="AB96" s="171">
        <f>U96+Z96</f>
        <v/>
      </c>
      <c r="AD96" s="171" t="n"/>
    </row>
    <row r="97" hidden="1" ht="14.5" customHeight="1">
      <c r="B97" s="183" t="inlineStr">
        <is>
          <t>304-4</t>
        </is>
      </c>
      <c r="C97" s="183" t="n"/>
      <c r="D97" s="154" t="inlineStr">
        <is>
          <t>N/A</t>
        </is>
      </c>
      <c r="E97" s="154" t="inlineStr">
        <is>
          <t>Desk Chairs-Production</t>
        </is>
      </c>
      <c r="F97" s="85">
        <f>800-800</f>
        <v/>
      </c>
      <c r="G97" s="171">
        <f>SUMIF('Committed Costs '!C:C,B97,'Committed Costs '!G:G)</f>
        <v/>
      </c>
      <c r="H97" s="171">
        <f>SUMIF('Change Orders'!F:F,'Project Detail'!B97,'Change Orders'!E:E)</f>
        <v/>
      </c>
      <c r="I97" s="171">
        <f>SUMIF(Invoices!B:B,B97,Invoices!G:G)</f>
        <v/>
      </c>
      <c r="J97" s="171" t="n">
        <v>0</v>
      </c>
      <c r="K97" s="171">
        <f>I97-J97</f>
        <v/>
      </c>
      <c r="L97" s="171">
        <f>+M97-G97</f>
        <v/>
      </c>
      <c r="M97" s="171">
        <f>IF((F97+H97)&gt;G97,F97+H97,G97)</f>
        <v/>
      </c>
      <c r="N97" s="176">
        <f>F97-M97</f>
        <v/>
      </c>
      <c r="O97" s="13" t="n"/>
      <c r="Q97" s="171">
        <f>G97-K97</f>
        <v/>
      </c>
      <c r="S97" s="171" t="n"/>
      <c r="T97" s="171" t="n"/>
      <c r="U97" s="171">
        <f>S97+T97+#REF!</f>
        <v/>
      </c>
      <c r="W97" s="171" t="n"/>
      <c r="X97" s="171" t="n"/>
      <c r="Y97" s="171" t="n"/>
      <c r="Z97" s="171">
        <f>W97+X97+Y97</f>
        <v/>
      </c>
      <c r="AB97" s="171">
        <f>U97+Z97</f>
        <v/>
      </c>
      <c r="AD97" s="171" t="n"/>
    </row>
    <row r="98" hidden="1" ht="14.5" customHeight="1">
      <c r="B98" s="183" t="inlineStr">
        <is>
          <t>304-5</t>
        </is>
      </c>
      <c r="C98" s="183" t="n"/>
      <c r="D98" s="154" t="inlineStr">
        <is>
          <t>N/A</t>
        </is>
      </c>
      <c r="E98" s="154" t="inlineStr">
        <is>
          <t>File Cabinets-Production</t>
        </is>
      </c>
      <c r="F98" s="85">
        <f>800-800</f>
        <v/>
      </c>
      <c r="G98" s="171">
        <f>SUMIF('Committed Costs '!C:C,B98,'Committed Costs '!G:G)</f>
        <v/>
      </c>
      <c r="H98" s="171">
        <f>SUMIF('Change Orders'!F:F,'Project Detail'!B98,'Change Orders'!E:E)</f>
        <v/>
      </c>
      <c r="I98" s="171">
        <f>SUMIF(Invoices!B:B,B98,Invoices!G:G)</f>
        <v/>
      </c>
      <c r="J98" s="171" t="n">
        <v>0</v>
      </c>
      <c r="K98" s="171">
        <f>I98-J98</f>
        <v/>
      </c>
      <c r="L98" s="171">
        <f>+M98-G98</f>
        <v/>
      </c>
      <c r="M98" s="171">
        <f>IF((F98+H98)&gt;G98,F98+H98,G98)</f>
        <v/>
      </c>
      <c r="N98" s="176">
        <f>F98-M98</f>
        <v/>
      </c>
      <c r="O98" s="13" t="n"/>
      <c r="Q98" s="171">
        <f>G98-K98</f>
        <v/>
      </c>
      <c r="S98" s="171" t="n"/>
      <c r="T98" s="171" t="n"/>
      <c r="U98" s="171">
        <f>S98+T98+#REF!</f>
        <v/>
      </c>
      <c r="W98" s="171" t="n"/>
      <c r="X98" s="171" t="n"/>
      <c r="Y98" s="171" t="n"/>
      <c r="Z98" s="171">
        <f>W98+X98+Y98</f>
        <v/>
      </c>
      <c r="AB98" s="171">
        <f>U98+Z98</f>
        <v/>
      </c>
      <c r="AD98" s="171" t="n"/>
    </row>
    <row r="99" ht="15" customHeight="1">
      <c r="B99" s="144" t="n"/>
      <c r="C99" s="144" t="n">
        <v>304</v>
      </c>
      <c r="D99" s="205" t="n"/>
      <c r="E99" s="179" t="inlineStr">
        <is>
          <t>Total Office Furniture</t>
        </is>
      </c>
      <c r="F99" s="186">
        <f>SUM(F94:F98)</f>
        <v/>
      </c>
      <c r="G99" s="186">
        <f>SUM(G94:G98)</f>
        <v/>
      </c>
      <c r="H99" s="186">
        <f>SUM(H94:H98)</f>
        <v/>
      </c>
      <c r="I99" s="186">
        <f>SUM(I94:I98)</f>
        <v/>
      </c>
      <c r="J99" s="186">
        <f>SUM(J94:J98)</f>
        <v/>
      </c>
      <c r="K99" s="186">
        <f>SUM(K94:K98)</f>
        <v/>
      </c>
      <c r="L99" s="186">
        <f>SUM(L94:L98)</f>
        <v/>
      </c>
      <c r="M99" s="186">
        <f>SUM(M94:M98)</f>
        <v/>
      </c>
      <c r="N99" s="186">
        <f>SUM(N94:N98)</f>
        <v/>
      </c>
      <c r="O99" s="13" t="n"/>
      <c r="Q99" s="186">
        <f>SUM(Q94:Q98)</f>
        <v/>
      </c>
      <c r="S99" s="186">
        <f>SUM(S94:S98)</f>
        <v/>
      </c>
      <c r="T99" s="186">
        <f>SUM(T94:T98)</f>
        <v/>
      </c>
      <c r="U99" s="186">
        <f>U94</f>
        <v/>
      </c>
      <c r="W99" s="186">
        <f>SUM(W94:W98)</f>
        <v/>
      </c>
      <c r="X99" s="186">
        <f>SUM(X94:X98)</f>
        <v/>
      </c>
      <c r="Y99" s="186">
        <f>SUM(Y94:Y98)</f>
        <v/>
      </c>
      <c r="Z99" s="186">
        <f>SUM(Z94:Z98)</f>
        <v/>
      </c>
      <c r="AB99" s="186">
        <f>AB94</f>
        <v/>
      </c>
      <c r="AD99" s="186">
        <f>SUM(AD94:AD98)</f>
        <v/>
      </c>
    </row>
    <row r="100" ht="15" customHeight="1">
      <c r="B100" s="206" t="n">
        <v>305</v>
      </c>
      <c r="C100" s="207" t="n"/>
      <c r="D100" s="208" t="inlineStr">
        <is>
          <t>Signage/Graphics</t>
        </is>
      </c>
      <c r="E100" s="209" t="n"/>
      <c r="F100" s="209" t="n"/>
      <c r="G100" s="209" t="n"/>
      <c r="H100" s="209" t="n"/>
      <c r="I100" s="209" t="n"/>
      <c r="J100" s="209" t="n"/>
      <c r="K100" s="209" t="n"/>
      <c r="L100" s="209" t="n"/>
      <c r="M100" s="209" t="n"/>
      <c r="N100" s="209" t="n"/>
      <c r="O100" s="210" t="n"/>
      <c r="Q100" s="118" t="n"/>
      <c r="S100" s="209" t="n"/>
      <c r="T100" s="209" t="n"/>
      <c r="U100" s="209" t="n"/>
      <c r="W100" s="209" t="n"/>
      <c r="X100" s="209" t="n"/>
      <c r="Y100" s="209" t="n"/>
      <c r="Z100" s="209" t="n"/>
      <c r="AB100" s="209" t="n"/>
      <c r="AD100" s="118" t="n"/>
    </row>
    <row r="101" ht="15" customHeight="1">
      <c r="B101" s="144" t="inlineStr">
        <is>
          <t>305-1</t>
        </is>
      </c>
      <c r="C101" s="144" t="n"/>
      <c r="D101" s="83" t="inlineStr">
        <is>
          <t>TBD</t>
        </is>
      </c>
      <c r="E101" s="83" t="inlineStr">
        <is>
          <t>Exterior Signage / Wayfinding</t>
        </is>
      </c>
      <c r="F101" s="85" t="n">
        <v>0</v>
      </c>
      <c r="G101" s="176">
        <f>SUMIF('Committed Costs '!C:C,B101,'Committed Costs '!G:G)</f>
        <v/>
      </c>
      <c r="H101" s="176">
        <f>SUMIF('Change Orders'!F:F,'Project Detail'!B101,'Change Orders'!E:E)</f>
        <v/>
      </c>
      <c r="I101" s="176">
        <f>SUMIF(Invoices!B:B,B101,Invoices!G:G)</f>
        <v/>
      </c>
      <c r="J101" s="176" t="n">
        <v>0</v>
      </c>
      <c r="K101" s="176">
        <f>I101-J101</f>
        <v/>
      </c>
      <c r="L101" s="171">
        <f>+M101-G101</f>
        <v/>
      </c>
      <c r="M101" s="171" t="n">
        <v>0</v>
      </c>
      <c r="N101" s="171">
        <f>F101-M101</f>
        <v/>
      </c>
      <c r="O101" s="83" t="n"/>
      <c r="Q101" s="171">
        <f>M101-K101</f>
        <v/>
      </c>
      <c r="S101" s="171" t="n"/>
      <c r="T101" s="171" t="n"/>
      <c r="U101" s="171">
        <f>S101+T101</f>
        <v/>
      </c>
      <c r="W101" s="171" t="n"/>
      <c r="X101" s="171" t="n"/>
      <c r="Y101" s="171" t="n"/>
      <c r="Z101" s="171">
        <f>W101+X101+Y101</f>
        <v/>
      </c>
      <c r="AB101" s="171">
        <f>U101+Z101</f>
        <v/>
      </c>
      <c r="AD101" s="171">
        <f>Q101-AB101</f>
        <v/>
      </c>
    </row>
    <row r="102" ht="15" customHeight="1">
      <c r="B102" s="183" t="inlineStr">
        <is>
          <t>305-2</t>
        </is>
      </c>
      <c r="C102" s="183" t="n"/>
      <c r="D102" s="154" t="inlineStr">
        <is>
          <t>TBD</t>
        </is>
      </c>
      <c r="E102" s="154" t="inlineStr">
        <is>
          <t>Interior Art &amp; Décor "Warehouse Scope"</t>
        </is>
      </c>
      <c r="F102" s="182" t="n">
        <v>0</v>
      </c>
      <c r="G102" s="171">
        <f>SUMIF('Committed Costs '!C:C,B102,'Committed Costs '!G:G)</f>
        <v/>
      </c>
      <c r="H102" s="171">
        <f>SUMIF('Change Orders'!F:F,'Project Detail'!B102,'Change Orders'!E:E)</f>
        <v/>
      </c>
      <c r="I102" s="171">
        <f>SUMIF(Invoices!B:B,B102,Invoices!G:G)</f>
        <v/>
      </c>
      <c r="J102" s="171" t="n">
        <v>0</v>
      </c>
      <c r="K102" s="171">
        <f>I102-J102</f>
        <v/>
      </c>
      <c r="L102" s="171">
        <f>+M102-G102</f>
        <v/>
      </c>
      <c r="M102" s="171">
        <f>G102</f>
        <v/>
      </c>
      <c r="N102" s="1017">
        <f>F102-M102</f>
        <v/>
      </c>
      <c r="O102" s="154" t="n"/>
      <c r="Q102" s="171">
        <f>M102-K102</f>
        <v/>
      </c>
      <c r="S102" s="171" t="n"/>
      <c r="T102" s="171" t="n"/>
      <c r="U102" s="171">
        <f>S102+T102</f>
        <v/>
      </c>
      <c r="W102" s="171" t="n"/>
      <c r="X102" s="171" t="n"/>
      <c r="Y102" s="171" t="n"/>
      <c r="Z102" s="171">
        <f>W102+X102+Y102</f>
        <v/>
      </c>
      <c r="AB102" s="171">
        <f>U102+Z102</f>
        <v/>
      </c>
      <c r="AD102" s="171">
        <f>Q102-AB102</f>
        <v/>
      </c>
    </row>
    <row r="103" hidden="1" ht="15" customHeight="1">
      <c r="B103" s="183" t="inlineStr">
        <is>
          <t>305-3</t>
        </is>
      </c>
      <c r="C103" s="183" t="n"/>
      <c r="D103" s="154" t="n"/>
      <c r="E103" s="154" t="n"/>
      <c r="F103" s="182">
        <f>35000-35000</f>
        <v/>
      </c>
      <c r="G103" s="171">
        <f>SUMIF('Committed Costs '!C:C,B103,'Committed Costs '!G:G)</f>
        <v/>
      </c>
      <c r="H103" s="171">
        <f>SUMIF('Change Orders'!F:F,'Project Detail'!B103,'Change Orders'!E:E)</f>
        <v/>
      </c>
      <c r="I103" s="171">
        <f>SUMIF(Invoices!B:B,B103,Invoices!G:G)</f>
        <v/>
      </c>
      <c r="J103" s="171" t="n">
        <v>0</v>
      </c>
      <c r="K103" s="171">
        <f>I103-J103</f>
        <v/>
      </c>
      <c r="L103" s="171">
        <f>+M103-G103</f>
        <v/>
      </c>
      <c r="M103" s="171">
        <f>IF((F103+H103)&gt;G103,F103+H103,G103)</f>
        <v/>
      </c>
      <c r="N103" s="1017">
        <f>F103-M103</f>
        <v/>
      </c>
      <c r="O103" s="154" t="n"/>
      <c r="Q103" s="171">
        <f>M103-K103</f>
        <v/>
      </c>
      <c r="S103" s="171" t="n"/>
      <c r="T103" s="171" t="n"/>
      <c r="U103" s="171">
        <f>S103+T103</f>
        <v/>
      </c>
      <c r="W103" s="171" t="n"/>
      <c r="X103" s="171" t="n"/>
      <c r="Y103" s="171" t="n"/>
      <c r="Z103" s="171">
        <f>W103+X103+Y103</f>
        <v/>
      </c>
      <c r="AB103" s="171">
        <f>U103+Z103</f>
        <v/>
      </c>
      <c r="AD103" s="171">
        <f>Q103-AB103</f>
        <v/>
      </c>
    </row>
    <row r="104" hidden="1" ht="15" customHeight="1">
      <c r="B104" s="144" t="inlineStr">
        <is>
          <t>305-4</t>
        </is>
      </c>
      <c r="C104" s="144" t="n"/>
      <c r="D104" s="154" t="n"/>
      <c r="E104" s="83" t="n"/>
      <c r="F104" s="37">
        <f>1000-1000</f>
        <v/>
      </c>
      <c r="G104" s="176">
        <f>SUMIF('Committed Costs '!C:C,B104,'Committed Costs '!G:G)</f>
        <v/>
      </c>
      <c r="H104" s="176">
        <f>SUMIF('Change Orders'!F:F,'Project Detail'!B104,'Change Orders'!E:E)</f>
        <v/>
      </c>
      <c r="I104" s="176">
        <f>SUMIF(Invoices!B:B,B104,Invoices!G:G)</f>
        <v/>
      </c>
      <c r="J104" s="176" t="n">
        <v>0</v>
      </c>
      <c r="K104" s="176">
        <f>I104-J104</f>
        <v/>
      </c>
      <c r="L104" s="171">
        <f>+M104-G104</f>
        <v/>
      </c>
      <c r="M104" s="171">
        <f>IF((F104+H104)&gt;G104,F104+H104,G104)</f>
        <v/>
      </c>
      <c r="N104" s="1017">
        <f>F104-M104</f>
        <v/>
      </c>
      <c r="O104" s="83" t="n"/>
      <c r="Q104" s="171">
        <f>M104-K104</f>
        <v/>
      </c>
      <c r="S104" s="171" t="n"/>
      <c r="T104" s="171" t="n"/>
      <c r="U104" s="171">
        <f>S104+T104</f>
        <v/>
      </c>
      <c r="W104" s="171" t="n"/>
      <c r="X104" s="171" t="n"/>
      <c r="Y104" s="171" t="n"/>
      <c r="Z104" s="171">
        <f>W104+X104+Y104</f>
        <v/>
      </c>
      <c r="AB104" s="171">
        <f>U104+Z104</f>
        <v/>
      </c>
      <c r="AD104" s="171">
        <f>Q104-AB104</f>
        <v/>
      </c>
    </row>
    <row r="105" hidden="1" ht="15" customHeight="1">
      <c r="B105" s="144" t="inlineStr">
        <is>
          <t>305-5</t>
        </is>
      </c>
      <c r="C105" s="144" t="n"/>
      <c r="D105" s="154" t="n"/>
      <c r="E105" s="83" t="n"/>
      <c r="F105" s="37">
        <f>20000-20000</f>
        <v/>
      </c>
      <c r="G105" s="176">
        <f>SUMIF('Committed Costs '!C:C,B105,'Committed Costs '!G:G)</f>
        <v/>
      </c>
      <c r="H105" s="176">
        <f>SUMIF('Change Orders'!F:F,'Project Detail'!B105,'Change Orders'!E:E)</f>
        <v/>
      </c>
      <c r="I105" s="176">
        <f>SUMIF(Invoices!B:B,B105,Invoices!G:G)</f>
        <v/>
      </c>
      <c r="J105" s="176" t="n">
        <v>0</v>
      </c>
      <c r="K105" s="176">
        <f>I105-J105</f>
        <v/>
      </c>
      <c r="L105" s="171">
        <f>+M105-G105</f>
        <v/>
      </c>
      <c r="M105" s="171">
        <f>IF((F105+H105)&gt;G105,F105+H105,G105)</f>
        <v/>
      </c>
      <c r="N105" s="1017">
        <f>F105-M105</f>
        <v/>
      </c>
      <c r="O105" s="83" t="n"/>
      <c r="Q105" s="171">
        <f>M105-K105</f>
        <v/>
      </c>
      <c r="S105" s="171" t="n"/>
      <c r="T105" s="171" t="n"/>
      <c r="U105" s="171">
        <f>S105+T105</f>
        <v/>
      </c>
      <c r="W105" s="171" t="n"/>
      <c r="X105" s="171" t="n"/>
      <c r="Y105" s="171" t="n"/>
      <c r="Z105" s="171">
        <f>W105+X105+Y105</f>
        <v/>
      </c>
      <c r="AB105" s="171">
        <f>U105+Z105</f>
        <v/>
      </c>
      <c r="AD105" s="171">
        <f>Q105-AB105</f>
        <v/>
      </c>
    </row>
    <row r="106" hidden="1" ht="15" customHeight="1">
      <c r="B106" s="144" t="inlineStr">
        <is>
          <t>305-6</t>
        </is>
      </c>
      <c r="C106" s="144" t="n"/>
      <c r="D106" s="154" t="n"/>
      <c r="E106" s="83" t="n"/>
      <c r="F106" s="37">
        <f>1500-1500</f>
        <v/>
      </c>
      <c r="G106" s="176">
        <f>SUMIF('Committed Costs '!C:C,B106,'Committed Costs '!G:G)</f>
        <v/>
      </c>
      <c r="H106" s="176">
        <f>SUMIF('Change Orders'!F:F,'Project Detail'!B106,'Change Orders'!E:E)</f>
        <v/>
      </c>
      <c r="I106" s="176">
        <f>SUMIF(Invoices!B:B,B106,Invoices!G:G)</f>
        <v/>
      </c>
      <c r="J106" s="176" t="n">
        <v>0</v>
      </c>
      <c r="K106" s="176">
        <f>I106-J106</f>
        <v/>
      </c>
      <c r="L106" s="171">
        <f>+M106-G106</f>
        <v/>
      </c>
      <c r="M106" s="171">
        <f>IF((F106+H106)&gt;G106,F106+H106,G106)</f>
        <v/>
      </c>
      <c r="N106" s="1017">
        <f>F106-M106</f>
        <v/>
      </c>
      <c r="O106" s="83" t="n"/>
      <c r="Q106" s="171">
        <f>M106-K106</f>
        <v/>
      </c>
      <c r="S106" s="171" t="n"/>
      <c r="T106" s="171" t="n"/>
      <c r="U106" s="171">
        <f>S106+T106</f>
        <v/>
      </c>
      <c r="W106" s="171" t="n"/>
      <c r="X106" s="171" t="n"/>
      <c r="Y106" s="171" t="n"/>
      <c r="Z106" s="171">
        <f>W106+X106+Y106</f>
        <v/>
      </c>
      <c r="AB106" s="171">
        <f>U106+Z106</f>
        <v/>
      </c>
      <c r="AD106" s="171">
        <f>Q106-AB106</f>
        <v/>
      </c>
    </row>
    <row r="107" hidden="1" ht="15" customHeight="1">
      <c r="B107" s="144" t="inlineStr">
        <is>
          <t>305-7</t>
        </is>
      </c>
      <c r="C107" s="144" t="n"/>
      <c r="D107" s="154" t="n"/>
      <c r="E107" s="83" t="n"/>
      <c r="F107" s="37">
        <f>1500-1500</f>
        <v/>
      </c>
      <c r="G107" s="176">
        <f>SUMIF('Committed Costs '!C:C,B107,'Committed Costs '!G:G)</f>
        <v/>
      </c>
      <c r="H107" s="176">
        <f>SUMIF('Change Orders'!F:F,'Project Detail'!B107,'Change Orders'!E:E)</f>
        <v/>
      </c>
      <c r="I107" s="176">
        <f>SUMIF(Invoices!B:B,B107,Invoices!G:G)</f>
        <v/>
      </c>
      <c r="J107" s="176" t="n">
        <v>0</v>
      </c>
      <c r="K107" s="176">
        <f>I107-J107</f>
        <v/>
      </c>
      <c r="L107" s="171">
        <f>+M107-G107</f>
        <v/>
      </c>
      <c r="M107" s="171">
        <f>IF((F107+H107)&gt;G107,F107+H107,G107)</f>
        <v/>
      </c>
      <c r="N107" s="1017">
        <f>F107-M107</f>
        <v/>
      </c>
      <c r="O107" s="83" t="n"/>
      <c r="Q107" s="171">
        <f>M107-K107</f>
        <v/>
      </c>
      <c r="S107" s="171" t="n"/>
      <c r="T107" s="171" t="n"/>
      <c r="U107" s="171">
        <f>S107+T107</f>
        <v/>
      </c>
      <c r="W107" s="171" t="n"/>
      <c r="X107" s="171" t="n"/>
      <c r="Y107" s="171" t="n"/>
      <c r="Z107" s="171">
        <f>W107+X107+Y107</f>
        <v/>
      </c>
      <c r="AB107" s="171">
        <f>U107+Z107</f>
        <v/>
      </c>
      <c r="AD107" s="171">
        <f>Q107-AB107</f>
        <v/>
      </c>
    </row>
    <row r="108" hidden="1" ht="15" customHeight="1">
      <c r="B108" s="144" t="inlineStr">
        <is>
          <t>305-8</t>
        </is>
      </c>
      <c r="C108" s="144" t="n"/>
      <c r="D108" s="154" t="n"/>
      <c r="E108" s="83" t="n"/>
      <c r="F108" s="37">
        <f>10000-10000</f>
        <v/>
      </c>
      <c r="G108" s="176">
        <f>SUMIF('Committed Costs '!C:C,B108,'Committed Costs '!G:G)</f>
        <v/>
      </c>
      <c r="H108" s="176">
        <f>SUMIF('Change Orders'!F:F,'Project Detail'!B108,'Change Orders'!E:E)</f>
        <v/>
      </c>
      <c r="I108" s="176">
        <f>SUMIF(Invoices!B:B,B108,Invoices!G:G)</f>
        <v/>
      </c>
      <c r="J108" s="176" t="n">
        <v>0</v>
      </c>
      <c r="K108" s="176">
        <f>I108-J108</f>
        <v/>
      </c>
      <c r="L108" s="171">
        <f>+M108-G108</f>
        <v/>
      </c>
      <c r="M108" s="171">
        <f>IF((F108+H108)&gt;G108,F108+H108,G108)</f>
        <v/>
      </c>
      <c r="N108" s="1017">
        <f>F108-M108</f>
        <v/>
      </c>
      <c r="O108" s="83" t="n"/>
      <c r="Q108" s="171">
        <f>M108-K108</f>
        <v/>
      </c>
      <c r="S108" s="171" t="n"/>
      <c r="T108" s="171" t="n"/>
      <c r="U108" s="171">
        <f>S108+T108</f>
        <v/>
      </c>
      <c r="W108" s="171" t="n"/>
      <c r="X108" s="171" t="n"/>
      <c r="Y108" s="171" t="n"/>
      <c r="Z108" s="171">
        <f>W108+X108+Y108</f>
        <v/>
      </c>
      <c r="AB108" s="171">
        <f>U108+Z108</f>
        <v/>
      </c>
      <c r="AD108" s="171">
        <f>Q108-AB108</f>
        <v/>
      </c>
    </row>
    <row r="109" hidden="1" ht="15" customHeight="1">
      <c r="B109" s="144" t="inlineStr">
        <is>
          <t>305-9</t>
        </is>
      </c>
      <c r="C109" s="144" t="n"/>
      <c r="D109" s="154" t="n"/>
      <c r="E109" s="83" t="n"/>
      <c r="F109" s="37">
        <f>50000-50000</f>
        <v/>
      </c>
      <c r="G109" s="176">
        <f>SUMIF('Committed Costs '!C:C,B109,'Committed Costs '!G:G)</f>
        <v/>
      </c>
      <c r="H109" s="176">
        <f>SUMIF('Change Orders'!F:F,'Project Detail'!B109,'Change Orders'!E:E)</f>
        <v/>
      </c>
      <c r="I109" s="176">
        <f>SUMIF(Invoices!B:B,B109,Invoices!G:G)</f>
        <v/>
      </c>
      <c r="J109" s="176" t="n">
        <v>0</v>
      </c>
      <c r="K109" s="176">
        <f>I109-J109</f>
        <v/>
      </c>
      <c r="L109" s="171">
        <f>+M109-G109</f>
        <v/>
      </c>
      <c r="M109" s="171">
        <f>IF((F109+H109)&gt;G109,F109+H109,G109)</f>
        <v/>
      </c>
      <c r="N109" s="1017">
        <f>F109-M109</f>
        <v/>
      </c>
      <c r="O109" s="83" t="n"/>
      <c r="Q109" s="171">
        <f>M109-K109</f>
        <v/>
      </c>
      <c r="S109" s="171" t="n"/>
      <c r="T109" s="171" t="n"/>
      <c r="U109" s="171">
        <f>S109+T109</f>
        <v/>
      </c>
      <c r="W109" s="171" t="n"/>
      <c r="X109" s="171" t="n"/>
      <c r="Y109" s="171" t="n"/>
      <c r="Z109" s="171">
        <f>W109+X109+Y109</f>
        <v/>
      </c>
      <c r="AB109" s="171">
        <f>U109+Z109</f>
        <v/>
      </c>
      <c r="AD109" s="171">
        <f>Q109-AB109</f>
        <v/>
      </c>
    </row>
    <row r="110" hidden="1" ht="15" customHeight="1">
      <c r="B110" s="144" t="inlineStr">
        <is>
          <t>305-10</t>
        </is>
      </c>
      <c r="C110" s="144" t="n"/>
      <c r="D110" s="154" t="n"/>
      <c r="E110" s="83" t="n"/>
      <c r="F110" s="37">
        <f>28000-28000</f>
        <v/>
      </c>
      <c r="G110" s="176">
        <f>SUMIF('Committed Costs '!C:C,B110,'Committed Costs '!G:G)</f>
        <v/>
      </c>
      <c r="H110" s="176">
        <f>SUMIF('Change Orders'!F:F,'Project Detail'!B110,'Change Orders'!E:E)</f>
        <v/>
      </c>
      <c r="I110" s="176">
        <f>SUMIF(Invoices!B:B,B110,Invoices!G:G)</f>
        <v/>
      </c>
      <c r="J110" s="176" t="n">
        <v>0</v>
      </c>
      <c r="K110" s="176">
        <f>I110-J110</f>
        <v/>
      </c>
      <c r="L110" s="171">
        <f>+M110-G110</f>
        <v/>
      </c>
      <c r="M110" s="171">
        <f>IF((F110+H110)&gt;G110,F110+H110,G110)</f>
        <v/>
      </c>
      <c r="N110" s="1017">
        <f>F110-M110</f>
        <v/>
      </c>
      <c r="O110" s="83" t="n"/>
      <c r="Q110" s="171">
        <f>M110-K110</f>
        <v/>
      </c>
      <c r="S110" s="171" t="n"/>
      <c r="T110" s="171" t="n"/>
      <c r="U110" s="171">
        <f>S110+T110</f>
        <v/>
      </c>
      <c r="W110" s="171" t="n"/>
      <c r="X110" s="171" t="n"/>
      <c r="Y110" s="171" t="n"/>
      <c r="Z110" s="171">
        <f>W110+X110+Y110</f>
        <v/>
      </c>
      <c r="AB110" s="171">
        <f>U110+Z110</f>
        <v/>
      </c>
      <c r="AD110" s="171">
        <f>Q110-AB110</f>
        <v/>
      </c>
    </row>
    <row r="111" hidden="1" ht="15" customHeight="1">
      <c r="B111" s="144" t="inlineStr">
        <is>
          <t>305-11</t>
        </is>
      </c>
      <c r="C111" s="144" t="n"/>
      <c r="D111" s="154" t="n"/>
      <c r="E111" s="83" t="n"/>
      <c r="F111" s="37" t="n">
        <v>0</v>
      </c>
      <c r="G111" s="176">
        <f>SUMIF('Committed Costs '!C:C,B111,'Committed Costs '!G:G)</f>
        <v/>
      </c>
      <c r="H111" s="176">
        <f>SUMIF('Change Orders'!F:F,'Project Detail'!B111,'Change Orders'!E:E)</f>
        <v/>
      </c>
      <c r="I111" s="176">
        <f>SUMIF(Invoices!B:B,B111,Invoices!G:G)</f>
        <v/>
      </c>
      <c r="J111" s="176" t="n">
        <v>0</v>
      </c>
      <c r="K111" s="176">
        <f>I111-J111</f>
        <v/>
      </c>
      <c r="L111" s="171">
        <f>+M111-G111</f>
        <v/>
      </c>
      <c r="M111" s="171" t="n">
        <v>0</v>
      </c>
      <c r="N111" s="171">
        <f>F111-M111</f>
        <v/>
      </c>
      <c r="O111" s="83" t="n"/>
      <c r="Q111" s="171">
        <f>M111-K111</f>
        <v/>
      </c>
      <c r="S111" s="171" t="n"/>
      <c r="T111" s="171" t="n"/>
      <c r="U111" s="171">
        <f>S111+T111</f>
        <v/>
      </c>
      <c r="W111" s="171" t="n"/>
      <c r="X111" s="171" t="n"/>
      <c r="Y111" s="171" t="n"/>
      <c r="Z111" s="171">
        <f>W111+X111+Y111</f>
        <v/>
      </c>
      <c r="AB111" s="171">
        <f>U111+Z111</f>
        <v/>
      </c>
      <c r="AD111" s="171">
        <f>Q111-AB111</f>
        <v/>
      </c>
    </row>
    <row r="112" hidden="1" ht="15" customHeight="1">
      <c r="B112" s="144" t="inlineStr">
        <is>
          <t>305-12</t>
        </is>
      </c>
      <c r="C112" s="144" t="n"/>
      <c r="D112" s="154" t="n"/>
      <c r="E112" s="83" t="n"/>
      <c r="F112" s="37" t="n">
        <v>0</v>
      </c>
      <c r="G112" s="176">
        <f>SUMIF('Committed Costs '!C:C,B112,'Committed Costs '!G:G)</f>
        <v/>
      </c>
      <c r="H112" s="176">
        <f>SUMIF('Change Orders'!F:F,'Project Detail'!B112,'Change Orders'!E:E)</f>
        <v/>
      </c>
      <c r="I112" s="176">
        <f>SUMIF(Invoices!B:B,B112,Invoices!G:G)</f>
        <v/>
      </c>
      <c r="J112" s="176" t="n">
        <v>0</v>
      </c>
      <c r="K112" s="176">
        <f>I112-J112</f>
        <v/>
      </c>
      <c r="L112" s="171">
        <f>+M112-G112</f>
        <v/>
      </c>
      <c r="M112" s="171" t="n">
        <v>0</v>
      </c>
      <c r="N112" s="176">
        <f>F112-M112</f>
        <v/>
      </c>
      <c r="O112" s="83" t="n"/>
      <c r="Q112" s="171">
        <f>M112-K112</f>
        <v/>
      </c>
      <c r="S112" s="171" t="n"/>
      <c r="T112" s="171" t="n"/>
      <c r="U112" s="171">
        <f>S112+T112</f>
        <v/>
      </c>
      <c r="W112" s="171" t="n"/>
      <c r="X112" s="171" t="n"/>
      <c r="Y112" s="171" t="n"/>
      <c r="Z112" s="171">
        <f>W112+X112+Y112</f>
        <v/>
      </c>
      <c r="AB112" s="171">
        <f>U112+Z112</f>
        <v/>
      </c>
      <c r="AD112" s="171">
        <f>Q112-AB112</f>
        <v/>
      </c>
    </row>
    <row r="113" hidden="1" ht="15" customHeight="1">
      <c r="B113" s="144" t="inlineStr">
        <is>
          <t>305-13</t>
        </is>
      </c>
      <c r="C113" s="144" t="n"/>
      <c r="D113" s="154" t="n"/>
      <c r="E113" s="83" t="n"/>
      <c r="F113" s="37" t="n">
        <v>0</v>
      </c>
      <c r="G113" s="176">
        <f>SUMIF('Committed Costs '!C:C,B113,'Committed Costs '!G:G)</f>
        <v/>
      </c>
      <c r="H113" s="176">
        <f>SUMIF('Change Orders'!F:F,'Project Detail'!B113,'Change Orders'!E:E)</f>
        <v/>
      </c>
      <c r="I113" s="176">
        <f>SUMIF(Invoices!B:B,B113,Invoices!G:G)</f>
        <v/>
      </c>
      <c r="J113" s="176" t="n">
        <v>0</v>
      </c>
      <c r="K113" s="176">
        <f>I113-J113</f>
        <v/>
      </c>
      <c r="L113" s="171">
        <f>+M113-G113</f>
        <v/>
      </c>
      <c r="M113" s="171" t="n">
        <v>0</v>
      </c>
      <c r="N113" s="176">
        <f>F113-M113</f>
        <v/>
      </c>
      <c r="O113" s="83" t="n"/>
      <c r="Q113" s="171">
        <f>M113-K113</f>
        <v/>
      </c>
      <c r="S113" s="171" t="n"/>
      <c r="T113" s="171" t="n"/>
      <c r="U113" s="171">
        <f>S113+T113</f>
        <v/>
      </c>
      <c r="W113" s="171" t="n"/>
      <c r="X113" s="171" t="n"/>
      <c r="Y113" s="171" t="n"/>
      <c r="Z113" s="171">
        <f>W113+X113+Y113</f>
        <v/>
      </c>
      <c r="AB113" s="171">
        <f>U113+Z113</f>
        <v/>
      </c>
      <c r="AD113" s="171">
        <f>Q113-AB113</f>
        <v/>
      </c>
    </row>
    <row r="114" hidden="1" ht="15" customHeight="1">
      <c r="B114" s="144" t="inlineStr">
        <is>
          <t>305-14</t>
        </is>
      </c>
      <c r="C114" s="144" t="n"/>
      <c r="D114" s="154" t="n"/>
      <c r="E114" s="83" t="n"/>
      <c r="F114" s="37" t="n">
        <v>0</v>
      </c>
      <c r="G114" s="176">
        <f>SUMIF('Committed Costs '!C:C,B114,'Committed Costs '!G:G)</f>
        <v/>
      </c>
      <c r="H114" s="176">
        <f>SUMIF('Change Orders'!F:F,'Project Detail'!B114,'Change Orders'!E:E)</f>
        <v/>
      </c>
      <c r="I114" s="176">
        <f>SUMIF(Invoices!B:B,B114,Invoices!G:G)</f>
        <v/>
      </c>
      <c r="J114" s="176" t="n">
        <v>0</v>
      </c>
      <c r="K114" s="176">
        <f>I114-J114</f>
        <v/>
      </c>
      <c r="L114" s="176">
        <f>+M114-G114</f>
        <v/>
      </c>
      <c r="M114" s="171" t="n">
        <v>0</v>
      </c>
      <c r="N114" s="176">
        <f>F114-M114</f>
        <v/>
      </c>
      <c r="O114" s="83" t="n"/>
      <c r="Q114" s="171">
        <f>M114-K114</f>
        <v/>
      </c>
      <c r="S114" s="171" t="n"/>
      <c r="T114" s="171" t="n"/>
      <c r="U114" s="171">
        <f>S114+T114</f>
        <v/>
      </c>
      <c r="W114" s="171" t="n"/>
      <c r="X114" s="171" t="n"/>
      <c r="Y114" s="171" t="n"/>
      <c r="Z114" s="171">
        <f>W114+X114+Y114</f>
        <v/>
      </c>
      <c r="AB114" s="171">
        <f>U114+Z114</f>
        <v/>
      </c>
      <c r="AD114" s="171">
        <f>Q114-AB114</f>
        <v/>
      </c>
    </row>
    <row r="115" hidden="1" ht="15" customHeight="1">
      <c r="B115" s="183" t="inlineStr">
        <is>
          <t>305-15</t>
        </is>
      </c>
      <c r="C115" s="183" t="n"/>
      <c r="D115" s="154" t="n"/>
      <c r="E115" s="154" t="n"/>
      <c r="F115" s="182" t="n">
        <v>0</v>
      </c>
      <c r="G115" s="171">
        <f>SUMIF('Committed Costs '!C:C,B115,'Committed Costs '!G:G)</f>
        <v/>
      </c>
      <c r="H115" s="171">
        <f>SUMIF('Change Orders'!F:F,'Project Detail'!B115,'Change Orders'!E:E)</f>
        <v/>
      </c>
      <c r="I115" s="171">
        <f>SUMIF(Invoices!B:B,B115,Invoices!G:G)</f>
        <v/>
      </c>
      <c r="J115" s="171" t="n">
        <v>0</v>
      </c>
      <c r="K115" s="171">
        <f>I115-J115</f>
        <v/>
      </c>
      <c r="L115" s="1017">
        <f>+M115-G115</f>
        <v/>
      </c>
      <c r="M115" s="171">
        <f>IF((F115+H115)&gt;G115,F115+H115,G115)</f>
        <v/>
      </c>
      <c r="N115" s="171">
        <f>F115-M115</f>
        <v/>
      </c>
      <c r="O115" s="154" t="n"/>
      <c r="P115" s="1019" t="n"/>
      <c r="Q115" s="171">
        <f>M115-K115</f>
        <v/>
      </c>
      <c r="S115" s="171">
        <f>17000</f>
        <v/>
      </c>
      <c r="T115" s="171" t="n"/>
      <c r="U115" s="171">
        <f>S115+T115</f>
        <v/>
      </c>
      <c r="W115" s="171" t="n"/>
      <c r="X115" s="171" t="n"/>
      <c r="Y115" s="171" t="n"/>
      <c r="Z115" s="171">
        <f>W115+X115+Y115</f>
        <v/>
      </c>
      <c r="AB115" s="171">
        <f>U115+Z115</f>
        <v/>
      </c>
      <c r="AD115" s="171">
        <f>Q115-AB115</f>
        <v/>
      </c>
      <c r="AE115" s="32" t="n"/>
    </row>
    <row r="116" hidden="1" ht="15" customHeight="1">
      <c r="B116" s="183" t="inlineStr">
        <is>
          <t>305-16</t>
        </is>
      </c>
      <c r="C116" s="183" t="n"/>
      <c r="D116" s="154" t="n"/>
      <c r="E116" s="154" t="n"/>
      <c r="F116" s="182" t="n">
        <v>0</v>
      </c>
      <c r="G116" s="171">
        <f>SUMIF('Committed Costs '!C:C,B116,'Committed Costs '!G:G)</f>
        <v/>
      </c>
      <c r="H116" s="171">
        <f>SUMIF('Change Orders'!F:F,'Project Detail'!B116,'Change Orders'!E:E)</f>
        <v/>
      </c>
      <c r="I116" s="171">
        <f>SUMIF(Invoices!B:B,B116,Invoices!G:G)</f>
        <v/>
      </c>
      <c r="J116" s="171" t="n">
        <v>0</v>
      </c>
      <c r="K116" s="171">
        <f>I116-J116</f>
        <v/>
      </c>
      <c r="L116" s="171">
        <f>+M116-G116</f>
        <v/>
      </c>
      <c r="M116" s="171">
        <f>G116</f>
        <v/>
      </c>
      <c r="N116" s="171">
        <f>F116-M116</f>
        <v/>
      </c>
      <c r="O116" s="13" t="n"/>
      <c r="P116" s="1019" t="n"/>
      <c r="Q116" s="171">
        <f>M116-K116</f>
        <v/>
      </c>
      <c r="S116" s="171" t="n"/>
      <c r="T116" s="171" t="n"/>
      <c r="U116" s="171">
        <f>S116+T116</f>
        <v/>
      </c>
      <c r="W116" s="171" t="n"/>
      <c r="X116" s="171" t="n"/>
      <c r="Y116" s="171" t="n"/>
      <c r="Z116" s="171">
        <f>W116+X116+Y116</f>
        <v/>
      </c>
      <c r="AB116" s="171">
        <f>U116+Z116</f>
        <v/>
      </c>
      <c r="AD116" s="171">
        <f>Q116-AB116</f>
        <v/>
      </c>
      <c r="AE116" s="32" t="n"/>
    </row>
    <row r="117" hidden="1" ht="15" customHeight="1">
      <c r="B117" s="144" t="inlineStr">
        <is>
          <t>305-17</t>
        </is>
      </c>
      <c r="C117" s="144" t="n"/>
      <c r="D117" s="83" t="n"/>
      <c r="E117" s="83" t="n"/>
      <c r="F117" s="85" t="n">
        <v>0</v>
      </c>
      <c r="G117" s="176">
        <f>SUMIF('Committed Costs '!C:C,B117,'Committed Costs '!G:G)</f>
        <v/>
      </c>
      <c r="H117" s="176">
        <f>SUMIF('Change Orders'!F:F,'Project Detail'!B117,'Change Orders'!E:E)</f>
        <v/>
      </c>
      <c r="I117" s="176">
        <f>SUMIF(Invoices!B:B,B117,Invoices!G:G)</f>
        <v/>
      </c>
      <c r="J117" s="176" t="n">
        <v>0</v>
      </c>
      <c r="K117" s="176">
        <f>I117-J117</f>
        <v/>
      </c>
      <c r="L117" s="171">
        <f>+M117-G117</f>
        <v/>
      </c>
      <c r="M117" s="171">
        <f>IF((F117+H117)&gt;G117,F117+H117,G117)</f>
        <v/>
      </c>
      <c r="N117" s="171">
        <f>F117-M117</f>
        <v/>
      </c>
      <c r="O117" s="13" t="n"/>
      <c r="P117" s="1019" t="n"/>
      <c r="Q117" s="171">
        <f>M117-K117</f>
        <v/>
      </c>
      <c r="S117" s="171" t="n">
        <v>10135</v>
      </c>
      <c r="T117" s="171" t="n"/>
      <c r="U117" s="171">
        <f>S117+T117</f>
        <v/>
      </c>
      <c r="W117" s="171" t="n"/>
      <c r="X117" s="171" t="n"/>
      <c r="Y117" s="171" t="n"/>
      <c r="Z117" s="171">
        <f>W117+X117+Y117</f>
        <v/>
      </c>
      <c r="AB117" s="171">
        <f>U117+Z117</f>
        <v/>
      </c>
      <c r="AD117" s="171">
        <f>Q117-AB117</f>
        <v/>
      </c>
      <c r="AE117" s="32" t="n"/>
    </row>
    <row r="118" ht="15" customHeight="1">
      <c r="B118" s="144" t="n"/>
      <c r="C118" s="144" t="n">
        <v>305</v>
      </c>
      <c r="D118" s="205" t="n"/>
      <c r="E118" s="179" t="inlineStr">
        <is>
          <t>Total Signage/Graphics</t>
        </is>
      </c>
      <c r="F118" s="186">
        <f>SUM(F101:F117)</f>
        <v/>
      </c>
      <c r="G118" s="186">
        <f>SUM(G101:G117)</f>
        <v/>
      </c>
      <c r="H118" s="186">
        <f>SUM(H101:H117)</f>
        <v/>
      </c>
      <c r="I118" s="186">
        <f>SUM(I101:I117)</f>
        <v/>
      </c>
      <c r="J118" s="186">
        <f>SUM(J101:J117)</f>
        <v/>
      </c>
      <c r="K118" s="186">
        <f>SUM(K101:K117)</f>
        <v/>
      </c>
      <c r="L118" s="186">
        <f>SUM(L101:L117)</f>
        <v/>
      </c>
      <c r="M118" s="186">
        <f>SUM(M101:M117)</f>
        <v/>
      </c>
      <c r="N118" s="186">
        <f>SUM(N101:N117)</f>
        <v/>
      </c>
      <c r="O118" s="13" t="n"/>
      <c r="Q118" s="186">
        <f>SUM(Q101:Q117)</f>
        <v/>
      </c>
      <c r="S118" s="186">
        <f>SUM(S101:S117)</f>
        <v/>
      </c>
      <c r="T118" s="186">
        <f>SUM(T101:T117)</f>
        <v/>
      </c>
      <c r="U118" s="186">
        <f>SUM(U101:U117)</f>
        <v/>
      </c>
      <c r="W118" s="186">
        <f>SUM(W101:W117)</f>
        <v/>
      </c>
      <c r="X118" s="186">
        <f>SUM(X101:X117)</f>
        <v/>
      </c>
      <c r="Y118" s="186">
        <f>SUM(Y101:Y117)</f>
        <v/>
      </c>
      <c r="Z118" s="186">
        <f>SUM(Z101:Z117)</f>
        <v/>
      </c>
      <c r="AB118" s="186">
        <f>SUM(AB101:AB117)</f>
        <v/>
      </c>
      <c r="AD118" s="186">
        <f>SUM(AD101:AD117)</f>
        <v/>
      </c>
    </row>
    <row r="119" ht="15" customHeight="1">
      <c r="B119" s="206" t="n">
        <v>306</v>
      </c>
      <c r="C119" s="207" t="n"/>
      <c r="D119" s="208" t="inlineStr">
        <is>
          <t>Administration</t>
        </is>
      </c>
      <c r="E119" s="209" t="n"/>
      <c r="F119" s="209" t="n"/>
      <c r="G119" s="209" t="n"/>
      <c r="H119" s="209" t="n"/>
      <c r="I119" s="209" t="n"/>
      <c r="J119" s="209" t="n"/>
      <c r="K119" s="209" t="n"/>
      <c r="L119" s="209" t="n"/>
      <c r="M119" s="209" t="n"/>
      <c r="N119" s="209" t="n"/>
      <c r="O119" s="210" t="n"/>
      <c r="Q119" s="118" t="n"/>
      <c r="S119" s="209" t="n"/>
      <c r="T119" s="209" t="n"/>
      <c r="U119" s="209" t="n"/>
      <c r="W119" s="209" t="n"/>
      <c r="X119" s="209" t="n"/>
      <c r="Y119" s="209" t="n"/>
      <c r="Z119" s="209" t="n"/>
      <c r="AB119" s="209" t="n"/>
      <c r="AD119" s="118" t="n"/>
    </row>
    <row r="120" ht="15" customHeight="1">
      <c r="B120" s="144" t="inlineStr">
        <is>
          <t>306-1</t>
        </is>
      </c>
      <c r="C120" s="144" t="n"/>
      <c r="D120" s="83" t="inlineStr">
        <is>
          <t>TBD</t>
        </is>
      </c>
      <c r="E120" s="83" t="inlineStr">
        <is>
          <t xml:space="preserve">Administration   </t>
        </is>
      </c>
      <c r="F120" s="85">
        <f>'Budget Summary'!D57</f>
        <v/>
      </c>
      <c r="G120" s="176">
        <f>SUMIF('Committed Costs '!C:C,B120,'Committed Costs '!G:G)</f>
        <v/>
      </c>
      <c r="H120" s="176">
        <f>SUMIF('Change Orders'!F:F,'Project Detail'!B120,'Change Orders'!E:E)</f>
        <v/>
      </c>
      <c r="I120" s="176">
        <f>SUMIF(Invoices!B:B,B120,Invoices!G:G)</f>
        <v/>
      </c>
      <c r="J120" s="176" t="n">
        <v>0</v>
      </c>
      <c r="K120" s="176">
        <f>I120-J120</f>
        <v/>
      </c>
      <c r="L120" s="218">
        <f>+M120-G120</f>
        <v/>
      </c>
      <c r="M120" s="176" t="n">
        <v>0</v>
      </c>
      <c r="N120" s="1016">
        <f>F120-M120</f>
        <v/>
      </c>
      <c r="O120" s="13" t="n"/>
      <c r="Q120" s="171">
        <f>M120-K120</f>
        <v/>
      </c>
      <c r="S120" s="171" t="n"/>
      <c r="T120" s="171" t="n"/>
      <c r="U120" s="171">
        <f>S120+T120</f>
        <v/>
      </c>
      <c r="W120" s="171" t="n"/>
      <c r="X120" s="171" t="n"/>
      <c r="Y120" s="171" t="n"/>
      <c r="Z120" s="171">
        <f>W120+X120+Y120</f>
        <v/>
      </c>
      <c r="AB120" s="171">
        <f>U120+Z120</f>
        <v/>
      </c>
      <c r="AD120" s="171">
        <f>Q120-AB120</f>
        <v/>
      </c>
    </row>
    <row r="121" hidden="1" ht="15" customHeight="1">
      <c r="B121" s="144" t="inlineStr">
        <is>
          <t>306-2</t>
        </is>
      </c>
      <c r="C121" s="144" t="n"/>
      <c r="D121" s="83" t="inlineStr">
        <is>
          <t>TBD</t>
        </is>
      </c>
      <c r="E121" s="83" t="n"/>
      <c r="F121" s="85" t="n">
        <v>0</v>
      </c>
      <c r="G121" s="176">
        <f>SUMIF('Committed Costs '!C:C,B121,'Committed Costs '!G:G)</f>
        <v/>
      </c>
      <c r="H121" s="176">
        <f>SUMIF('Change Orders'!F:F,'Project Detail'!B121,'Change Orders'!E:E)</f>
        <v/>
      </c>
      <c r="I121" s="176">
        <f>SUMIF(Invoices!B:B,B121,Invoices!G:G)</f>
        <v/>
      </c>
      <c r="J121" s="176" t="n">
        <v>0</v>
      </c>
      <c r="K121" s="176">
        <f>I121-J121</f>
        <v/>
      </c>
      <c r="L121" s="218">
        <f>+M121-G121</f>
        <v/>
      </c>
      <c r="M121" s="176" t="n">
        <v>0</v>
      </c>
      <c r="N121" s="1016">
        <f>F121-M121</f>
        <v/>
      </c>
      <c r="O121" s="13" t="n"/>
      <c r="Q121" s="171">
        <f>M121-K121</f>
        <v/>
      </c>
      <c r="S121" s="171" t="n"/>
      <c r="T121" s="171" t="n"/>
      <c r="U121" s="171">
        <f>S121+T121</f>
        <v/>
      </c>
      <c r="W121" s="171" t="n"/>
      <c r="X121" s="171" t="n"/>
      <c r="Y121" s="171" t="n"/>
      <c r="Z121" s="171">
        <f>W121+X121+Y121</f>
        <v/>
      </c>
      <c r="AB121" s="171">
        <f>U121+Z121</f>
        <v/>
      </c>
      <c r="AD121" s="171">
        <f>Q121-AB121</f>
        <v/>
      </c>
    </row>
    <row r="122" hidden="1" ht="15" customHeight="1">
      <c r="B122" s="144" t="inlineStr">
        <is>
          <t>306-3</t>
        </is>
      </c>
      <c r="C122" s="144" t="n"/>
      <c r="D122" s="83" t="inlineStr">
        <is>
          <t>TBD</t>
        </is>
      </c>
      <c r="E122" s="83" t="n"/>
      <c r="F122" s="85" t="n">
        <v>0</v>
      </c>
      <c r="G122" s="176">
        <f>SUMIF('Committed Costs '!C:C,B122,'Committed Costs '!G:G)</f>
        <v/>
      </c>
      <c r="H122" s="176">
        <f>SUMIF('Change Orders'!F:F,'Project Detail'!B122,'Change Orders'!E:E)</f>
        <v/>
      </c>
      <c r="I122" s="176">
        <f>SUMIF(Invoices!B:B,B122,Invoices!G:G)</f>
        <v/>
      </c>
      <c r="J122" s="176" t="n">
        <v>0</v>
      </c>
      <c r="K122" s="176">
        <f>I122-J122</f>
        <v/>
      </c>
      <c r="L122" s="171">
        <f>+M122-G122</f>
        <v/>
      </c>
      <c r="M122" s="176" t="n">
        <v>0</v>
      </c>
      <c r="N122" s="1016">
        <f>F122-M122</f>
        <v/>
      </c>
      <c r="O122" s="13" t="n"/>
      <c r="Q122" s="171">
        <f>M122-K122</f>
        <v/>
      </c>
      <c r="S122" s="171" t="n"/>
      <c r="T122" s="171" t="n"/>
      <c r="U122" s="171">
        <f>S122+T122</f>
        <v/>
      </c>
      <c r="W122" s="171" t="n"/>
      <c r="X122" s="171" t="n"/>
      <c r="Y122" s="171" t="n"/>
      <c r="Z122" s="171">
        <f>W122+X122+Y122</f>
        <v/>
      </c>
      <c r="AB122" s="171">
        <f>U122+Z122</f>
        <v/>
      </c>
      <c r="AD122" s="171">
        <f>Q122-AB122</f>
        <v/>
      </c>
    </row>
    <row r="123" hidden="1" ht="15" customHeight="1">
      <c r="B123" s="144" t="inlineStr">
        <is>
          <t>306-4</t>
        </is>
      </c>
      <c r="C123" s="144" t="n"/>
      <c r="D123" s="83" t="inlineStr">
        <is>
          <t>TBD</t>
        </is>
      </c>
      <c r="E123" s="83" t="n"/>
      <c r="F123" s="85" t="n">
        <v>0</v>
      </c>
      <c r="G123" s="176">
        <f>SUMIF('Committed Costs '!C:C,B123,'Committed Costs '!G:G)</f>
        <v/>
      </c>
      <c r="H123" s="176">
        <f>SUMIF('Change Orders'!F:F,'Project Detail'!B123,'Change Orders'!E:E)</f>
        <v/>
      </c>
      <c r="I123" s="176">
        <f>SUMIF(Invoices!B:B,B123,Invoices!G:G)</f>
        <v/>
      </c>
      <c r="J123" s="176" t="n">
        <v>0</v>
      </c>
      <c r="K123" s="176">
        <f>I123-J123</f>
        <v/>
      </c>
      <c r="L123" s="171">
        <f>+M123-G123</f>
        <v/>
      </c>
      <c r="M123" s="176" t="n">
        <v>0</v>
      </c>
      <c r="N123" s="1016">
        <f>F123-M123</f>
        <v/>
      </c>
      <c r="O123" s="13" t="n"/>
      <c r="Q123" s="171">
        <f>M123-K123</f>
        <v/>
      </c>
      <c r="S123" s="171" t="n"/>
      <c r="T123" s="171" t="n"/>
      <c r="U123" s="171">
        <f>S123+T123</f>
        <v/>
      </c>
      <c r="W123" s="171" t="n"/>
      <c r="X123" s="171" t="n"/>
      <c r="Y123" s="171" t="n"/>
      <c r="Z123" s="171">
        <f>W123+X123+Y123</f>
        <v/>
      </c>
      <c r="AB123" s="171">
        <f>U123+Z123</f>
        <v/>
      </c>
      <c r="AD123" s="171">
        <f>Q123-AB123</f>
        <v/>
      </c>
    </row>
    <row r="124" hidden="1" ht="15" customHeight="1">
      <c r="B124" s="144" t="inlineStr">
        <is>
          <t>306-5</t>
        </is>
      </c>
      <c r="C124" s="144" t="n"/>
      <c r="D124" s="83" t="inlineStr">
        <is>
          <t>TBD</t>
        </is>
      </c>
      <c r="E124" s="83" t="n"/>
      <c r="F124" s="85" t="n">
        <v>0</v>
      </c>
      <c r="G124" s="176">
        <f>SUMIF('Committed Costs '!C:C,B124,'Committed Costs '!G:G)</f>
        <v/>
      </c>
      <c r="H124" s="176">
        <f>SUMIF('Change Orders'!F:F,'Project Detail'!B124,'Change Orders'!E:E)</f>
        <v/>
      </c>
      <c r="I124" s="176">
        <f>SUMIF(Invoices!B:B,B124,Invoices!G:G)</f>
        <v/>
      </c>
      <c r="J124" s="176" t="n">
        <v>0</v>
      </c>
      <c r="K124" s="176">
        <f>I124-J124</f>
        <v/>
      </c>
      <c r="L124" s="1017">
        <f>+M124-G124</f>
        <v/>
      </c>
      <c r="M124" s="176">
        <f>G124</f>
        <v/>
      </c>
      <c r="N124" s="1016">
        <f>F124-M124</f>
        <v/>
      </c>
      <c r="O124" s="13" t="n"/>
      <c r="Q124" s="171">
        <f>M124-K124</f>
        <v/>
      </c>
      <c r="S124" s="171" t="n"/>
      <c r="T124" s="171" t="n"/>
      <c r="U124" s="171">
        <f>S124+T124</f>
        <v/>
      </c>
      <c r="W124" s="171" t="n"/>
      <c r="X124" s="171" t="n"/>
      <c r="Y124" s="171" t="n"/>
      <c r="Z124" s="171">
        <f>W124+X124+Y124</f>
        <v/>
      </c>
      <c r="AB124" s="171">
        <f>U124+Z124</f>
        <v/>
      </c>
      <c r="AD124" s="171">
        <f>Q124-AB124</f>
        <v/>
      </c>
    </row>
    <row r="125" hidden="1" ht="15" customHeight="1">
      <c r="B125" s="144" t="inlineStr">
        <is>
          <t>306-6</t>
        </is>
      </c>
      <c r="C125" s="144" t="n"/>
      <c r="D125" s="83" t="inlineStr">
        <is>
          <t>TBD</t>
        </is>
      </c>
      <c r="E125" s="83" t="n"/>
      <c r="F125" s="85" t="n">
        <v>0</v>
      </c>
      <c r="G125" s="176">
        <f>SUMIF('Committed Costs '!C:C,B125,'Committed Costs '!G:G)</f>
        <v/>
      </c>
      <c r="H125" s="176">
        <f>SUMIF('Change Orders'!F:F,'Project Detail'!B125,'Change Orders'!E:E)</f>
        <v/>
      </c>
      <c r="I125" s="176">
        <f>SUMIF(Invoices!B:B,B125,Invoices!G:G)</f>
        <v/>
      </c>
      <c r="J125" s="176" t="n">
        <v>0</v>
      </c>
      <c r="K125" s="176">
        <f>I125-J125</f>
        <v/>
      </c>
      <c r="L125" s="171">
        <f>+M125-G125</f>
        <v/>
      </c>
      <c r="M125" s="176" t="n">
        <v>0</v>
      </c>
      <c r="N125" s="1016">
        <f>F125-M125</f>
        <v/>
      </c>
      <c r="O125" s="13" t="n"/>
      <c r="Q125" s="171">
        <f>M125-K125</f>
        <v/>
      </c>
      <c r="S125" s="171" t="n"/>
      <c r="T125" s="171" t="n"/>
      <c r="U125" s="171">
        <f>S125+T125</f>
        <v/>
      </c>
      <c r="W125" s="171" t="n"/>
      <c r="X125" s="171" t="n"/>
      <c r="Y125" s="171" t="n"/>
      <c r="Z125" s="171">
        <f>W125+X125+Y125</f>
        <v/>
      </c>
      <c r="AB125" s="171">
        <f>U125+Z125</f>
        <v/>
      </c>
      <c r="AD125" s="171">
        <f>Q125-AB125</f>
        <v/>
      </c>
    </row>
    <row r="126" hidden="1" ht="15" customHeight="1">
      <c r="B126" s="144" t="inlineStr">
        <is>
          <t>306-7</t>
        </is>
      </c>
      <c r="C126" s="144" t="n"/>
      <c r="D126" s="83" t="inlineStr">
        <is>
          <t>TBD</t>
        </is>
      </c>
      <c r="E126" s="83" t="n"/>
      <c r="F126" s="85" t="n">
        <v>0</v>
      </c>
      <c r="G126" s="176">
        <f>SUMIF('Committed Costs '!C:C,B126,'Committed Costs '!G:G)</f>
        <v/>
      </c>
      <c r="H126" s="176">
        <f>SUMIF('Change Orders'!F:F,'Project Detail'!B126,'Change Orders'!E:E)</f>
        <v/>
      </c>
      <c r="I126" s="176">
        <f>SUMIF(Invoices!B:B,B126,Invoices!G:G)</f>
        <v/>
      </c>
      <c r="J126" s="176" t="n">
        <v>0</v>
      </c>
      <c r="K126" s="176">
        <f>I126-J126</f>
        <v/>
      </c>
      <c r="L126" s="171">
        <f>+M126-G126</f>
        <v/>
      </c>
      <c r="M126" s="176" t="n">
        <v>0</v>
      </c>
      <c r="N126" s="1016">
        <f>F126-M126</f>
        <v/>
      </c>
      <c r="O126" s="13" t="n"/>
      <c r="Q126" s="171">
        <f>M126-K126</f>
        <v/>
      </c>
      <c r="S126" s="171" t="n"/>
      <c r="T126" s="171" t="n"/>
      <c r="U126" s="171">
        <f>S126+T126</f>
        <v/>
      </c>
      <c r="W126" s="171" t="n"/>
      <c r="X126" s="171" t="n"/>
      <c r="Y126" s="171" t="n"/>
      <c r="Z126" s="171">
        <f>W126+X126+Y126</f>
        <v/>
      </c>
      <c r="AB126" s="171">
        <f>U126+Z126</f>
        <v/>
      </c>
      <c r="AD126" s="171">
        <f>Q126-AB126</f>
        <v/>
      </c>
    </row>
    <row r="127" hidden="1" ht="15" customHeight="1">
      <c r="B127" s="144" t="inlineStr">
        <is>
          <t>306-8</t>
        </is>
      </c>
      <c r="C127" s="144" t="n"/>
      <c r="D127" s="83" t="inlineStr">
        <is>
          <t>TBD</t>
        </is>
      </c>
      <c r="E127" s="83" t="n"/>
      <c r="F127" s="85" t="n">
        <v>0</v>
      </c>
      <c r="G127" s="176">
        <f>SUMIF('Committed Costs '!C:C,B127,'Committed Costs '!G:G)</f>
        <v/>
      </c>
      <c r="H127" s="176">
        <f>SUMIF('Change Orders'!F:F,'Project Detail'!B127,'Change Orders'!E:E)</f>
        <v/>
      </c>
      <c r="I127" s="176">
        <f>SUMIF(Invoices!B:B,B127,Invoices!G:G)</f>
        <v/>
      </c>
      <c r="J127" s="176" t="n">
        <v>0</v>
      </c>
      <c r="K127" s="176">
        <f>I127-J127</f>
        <v/>
      </c>
      <c r="L127" s="171">
        <f>+M127-G127</f>
        <v/>
      </c>
      <c r="M127" s="176" t="n">
        <v>0</v>
      </c>
      <c r="N127" s="1016">
        <f>F127-M127</f>
        <v/>
      </c>
      <c r="O127" s="13" t="n"/>
      <c r="Q127" s="171">
        <f>M127-K127</f>
        <v/>
      </c>
      <c r="S127" s="171" t="n"/>
      <c r="T127" s="171" t="n"/>
      <c r="U127" s="171">
        <f>S127+T127</f>
        <v/>
      </c>
      <c r="W127" s="171" t="n"/>
      <c r="X127" s="171" t="n"/>
      <c r="Y127" s="171" t="n"/>
      <c r="Z127" s="171">
        <f>W127+X127+Y127</f>
        <v/>
      </c>
      <c r="AB127" s="171">
        <f>U127+Z127</f>
        <v/>
      </c>
      <c r="AD127" s="171">
        <f>Q127-AB127</f>
        <v/>
      </c>
    </row>
    <row r="128" hidden="1" ht="15" customHeight="1">
      <c r="B128" s="144" t="inlineStr">
        <is>
          <t>306-10</t>
        </is>
      </c>
      <c r="C128" s="144" t="n"/>
      <c r="D128" s="83" t="inlineStr">
        <is>
          <t>TBD</t>
        </is>
      </c>
      <c r="E128" s="83" t="n"/>
      <c r="F128" s="85" t="n">
        <v>0</v>
      </c>
      <c r="G128" s="176">
        <f>SUMIF('Committed Costs '!C:C,B128,'Committed Costs '!G:G)</f>
        <v/>
      </c>
      <c r="H128" s="176">
        <f>SUMIF('Change Orders'!F:F,'Project Detail'!B128,'Change Orders'!E:E)</f>
        <v/>
      </c>
      <c r="I128" s="176">
        <f>SUMIF(Invoices!B:B,B128,Invoices!G:G)</f>
        <v/>
      </c>
      <c r="J128" s="176" t="n">
        <v>0</v>
      </c>
      <c r="K128" s="176">
        <f>I128-J128</f>
        <v/>
      </c>
      <c r="L128" s="171">
        <f>+M128-G128</f>
        <v/>
      </c>
      <c r="M128" s="176" t="n">
        <v>0</v>
      </c>
      <c r="N128" s="1016">
        <f>F128-M128</f>
        <v/>
      </c>
      <c r="O128" s="13" t="n"/>
      <c r="Q128" s="171">
        <f>M128-K128</f>
        <v/>
      </c>
      <c r="S128" s="171" t="n"/>
      <c r="T128" s="171" t="n"/>
      <c r="U128" s="171">
        <f>S128+T128</f>
        <v/>
      </c>
      <c r="W128" s="171" t="n"/>
      <c r="X128" s="171" t="n"/>
      <c r="Y128" s="171" t="n"/>
      <c r="Z128" s="171">
        <f>W128+X128+Y128</f>
        <v/>
      </c>
      <c r="AB128" s="171">
        <f>U128+Z128</f>
        <v/>
      </c>
      <c r="AD128" s="171">
        <f>Q128-AB128</f>
        <v/>
      </c>
    </row>
    <row r="129" hidden="1" ht="15" customHeight="1">
      <c r="B129" s="144" t="inlineStr">
        <is>
          <t>306-11</t>
        </is>
      </c>
      <c r="C129" s="144" t="n"/>
      <c r="D129" s="83" t="inlineStr">
        <is>
          <t>TBD</t>
        </is>
      </c>
      <c r="E129" s="83" t="n"/>
      <c r="F129" s="85" t="n">
        <v>0</v>
      </c>
      <c r="G129" s="176">
        <f>SUMIF('Committed Costs '!C:C,B129,'Committed Costs '!G:G)</f>
        <v/>
      </c>
      <c r="H129" s="176">
        <f>SUMIF('Change Orders'!F:F,'Project Detail'!B129,'Change Orders'!E:E)</f>
        <v/>
      </c>
      <c r="I129" s="176">
        <f>SUMIF(Invoices!B:B,B129,Invoices!G:G)</f>
        <v/>
      </c>
      <c r="J129" s="176" t="n">
        <v>0</v>
      </c>
      <c r="K129" s="176">
        <f>I129-J129</f>
        <v/>
      </c>
      <c r="L129" s="171">
        <f>+M129-G129</f>
        <v/>
      </c>
      <c r="M129" s="176" t="n">
        <v>0</v>
      </c>
      <c r="N129" s="1016">
        <f>F129-M129</f>
        <v/>
      </c>
      <c r="O129" s="13" t="n"/>
      <c r="Q129" s="171">
        <f>M129-K129</f>
        <v/>
      </c>
      <c r="S129" s="171" t="n"/>
      <c r="T129" s="171" t="n"/>
      <c r="U129" s="171">
        <f>S129+T129</f>
        <v/>
      </c>
      <c r="W129" s="171" t="n"/>
      <c r="X129" s="171" t="n"/>
      <c r="Y129" s="171" t="n"/>
      <c r="Z129" s="171">
        <f>W129+X129+Y129</f>
        <v/>
      </c>
      <c r="AB129" s="171">
        <f>U129+Z129</f>
        <v/>
      </c>
      <c r="AD129" s="171">
        <f>Q129-AB129</f>
        <v/>
      </c>
    </row>
    <row r="130" ht="15" customHeight="1">
      <c r="B130" s="144" t="n"/>
      <c r="C130" s="144" t="n">
        <v>306</v>
      </c>
      <c r="D130" s="205" t="n"/>
      <c r="E130" s="179" t="inlineStr">
        <is>
          <t>Total Administration</t>
        </is>
      </c>
      <c r="F130" s="186">
        <f>SUM(F120:F129)</f>
        <v/>
      </c>
      <c r="G130" s="186">
        <f>SUM(G120:G129)</f>
        <v/>
      </c>
      <c r="H130" s="186">
        <f>SUM(H120:H129)</f>
        <v/>
      </c>
      <c r="I130" s="186">
        <f>SUM(I120:I129)</f>
        <v/>
      </c>
      <c r="J130" s="186">
        <f>SUM(J120:J129)</f>
        <v/>
      </c>
      <c r="K130" s="186">
        <f>SUM(K120:K129)</f>
        <v/>
      </c>
      <c r="L130" s="186">
        <f>SUM(L120:L129)</f>
        <v/>
      </c>
      <c r="M130" s="186">
        <f>SUM(M120:M129)</f>
        <v/>
      </c>
      <c r="N130" s="186">
        <f>SUM(N120:N129)</f>
        <v/>
      </c>
      <c r="O130" s="13" t="n"/>
      <c r="Q130" s="186">
        <f>SUM(Q120:Q129)</f>
        <v/>
      </c>
      <c r="S130" s="186">
        <f>SUM(S120:S129)</f>
        <v/>
      </c>
      <c r="T130" s="186">
        <f>SUM(T120:T129)</f>
        <v/>
      </c>
      <c r="U130" s="186">
        <f>SUM(U120:U129)</f>
        <v/>
      </c>
      <c r="W130" s="186">
        <f>SUM(W120:W129)</f>
        <v/>
      </c>
      <c r="X130" s="186">
        <f>SUM(X120:X129)</f>
        <v/>
      </c>
      <c r="Y130" s="186">
        <f>SUM(Y120:Y129)</f>
        <v/>
      </c>
      <c r="Z130" s="186">
        <f>SUM(Z120:Z129)</f>
        <v/>
      </c>
      <c r="AB130" s="186">
        <f>SUM(AB120:AB129)</f>
        <v/>
      </c>
      <c r="AD130" s="186">
        <f>AD120+AD121+AD122+AD123+AD124+AD125+AD126+AD127+AD128+AD129</f>
        <v/>
      </c>
    </row>
    <row r="131" ht="15" customHeight="1">
      <c r="B131" s="206" t="n">
        <v>307</v>
      </c>
      <c r="C131" s="207" t="n"/>
      <c r="D131" s="208" t="inlineStr">
        <is>
          <t>Facility</t>
        </is>
      </c>
      <c r="E131" s="209" t="n"/>
      <c r="F131" s="209" t="n"/>
      <c r="G131" s="209" t="n"/>
      <c r="H131" s="209" t="n"/>
      <c r="I131" s="209" t="n"/>
      <c r="J131" s="209" t="n"/>
      <c r="K131" s="209" t="n"/>
      <c r="L131" s="209" t="n"/>
      <c r="M131" s="209" t="n"/>
      <c r="N131" s="209" t="n"/>
      <c r="O131" s="210" t="n"/>
      <c r="Q131" s="118" t="n"/>
      <c r="S131" s="209" t="n"/>
      <c r="T131" s="209" t="n"/>
      <c r="U131" s="209" t="n"/>
      <c r="W131" s="209" t="n"/>
      <c r="X131" s="209" t="n"/>
      <c r="Y131" s="209" t="n"/>
      <c r="Z131" s="209" t="n"/>
      <c r="AB131" s="209" t="n"/>
      <c r="AD131" s="118" t="n"/>
    </row>
    <row r="132" ht="15" customHeight="1">
      <c r="B132" s="144" t="inlineStr">
        <is>
          <t>307-1</t>
        </is>
      </c>
      <c r="C132" s="144" t="n"/>
      <c r="D132" s="83" t="inlineStr">
        <is>
          <t>TBD</t>
        </is>
      </c>
      <c r="E132" s="83" t="inlineStr">
        <is>
          <t>Facility</t>
        </is>
      </c>
      <c r="F132" s="85" t="n">
        <v>0</v>
      </c>
      <c r="G132" s="176">
        <f>SUMIF('Committed Costs '!C:C,B132,'Committed Costs '!G:G)</f>
        <v/>
      </c>
      <c r="H132" s="176">
        <f>SUMIF('Change Orders'!F:F,'Project Detail'!B132,'Change Orders'!E:E)</f>
        <v/>
      </c>
      <c r="I132" s="176">
        <f>SUMIF(Invoices!B:B,B132,Invoices!G:G)</f>
        <v/>
      </c>
      <c r="J132" s="176" t="n">
        <v>0</v>
      </c>
      <c r="K132" s="176">
        <f>I132-J132</f>
        <v/>
      </c>
      <c r="L132" s="171">
        <f>+M132-G132</f>
        <v/>
      </c>
      <c r="M132" s="171" t="n">
        <v>0</v>
      </c>
      <c r="N132" s="171">
        <f>F132-M132</f>
        <v/>
      </c>
      <c r="O132" s="83" t="n"/>
      <c r="Q132" s="171">
        <f>M132-K132</f>
        <v/>
      </c>
      <c r="S132" s="171" t="n"/>
      <c r="T132" s="171" t="n"/>
      <c r="U132" s="171">
        <f>S132+T132</f>
        <v/>
      </c>
      <c r="W132" s="171" t="n"/>
      <c r="X132" s="171" t="n"/>
      <c r="Y132" s="171" t="n"/>
      <c r="Z132" s="171">
        <f>W132+X132+Y132</f>
        <v/>
      </c>
      <c r="AB132" s="171">
        <f>U132+Z132</f>
        <v/>
      </c>
      <c r="AD132" s="171">
        <f>Q132-AB132</f>
        <v/>
      </c>
    </row>
    <row r="133" hidden="1" ht="15" customHeight="1">
      <c r="B133" s="144" t="inlineStr">
        <is>
          <t>307-2</t>
        </is>
      </c>
      <c r="C133" s="144" t="n"/>
      <c r="D133" s="83" t="n"/>
      <c r="E133" s="83" t="n"/>
      <c r="F133" s="85" t="n">
        <v>0</v>
      </c>
      <c r="G133" s="176">
        <f>SUMIF('Committed Costs '!C:C,B133,'Committed Costs '!G:G)</f>
        <v/>
      </c>
      <c r="H133" s="176">
        <f>SUMIF('Change Orders'!F:F,'Project Detail'!B133,'Change Orders'!E:E)</f>
        <v/>
      </c>
      <c r="I133" s="176">
        <f>SUMIF(Invoices!B:B,B133,Invoices!G:G)</f>
        <v/>
      </c>
      <c r="J133" s="176" t="n">
        <v>0</v>
      </c>
      <c r="K133" s="176">
        <f>I133-J133</f>
        <v/>
      </c>
      <c r="L133" s="176">
        <f>+M133-G133</f>
        <v/>
      </c>
      <c r="M133" s="176" t="n">
        <v>0</v>
      </c>
      <c r="N133" s="176">
        <f>F133-M133</f>
        <v/>
      </c>
      <c r="O133" s="83" t="n"/>
      <c r="Q133" s="171">
        <f>M133-K133</f>
        <v/>
      </c>
      <c r="S133" s="171" t="n"/>
      <c r="T133" s="171" t="n"/>
      <c r="U133" s="171">
        <f>S133+T133</f>
        <v/>
      </c>
      <c r="W133" s="171" t="n"/>
      <c r="X133" s="171" t="n"/>
      <c r="Y133" s="171" t="n"/>
      <c r="Z133" s="171">
        <f>W133+X133+Y133</f>
        <v/>
      </c>
      <c r="AB133" s="171">
        <f>U133+Z133</f>
        <v/>
      </c>
      <c r="AD133" s="171">
        <f>Q133-AB133</f>
        <v/>
      </c>
    </row>
    <row r="134" hidden="1" ht="15" customHeight="1">
      <c r="B134" s="144" t="inlineStr">
        <is>
          <t>307-3</t>
        </is>
      </c>
      <c r="C134" s="144" t="n"/>
      <c r="D134" s="83" t="n"/>
      <c r="E134" s="83" t="n"/>
      <c r="F134" s="85">
        <f>65000-65000</f>
        <v/>
      </c>
      <c r="G134" s="176">
        <f>SUMIF('Committed Costs '!C:C,B134,'Committed Costs '!G:G)</f>
        <v/>
      </c>
      <c r="H134" s="176">
        <f>SUMIF('Change Orders'!F:F,'Project Detail'!B134,'Change Orders'!E:E)</f>
        <v/>
      </c>
      <c r="I134" s="176">
        <f>SUMIF(Invoices!B:B,B134,Invoices!G:G)</f>
        <v/>
      </c>
      <c r="J134" s="176" t="n">
        <v>0</v>
      </c>
      <c r="K134" s="176">
        <f>I134-J134</f>
        <v/>
      </c>
      <c r="L134" s="176">
        <f>+M134-G134</f>
        <v/>
      </c>
      <c r="M134" s="176">
        <f>IF((F134+H134)&gt;G134,F134+H134,G134)</f>
        <v/>
      </c>
      <c r="N134" s="1016">
        <f>F134-M134</f>
        <v/>
      </c>
      <c r="O134" s="83" t="n"/>
      <c r="Q134" s="171">
        <f>M134-K134</f>
        <v/>
      </c>
      <c r="S134" s="176" t="n"/>
      <c r="T134" s="176" t="n"/>
      <c r="U134" s="171">
        <f>S134+T134</f>
        <v/>
      </c>
      <c r="W134" s="176" t="n"/>
      <c r="X134" s="176" t="n"/>
      <c r="Y134" s="176" t="n"/>
      <c r="Z134" s="171">
        <f>W134+X134+Y134</f>
        <v/>
      </c>
      <c r="AB134" s="171">
        <f>U134+Z134</f>
        <v/>
      </c>
      <c r="AD134" s="171">
        <f>Q134-AB134</f>
        <v/>
      </c>
    </row>
    <row r="135" hidden="1" ht="15" customHeight="1">
      <c r="B135" s="144" t="inlineStr">
        <is>
          <t>307-4</t>
        </is>
      </c>
      <c r="C135" s="144" t="n"/>
      <c r="D135" s="83" t="n"/>
      <c r="E135" s="83" t="n"/>
      <c r="F135" s="85" t="n">
        <v>0</v>
      </c>
      <c r="G135" s="176">
        <f>SUMIF('Committed Costs '!C:C,B135,'Committed Costs '!G:G)</f>
        <v/>
      </c>
      <c r="H135" s="176">
        <f>SUMIF('Change Orders'!F:F,'Project Detail'!B135,'Change Orders'!E:E)</f>
        <v/>
      </c>
      <c r="I135" s="176">
        <f>SUMIF(Invoices!B:B,B135,Invoices!G:G)</f>
        <v/>
      </c>
      <c r="J135" s="176" t="n">
        <v>0</v>
      </c>
      <c r="K135" s="176">
        <f>I135-J135</f>
        <v/>
      </c>
      <c r="L135" s="171">
        <f>+M135-G135</f>
        <v/>
      </c>
      <c r="M135" s="171" t="n">
        <v>0</v>
      </c>
      <c r="N135" s="171">
        <f>F135-M135</f>
        <v/>
      </c>
      <c r="O135" s="83" t="n"/>
      <c r="Q135" s="171">
        <f>M135-K135</f>
        <v/>
      </c>
      <c r="S135" s="171" t="n"/>
      <c r="T135" s="171" t="n"/>
      <c r="U135" s="171">
        <f>S135+T135</f>
        <v/>
      </c>
      <c r="W135" s="171" t="n"/>
      <c r="X135" s="171" t="n"/>
      <c r="Y135" s="171" t="n"/>
      <c r="Z135" s="171">
        <f>W135+X135+Y135</f>
        <v/>
      </c>
      <c r="AB135" s="171">
        <f>U135+Z135</f>
        <v/>
      </c>
      <c r="AD135" s="171">
        <f>Q135-AB135</f>
        <v/>
      </c>
    </row>
    <row r="136" hidden="1" ht="15" customHeight="1">
      <c r="B136" s="144" t="inlineStr">
        <is>
          <t>307-5</t>
        </is>
      </c>
      <c r="C136" s="144" t="n"/>
      <c r="D136" s="83" t="n"/>
      <c r="E136" s="83" t="n"/>
      <c r="F136" s="85" t="n">
        <v>0</v>
      </c>
      <c r="G136" s="176">
        <f>SUMIF('Committed Costs '!C:C,B136,'Committed Costs '!G:G)</f>
        <v/>
      </c>
      <c r="H136" s="176">
        <f>SUMIF('Change Orders'!F:F,'Project Detail'!B136,'Change Orders'!E:E)</f>
        <v/>
      </c>
      <c r="I136" s="176">
        <f>SUMIF(Invoices!B:B,B136,Invoices!G:G)</f>
        <v/>
      </c>
      <c r="J136" s="176" t="n">
        <v>0</v>
      </c>
      <c r="K136" s="176">
        <f>I136-J136</f>
        <v/>
      </c>
      <c r="L136" s="171">
        <f>+M136-G136</f>
        <v/>
      </c>
      <c r="M136" s="176">
        <f>IF((F136+H136)&gt;G136,F136+H136,G136)</f>
        <v/>
      </c>
      <c r="N136" s="171">
        <f>F136-M136</f>
        <v/>
      </c>
      <c r="O136" s="83" t="n"/>
      <c r="Q136" s="171" t="n"/>
      <c r="S136" s="171" t="n"/>
      <c r="T136" s="171" t="n"/>
      <c r="U136" s="171" t="n"/>
      <c r="W136" s="171" t="n"/>
      <c r="X136" s="171" t="n"/>
      <c r="Y136" s="171" t="n"/>
      <c r="Z136" s="171" t="n"/>
      <c r="AB136" s="171" t="n"/>
      <c r="AD136" s="171" t="n"/>
    </row>
    <row r="137" hidden="1" ht="15" customHeight="1">
      <c r="B137" s="144" t="inlineStr">
        <is>
          <t>307-6</t>
        </is>
      </c>
      <c r="C137" s="144" t="n"/>
      <c r="D137" s="83" t="n"/>
      <c r="E137" s="83" t="n"/>
      <c r="F137" s="85" t="n">
        <v>0</v>
      </c>
      <c r="G137" s="176">
        <f>SUMIF('Committed Costs '!C:C,B137,'Committed Costs '!G:G)</f>
        <v/>
      </c>
      <c r="H137" s="176">
        <f>SUMIF('Change Orders'!F:F,'Project Detail'!B137,'Change Orders'!E:E)</f>
        <v/>
      </c>
      <c r="I137" s="176">
        <f>SUMIF(Invoices!B:B,B137,Invoices!G:G)</f>
        <v/>
      </c>
      <c r="J137" s="176" t="n">
        <v>0</v>
      </c>
      <c r="K137" s="176">
        <f>I137-J137</f>
        <v/>
      </c>
      <c r="L137" s="171">
        <f>+M137-G137</f>
        <v/>
      </c>
      <c r="M137" s="176">
        <f>IF((F137+H137)&gt;G137,F137+H137,G137)</f>
        <v/>
      </c>
      <c r="N137" s="171">
        <f>F137-M137</f>
        <v/>
      </c>
      <c r="O137" s="83" t="n"/>
      <c r="Q137" s="171" t="n"/>
      <c r="S137" s="171" t="n"/>
      <c r="T137" s="171" t="n"/>
      <c r="U137" s="171" t="n"/>
      <c r="W137" s="171" t="n"/>
      <c r="X137" s="171" t="n"/>
      <c r="Y137" s="171" t="n"/>
      <c r="Z137" s="171" t="n"/>
      <c r="AB137" s="171" t="n"/>
      <c r="AD137" s="171" t="n"/>
    </row>
    <row r="138" ht="15" customHeight="1">
      <c r="B138" s="144" t="n"/>
      <c r="C138" s="144" t="n">
        <v>307</v>
      </c>
      <c r="D138" s="205" t="n"/>
      <c r="E138" s="179" t="inlineStr">
        <is>
          <t>Total Facility</t>
        </is>
      </c>
      <c r="F138" s="186">
        <f>SUM(F132:F137)</f>
        <v/>
      </c>
      <c r="G138" s="186">
        <f>SUM(G132:G137)</f>
        <v/>
      </c>
      <c r="H138" s="186">
        <f>SUM(H132:H137)</f>
        <v/>
      </c>
      <c r="I138" s="186">
        <f>SUM(I132:I137)</f>
        <v/>
      </c>
      <c r="J138" s="186">
        <f>SUM(J132:J137)</f>
        <v/>
      </c>
      <c r="K138" s="186">
        <f>SUM(K132:K137)</f>
        <v/>
      </c>
      <c r="L138" s="186">
        <f>SUM(L132:L137)</f>
        <v/>
      </c>
      <c r="M138" s="186">
        <f>SUM(M132:M137)</f>
        <v/>
      </c>
      <c r="N138" s="186">
        <f>SUM(N132:N137)</f>
        <v/>
      </c>
      <c r="O138" s="13" t="n"/>
      <c r="Q138" s="186">
        <f>SUM(Q132:Q135)</f>
        <v/>
      </c>
      <c r="S138" s="186">
        <f>SUM(S132:S135)</f>
        <v/>
      </c>
      <c r="T138" s="186">
        <f>SUM(T132:T135)</f>
        <v/>
      </c>
      <c r="U138" s="186">
        <f>SUM(U132:U135)</f>
        <v/>
      </c>
      <c r="W138" s="186">
        <f>SUM(W132:W135)</f>
        <v/>
      </c>
      <c r="X138" s="186">
        <f>SUM(X132:X135)</f>
        <v/>
      </c>
      <c r="Y138" s="186">
        <f>SUM(Y132:Y135)</f>
        <v/>
      </c>
      <c r="Z138" s="186">
        <f>SUM(Z132:Z135)</f>
        <v/>
      </c>
      <c r="AB138" s="186">
        <f>SUM(AB132:AB135)</f>
        <v/>
      </c>
      <c r="AD138" s="186">
        <f>SUM(AD132:AD135)</f>
        <v/>
      </c>
    </row>
    <row r="139" ht="15" customHeight="1">
      <c r="B139" s="206" t="n">
        <v>308</v>
      </c>
      <c r="C139" s="207" t="n"/>
      <c r="D139" s="208" t="inlineStr">
        <is>
          <t>Operations</t>
        </is>
      </c>
      <c r="E139" s="209" t="n"/>
      <c r="F139" s="209" t="n"/>
      <c r="G139" s="209" t="n"/>
      <c r="H139" s="209" t="n"/>
      <c r="I139" s="209" t="n"/>
      <c r="J139" s="209" t="n"/>
      <c r="K139" s="209" t="n"/>
      <c r="L139" s="209" t="n"/>
      <c r="M139" s="209" t="n"/>
      <c r="N139" s="209" t="n"/>
      <c r="O139" s="210" t="n"/>
      <c r="Q139" s="118" t="n"/>
      <c r="S139" s="209" t="n"/>
      <c r="T139" s="209" t="n"/>
      <c r="U139" s="209" t="n"/>
      <c r="W139" s="209" t="n"/>
      <c r="X139" s="209" t="n"/>
      <c r="Y139" s="209" t="n"/>
      <c r="Z139" s="209" t="n"/>
      <c r="AB139" s="209" t="n"/>
      <c r="AD139" s="118" t="n"/>
    </row>
    <row r="140" ht="15" customHeight="1">
      <c r="B140" s="144" t="inlineStr">
        <is>
          <t>308-1</t>
        </is>
      </c>
      <c r="C140" s="144" t="n"/>
      <c r="D140" s="83" t="inlineStr">
        <is>
          <t>TBD</t>
        </is>
      </c>
      <c r="E140" s="83" t="inlineStr">
        <is>
          <t>Operations</t>
        </is>
      </c>
      <c r="F140" s="85" t="n">
        <v>0</v>
      </c>
      <c r="G140" s="176">
        <f>SUMIF('Committed Costs '!C:C,B140,'Committed Costs '!G:G)</f>
        <v/>
      </c>
      <c r="H140" s="176">
        <f>SUMIF('Change Orders'!F:F,'Project Detail'!B140,'Change Orders'!E:E)</f>
        <v/>
      </c>
      <c r="I140" s="176">
        <f>SUMIF(Invoices!B:B,B140,Invoices!G:G)</f>
        <v/>
      </c>
      <c r="J140" s="176" t="n">
        <v>0</v>
      </c>
      <c r="K140" s="176">
        <f>I140-J140</f>
        <v/>
      </c>
      <c r="L140" s="176">
        <f>+M140-G140</f>
        <v/>
      </c>
      <c r="M140" s="176">
        <f>G140</f>
        <v/>
      </c>
      <c r="N140" s="176">
        <f>F140-M140</f>
        <v/>
      </c>
      <c r="O140" s="13" t="n"/>
      <c r="Q140" s="171">
        <f>M140-K140</f>
        <v/>
      </c>
      <c r="S140" s="171" t="n"/>
      <c r="T140" s="171" t="n"/>
      <c r="U140" s="171">
        <f>S140+T140</f>
        <v/>
      </c>
      <c r="W140" s="171" t="n"/>
      <c r="X140" s="171" t="n"/>
      <c r="Y140" s="171" t="n"/>
      <c r="Z140" s="171">
        <f>W140+X140+Y140</f>
        <v/>
      </c>
      <c r="AB140" s="171">
        <f>U140+Z140</f>
        <v/>
      </c>
      <c r="AD140" s="171">
        <f>Q140-AB140</f>
        <v/>
      </c>
    </row>
    <row r="141" hidden="1" ht="15" customHeight="1">
      <c r="B141" s="144" t="inlineStr">
        <is>
          <t>308-2</t>
        </is>
      </c>
      <c r="C141" s="144" t="n"/>
      <c r="D141" s="83" t="n"/>
      <c r="E141" s="83" t="n"/>
      <c r="F141" s="85">
        <f>150-150</f>
        <v/>
      </c>
      <c r="G141" s="176">
        <f>SUMIF('Committed Costs '!C:C,B141,'Committed Costs '!G:G)</f>
        <v/>
      </c>
      <c r="H141" s="176">
        <f>SUMIF('Change Orders'!F:F,'Project Detail'!B141,'Change Orders'!E:E)</f>
        <v/>
      </c>
      <c r="I141" s="176">
        <f>SUMIF(Invoices!B:B,B141,Invoices!G:G)</f>
        <v/>
      </c>
      <c r="J141" s="176" t="n">
        <v>0</v>
      </c>
      <c r="K141" s="176">
        <f>I141-J141</f>
        <v/>
      </c>
      <c r="L141" s="176">
        <f>+M141-G141</f>
        <v/>
      </c>
      <c r="M141" s="176">
        <f>IF((F141+H141)&gt;G141,F141+H141,G141)</f>
        <v/>
      </c>
      <c r="N141" s="1016">
        <f>F141-M141</f>
        <v/>
      </c>
      <c r="O141" s="13" t="n"/>
      <c r="Q141" s="171">
        <f>M141-K141</f>
        <v/>
      </c>
      <c r="S141" s="171" t="n"/>
      <c r="T141" s="171" t="n"/>
      <c r="U141" s="171">
        <f>S141+T141</f>
        <v/>
      </c>
      <c r="W141" s="171" t="n"/>
      <c r="X141" s="171" t="n"/>
      <c r="Y141" s="171" t="n"/>
      <c r="Z141" s="171">
        <f>W141+X141+Y141</f>
        <v/>
      </c>
      <c r="AB141" s="171">
        <f>U141+Z141</f>
        <v/>
      </c>
      <c r="AD141" s="171">
        <f>Q141-AB141</f>
        <v/>
      </c>
    </row>
    <row r="142" hidden="1" ht="15" customHeight="1">
      <c r="B142" s="144" t="inlineStr">
        <is>
          <t>308-3</t>
        </is>
      </c>
      <c r="C142" s="144" t="n"/>
      <c r="D142" s="83" t="n"/>
      <c r="E142" s="83" t="n"/>
      <c r="F142" s="85">
        <f>250-250</f>
        <v/>
      </c>
      <c r="G142" s="176">
        <f>SUMIF('Committed Costs '!C:C,B142,'Committed Costs '!G:G)</f>
        <v/>
      </c>
      <c r="H142" s="176">
        <f>SUMIF('Change Orders'!F:F,'Project Detail'!B142,'Change Orders'!E:E)</f>
        <v/>
      </c>
      <c r="I142" s="176">
        <f>SUMIF(Invoices!B:B,B142,Invoices!G:G)</f>
        <v/>
      </c>
      <c r="J142" s="176" t="n">
        <v>0</v>
      </c>
      <c r="K142" s="176">
        <f>I142-J142</f>
        <v/>
      </c>
      <c r="L142" s="176">
        <f>+M142-G142</f>
        <v/>
      </c>
      <c r="M142" s="176">
        <f>IF((F142+H142)&gt;G142,F142+H142,G142)</f>
        <v/>
      </c>
      <c r="N142" s="1016">
        <f>F142-M142</f>
        <v/>
      </c>
      <c r="O142" s="13" t="n"/>
      <c r="Q142" s="171">
        <f>M142-K142</f>
        <v/>
      </c>
      <c r="S142" s="171" t="n"/>
      <c r="T142" s="171" t="n"/>
      <c r="U142" s="171">
        <f>S142+T142</f>
        <v/>
      </c>
      <c r="W142" s="171" t="n"/>
      <c r="X142" s="171" t="n"/>
      <c r="Y142" s="171" t="n"/>
      <c r="Z142" s="171">
        <f>W142+X142+Y142</f>
        <v/>
      </c>
      <c r="AB142" s="171">
        <f>U142+Z142</f>
        <v/>
      </c>
      <c r="AD142" s="171">
        <f>Q142-AB142</f>
        <v/>
      </c>
    </row>
    <row r="143" hidden="1" ht="15" customHeight="1">
      <c r="B143" s="144" t="inlineStr">
        <is>
          <t>308-4</t>
        </is>
      </c>
      <c r="C143" s="144" t="n"/>
      <c r="D143" s="83" t="n"/>
      <c r="E143" s="83" t="n"/>
      <c r="F143" s="85" t="n">
        <v>0</v>
      </c>
      <c r="G143" s="176">
        <f>SUMIF('Committed Costs '!C:C,B143,'Committed Costs '!G:G)</f>
        <v/>
      </c>
      <c r="H143" s="176">
        <f>SUMIF('Change Orders'!F:F,'Project Detail'!B143,'Change Orders'!E:E)</f>
        <v/>
      </c>
      <c r="I143" s="176">
        <f>SUMIF(Invoices!B:B,B143,Invoices!G:G)</f>
        <v/>
      </c>
      <c r="J143" s="176" t="n">
        <v>0</v>
      </c>
      <c r="K143" s="176">
        <f>I143-J143</f>
        <v/>
      </c>
      <c r="L143" s="176">
        <f>+M143-G143</f>
        <v/>
      </c>
      <c r="M143" s="176">
        <f>IF((F143+H143)&gt;G143,F143+H143,G143)</f>
        <v/>
      </c>
      <c r="N143" s="176">
        <f>F143-M143</f>
        <v/>
      </c>
      <c r="O143" s="93" t="n"/>
      <c r="Q143" s="171">
        <f>M143-K143</f>
        <v/>
      </c>
      <c r="S143" s="171" t="n"/>
      <c r="T143" s="171" t="n"/>
      <c r="U143" s="171">
        <f>S143+T143</f>
        <v/>
      </c>
      <c r="W143" s="171" t="n"/>
      <c r="X143" s="171" t="n"/>
      <c r="Y143" s="171" t="n"/>
      <c r="Z143" s="171">
        <f>W143+X143+Y143</f>
        <v/>
      </c>
      <c r="AB143" s="171">
        <f>U143+Z143</f>
        <v/>
      </c>
      <c r="AD143" s="171">
        <f>Q143-AB143</f>
        <v/>
      </c>
    </row>
    <row r="144" hidden="1" ht="15" customHeight="1">
      <c r="B144" s="144" t="inlineStr">
        <is>
          <t>308-5</t>
        </is>
      </c>
      <c r="C144" s="144" t="n"/>
      <c r="D144" s="83" t="n"/>
      <c r="E144" s="83" t="n"/>
      <c r="F144" s="85" t="n">
        <v>0</v>
      </c>
      <c r="G144" s="176">
        <f>SUMIF('Committed Costs '!C:C,B144,'Committed Costs '!G:G)</f>
        <v/>
      </c>
      <c r="H144" s="176">
        <f>SUMIF('Change Orders'!F:F,'Project Detail'!B144,'Change Orders'!E:E)</f>
        <v/>
      </c>
      <c r="I144" s="176">
        <f>SUMIF(Invoices!B:B,B144,Invoices!G:G)</f>
        <v/>
      </c>
      <c r="J144" s="176" t="n">
        <v>0</v>
      </c>
      <c r="K144" s="176">
        <f>I144-J144</f>
        <v/>
      </c>
      <c r="L144" s="171">
        <f>+M144-G144</f>
        <v/>
      </c>
      <c r="M144" s="176" t="n">
        <v>0</v>
      </c>
      <c r="N144" s="1016">
        <f>F144-M144</f>
        <v/>
      </c>
      <c r="O144" s="13" t="n"/>
      <c r="Q144" s="171">
        <f>M144-K144</f>
        <v/>
      </c>
      <c r="S144" s="171" t="n"/>
      <c r="T144" s="171" t="n"/>
      <c r="U144" s="171">
        <f>S144+T144</f>
        <v/>
      </c>
      <c r="W144" s="171" t="n"/>
      <c r="X144" s="171" t="n"/>
      <c r="Y144" s="171" t="n"/>
      <c r="Z144" s="171">
        <f>W144+X144+Y144</f>
        <v/>
      </c>
      <c r="AB144" s="171">
        <f>U144+Z144</f>
        <v/>
      </c>
      <c r="AD144" s="171">
        <f>Q144-AB144</f>
        <v/>
      </c>
    </row>
    <row r="145" hidden="1" ht="15" customHeight="1">
      <c r="B145" s="144" t="inlineStr">
        <is>
          <t>308-6</t>
        </is>
      </c>
      <c r="C145" s="144" t="n"/>
      <c r="D145" s="83" t="n"/>
      <c r="E145" s="83" t="n"/>
      <c r="F145" s="85" t="n">
        <v>0</v>
      </c>
      <c r="G145" s="176">
        <f>SUMIF('Committed Costs '!C:C,B145,'Committed Costs '!G:G)</f>
        <v/>
      </c>
      <c r="H145" s="176">
        <f>SUMIF('Change Orders'!F:F,'Project Detail'!B145,'Change Orders'!E:E)</f>
        <v/>
      </c>
      <c r="I145" s="176">
        <f>SUMIF(Invoices!B:B,B145,Invoices!G:G)</f>
        <v/>
      </c>
      <c r="J145" s="176" t="n">
        <v>0</v>
      </c>
      <c r="K145" s="176">
        <f>I145-J145</f>
        <v/>
      </c>
      <c r="L145" s="171">
        <f>+M145-G145</f>
        <v/>
      </c>
      <c r="M145" s="176">
        <f>IF((F145+H145)&gt;G145,F145+H145,G145)</f>
        <v/>
      </c>
      <c r="N145" s="176">
        <f>F145-M145</f>
        <v/>
      </c>
      <c r="O145" s="83" t="n"/>
      <c r="Q145" s="171">
        <f>M145-K145</f>
        <v/>
      </c>
      <c r="S145" s="171" t="n"/>
      <c r="T145" s="171" t="n"/>
      <c r="U145" s="171">
        <f>S145+T145</f>
        <v/>
      </c>
      <c r="W145" s="171" t="n"/>
      <c r="X145" s="171" t="n"/>
      <c r="Y145" s="171" t="n"/>
      <c r="Z145" s="171">
        <f>W145+X145+Y145</f>
        <v/>
      </c>
      <c r="AB145" s="171">
        <f>U145+Z145</f>
        <v/>
      </c>
      <c r="AD145" s="171">
        <f>Q145-AB145</f>
        <v/>
      </c>
    </row>
    <row r="146" hidden="1" ht="15" customHeight="1">
      <c r="B146" s="144" t="inlineStr">
        <is>
          <t>308-7</t>
        </is>
      </c>
      <c r="C146" s="144" t="n"/>
      <c r="D146" s="83" t="n"/>
      <c r="E146" s="83" t="n"/>
      <c r="F146" s="85" t="n">
        <v>0</v>
      </c>
      <c r="G146" s="176">
        <f>SUMIF('Committed Costs '!C:C,B146,'Committed Costs '!G:G)</f>
        <v/>
      </c>
      <c r="H146" s="176">
        <f>SUMIF('Change Orders'!F:F,'Project Detail'!B146,'Change Orders'!E:E)</f>
        <v/>
      </c>
      <c r="I146" s="176">
        <f>SUMIF(Invoices!B:B,B146,Invoices!G:G)</f>
        <v/>
      </c>
      <c r="J146" s="176" t="n">
        <v>0</v>
      </c>
      <c r="K146" s="176">
        <f>I146-J146</f>
        <v/>
      </c>
      <c r="L146" s="171">
        <f>+M146-G146</f>
        <v/>
      </c>
      <c r="M146" s="176" t="n">
        <v>0</v>
      </c>
      <c r="N146" s="1016">
        <f>F146-M146</f>
        <v/>
      </c>
      <c r="O146" s="13" t="n"/>
      <c r="Q146" s="171">
        <f>M146-K146</f>
        <v/>
      </c>
      <c r="S146" s="171" t="n"/>
      <c r="T146" s="171" t="n"/>
      <c r="U146" s="171">
        <f>S146+T146</f>
        <v/>
      </c>
      <c r="W146" s="171" t="n"/>
      <c r="X146" s="171" t="n"/>
      <c r="Y146" s="171" t="n"/>
      <c r="Z146" s="171">
        <f>W146+X146+Y146</f>
        <v/>
      </c>
      <c r="AB146" s="171">
        <f>U146+Z146</f>
        <v/>
      </c>
      <c r="AD146" s="171">
        <f>Q146-AB146</f>
        <v/>
      </c>
    </row>
    <row r="147" hidden="1" ht="15" customHeight="1">
      <c r="B147" s="144" t="inlineStr">
        <is>
          <t>308-8</t>
        </is>
      </c>
      <c r="C147" s="144" t="n"/>
      <c r="D147" s="83" t="n"/>
      <c r="E147" s="83" t="n"/>
      <c r="F147" s="85" t="n">
        <v>0</v>
      </c>
      <c r="G147" s="176">
        <f>SUMIF('Committed Costs '!C:C,B147,'Committed Costs '!G:G)</f>
        <v/>
      </c>
      <c r="H147" s="176">
        <f>SUMIF('Change Orders'!F:F,'Project Detail'!B147,'Change Orders'!E:E)</f>
        <v/>
      </c>
      <c r="I147" s="176">
        <f>SUMIF(Invoices!B:B,B147,Invoices!G:G)</f>
        <v/>
      </c>
      <c r="J147" s="176" t="n">
        <v>0</v>
      </c>
      <c r="K147" s="176">
        <f>I147-J147</f>
        <v/>
      </c>
      <c r="L147" s="171">
        <f>+M147-G147</f>
        <v/>
      </c>
      <c r="M147" s="176" t="n">
        <v>0</v>
      </c>
      <c r="N147" s="1016">
        <f>F147-M147</f>
        <v/>
      </c>
      <c r="O147" s="13" t="n"/>
      <c r="Q147" s="171">
        <f>M147-K147</f>
        <v/>
      </c>
      <c r="S147" s="171" t="n"/>
      <c r="T147" s="171" t="n"/>
      <c r="U147" s="171">
        <f>S147+T147</f>
        <v/>
      </c>
      <c r="W147" s="171" t="n"/>
      <c r="X147" s="171" t="n"/>
      <c r="Y147" s="171" t="n"/>
      <c r="Z147" s="171">
        <f>W147+X147+Y147</f>
        <v/>
      </c>
      <c r="AB147" s="171">
        <f>U147+Z147</f>
        <v/>
      </c>
      <c r="AD147" s="171">
        <f>Q147-AB147</f>
        <v/>
      </c>
    </row>
    <row r="148" hidden="1" ht="15" customHeight="1">
      <c r="B148" s="144" t="inlineStr">
        <is>
          <t>308-9</t>
        </is>
      </c>
      <c r="C148" s="144" t="n"/>
      <c r="D148" s="83" t="n"/>
      <c r="E148" s="83" t="n"/>
      <c r="F148" s="85" t="n">
        <v>0</v>
      </c>
      <c r="G148" s="176">
        <f>SUMIF('Committed Costs '!C:C,B148,'Committed Costs '!G:G)</f>
        <v/>
      </c>
      <c r="H148" s="176">
        <f>SUMIF('Change Orders'!F:F,'Project Detail'!B148,'Change Orders'!E:E)</f>
        <v/>
      </c>
      <c r="I148" s="176">
        <f>SUMIF(Invoices!B:B,B148,Invoices!G:G)</f>
        <v/>
      </c>
      <c r="J148" s="176" t="n">
        <v>0</v>
      </c>
      <c r="K148" s="176">
        <f>I148-J148</f>
        <v/>
      </c>
      <c r="L148" s="171">
        <f>+M148-G148</f>
        <v/>
      </c>
      <c r="M148" s="176" t="n">
        <v>0</v>
      </c>
      <c r="N148" s="176">
        <f>F148-M148</f>
        <v/>
      </c>
      <c r="O148" s="83" t="n"/>
      <c r="Q148" s="171">
        <f>M148-K148</f>
        <v/>
      </c>
      <c r="S148" s="171" t="n"/>
      <c r="T148" s="171" t="n"/>
      <c r="U148" s="171">
        <f>S148+T148</f>
        <v/>
      </c>
      <c r="W148" s="171" t="n"/>
      <c r="X148" s="171" t="n"/>
      <c r="Y148" s="171" t="n"/>
      <c r="Z148" s="171">
        <f>W148+X148+Y148</f>
        <v/>
      </c>
      <c r="AB148" s="171">
        <f>U148+Z148</f>
        <v/>
      </c>
      <c r="AD148" s="171">
        <f>Q148-AB148</f>
        <v/>
      </c>
    </row>
    <row r="149" hidden="1" ht="15" customHeight="1">
      <c r="B149" s="144" t="inlineStr">
        <is>
          <t>308-10</t>
        </is>
      </c>
      <c r="C149" s="144" t="n"/>
      <c r="D149" s="83" t="n"/>
      <c r="E149" s="83" t="n"/>
      <c r="F149" s="85" t="n">
        <v>0</v>
      </c>
      <c r="G149" s="176">
        <f>SUMIF('Committed Costs '!C:C,B149,'Committed Costs '!G:G)</f>
        <v/>
      </c>
      <c r="H149" s="176">
        <f>SUMIF('Change Orders'!F:F,'Project Detail'!B149,'Change Orders'!E:E)</f>
        <v/>
      </c>
      <c r="I149" s="176">
        <f>SUMIF(Invoices!B:B,B149,Invoices!G:G)</f>
        <v/>
      </c>
      <c r="J149" s="176" t="n">
        <v>0</v>
      </c>
      <c r="K149" s="176">
        <f>I149-J149</f>
        <v/>
      </c>
      <c r="L149" s="171">
        <f>+M149-G149</f>
        <v/>
      </c>
      <c r="M149" s="176" t="n">
        <v>0</v>
      </c>
      <c r="N149" s="1016">
        <f>F149-M149</f>
        <v/>
      </c>
      <c r="O149" s="13" t="n"/>
      <c r="Q149" s="171">
        <f>M149-K149</f>
        <v/>
      </c>
      <c r="S149" s="171" t="n"/>
      <c r="T149" s="171" t="n"/>
      <c r="U149" s="171">
        <f>S149+T149</f>
        <v/>
      </c>
      <c r="W149" s="171" t="n"/>
      <c r="X149" s="171" t="n"/>
      <c r="Y149" s="171" t="n"/>
      <c r="Z149" s="171">
        <f>W149+X149+Y149</f>
        <v/>
      </c>
      <c r="AB149" s="171">
        <f>U149+Z149</f>
        <v/>
      </c>
      <c r="AD149" s="171">
        <f>Q149-AB149</f>
        <v/>
      </c>
    </row>
    <row r="150" ht="15" customHeight="1">
      <c r="B150" s="144" t="n"/>
      <c r="C150" s="144" t="n">
        <v>308</v>
      </c>
      <c r="D150" s="205" t="n"/>
      <c r="E150" s="179" t="inlineStr">
        <is>
          <t>Total Operations</t>
        </is>
      </c>
      <c r="F150" s="186">
        <f>SUM(F140:F149)</f>
        <v/>
      </c>
      <c r="G150" s="186">
        <f>SUM(G140:G149)</f>
        <v/>
      </c>
      <c r="H150" s="186">
        <f>SUM(H140:H149)</f>
        <v/>
      </c>
      <c r="I150" s="186">
        <f>SUM(I140:I149)</f>
        <v/>
      </c>
      <c r="J150" s="186">
        <f>SUM(J140:J149)</f>
        <v/>
      </c>
      <c r="K150" s="186">
        <f>SUM(K140:K149)</f>
        <v/>
      </c>
      <c r="L150" s="186">
        <f>SUM(L140:L149)</f>
        <v/>
      </c>
      <c r="M150" s="186">
        <f>SUM(M140:M149)</f>
        <v/>
      </c>
      <c r="N150" s="186">
        <f>SUM(N140:N149)</f>
        <v/>
      </c>
      <c r="O150" s="13" t="n"/>
      <c r="Q150" s="186">
        <f>SUM(Q140:Q149)</f>
        <v/>
      </c>
      <c r="S150" s="186">
        <f>SUM(S140:S149)</f>
        <v/>
      </c>
      <c r="T150" s="186">
        <f>SUM(T140:T149)</f>
        <v/>
      </c>
      <c r="U150" s="186">
        <f>SUM(U140:U149)</f>
        <v/>
      </c>
      <c r="W150" s="186">
        <f>SUM(W140:W149)</f>
        <v/>
      </c>
      <c r="X150" s="186">
        <f>SUM(X140:X149)</f>
        <v/>
      </c>
      <c r="Y150" s="186">
        <f>SUM(Y140:Y149)</f>
        <v/>
      </c>
      <c r="Z150" s="186">
        <f>SUM(Z140:Z149)</f>
        <v/>
      </c>
      <c r="AB150" s="186">
        <f>SUM(AB140:AB149)</f>
        <v/>
      </c>
      <c r="AD150" s="186">
        <f>SUM(AD140:AD149)</f>
        <v/>
      </c>
    </row>
    <row r="151" ht="15" customHeight="1">
      <c r="B151" s="206" t="n">
        <v>309</v>
      </c>
      <c r="C151" s="207" t="n"/>
      <c r="D151" s="208" t="inlineStr">
        <is>
          <t>Production</t>
        </is>
      </c>
      <c r="E151" s="209" t="n"/>
      <c r="F151" s="209" t="n"/>
      <c r="G151" s="209" t="n"/>
      <c r="H151" s="209" t="n"/>
      <c r="I151" s="209" t="n"/>
      <c r="J151" s="209" t="n"/>
      <c r="K151" s="209" t="n"/>
      <c r="L151" s="209" t="n"/>
      <c r="M151" s="209" t="n"/>
      <c r="N151" s="209" t="n"/>
      <c r="O151" s="210" t="n"/>
      <c r="Q151" s="118" t="n"/>
      <c r="S151" s="209" t="n"/>
      <c r="T151" s="209" t="n"/>
      <c r="U151" s="209" t="n"/>
      <c r="W151" s="209" t="n"/>
      <c r="X151" s="209" t="n"/>
      <c r="Y151" s="209" t="n"/>
      <c r="Z151" s="209" t="n"/>
      <c r="AB151" s="209" t="n"/>
      <c r="AD151" s="118" t="n"/>
    </row>
    <row r="152" ht="15" customHeight="1">
      <c r="B152" s="144" t="inlineStr">
        <is>
          <t>309-1</t>
        </is>
      </c>
      <c r="C152" s="144" t="n"/>
      <c r="D152" s="83" t="inlineStr">
        <is>
          <t>TBD</t>
        </is>
      </c>
      <c r="E152" s="83" t="inlineStr">
        <is>
          <t xml:space="preserve">FF&amp;E </t>
        </is>
      </c>
      <c r="F152" s="85">
        <f>'Budget Summary'!D60</f>
        <v/>
      </c>
      <c r="G152" s="176">
        <f>SUMIF('Committed Costs '!C:C,B152,'Committed Costs '!G:G)</f>
        <v/>
      </c>
      <c r="H152" s="176">
        <f>SUMIF('Change Orders'!F:F,'Project Detail'!B152,'Change Orders'!E:E)</f>
        <v/>
      </c>
      <c r="I152" s="176">
        <f>SUMIF(Invoices!B:B,B152,Invoices!G:G)</f>
        <v/>
      </c>
      <c r="J152" s="176" t="n">
        <v>0</v>
      </c>
      <c r="K152" s="176">
        <f>I152-J152</f>
        <v/>
      </c>
      <c r="L152" s="176">
        <f>+M152-G152</f>
        <v/>
      </c>
      <c r="M152" s="176" t="n">
        <v>0</v>
      </c>
      <c r="N152" s="176">
        <f>F152-M152</f>
        <v/>
      </c>
      <c r="O152" s="83" t="n"/>
      <c r="Q152" s="171">
        <f>M152-K152</f>
        <v/>
      </c>
      <c r="S152" s="171" t="n"/>
      <c r="T152" s="171" t="n"/>
      <c r="U152" s="171">
        <f>S152+T152</f>
        <v/>
      </c>
      <c r="W152" s="171" t="n"/>
      <c r="X152" s="171" t="n"/>
      <c r="Y152" s="171" t="n"/>
      <c r="Z152" s="171">
        <f>W152+X152+Y152</f>
        <v/>
      </c>
      <c r="AB152" s="171">
        <f>U152+Z152</f>
        <v/>
      </c>
      <c r="AD152" s="171">
        <f>Q152-AB152</f>
        <v/>
      </c>
    </row>
    <row r="153" ht="15" customHeight="1">
      <c r="B153" s="144" t="inlineStr">
        <is>
          <t>309-2</t>
        </is>
      </c>
      <c r="C153" s="144" t="n"/>
      <c r="D153" s="83" t="inlineStr">
        <is>
          <t>TBD</t>
        </is>
      </c>
      <c r="E153" s="83" t="inlineStr">
        <is>
          <t>Soft Goods</t>
        </is>
      </c>
      <c r="F153" s="85">
        <f>'Budget Summary'!D61</f>
        <v/>
      </c>
      <c r="G153" s="176">
        <f>SUMIF('Committed Costs '!C:C,B153,'Committed Costs '!G:G)</f>
        <v/>
      </c>
      <c r="H153" s="176">
        <f>SUMIF('Change Orders'!F:F,'Project Detail'!B153,'Change Orders'!E:E)</f>
        <v/>
      </c>
      <c r="I153" s="176">
        <f>SUMIF(Invoices!B:B,B153,Invoices!G:G)</f>
        <v/>
      </c>
      <c r="J153" s="176" t="n">
        <v>0</v>
      </c>
      <c r="K153" s="176">
        <f>I153-J153</f>
        <v/>
      </c>
      <c r="L153" s="176">
        <f>+M153-G153</f>
        <v/>
      </c>
      <c r="M153" s="176" t="n">
        <v>0</v>
      </c>
      <c r="N153" s="176">
        <f>F153-M153</f>
        <v/>
      </c>
      <c r="O153" s="83" t="n"/>
      <c r="Q153" s="171">
        <f>M153-K153</f>
        <v/>
      </c>
      <c r="S153" s="171" t="n"/>
      <c r="T153" s="171" t="n"/>
      <c r="U153" s="171">
        <f>S153+T153</f>
        <v/>
      </c>
      <c r="W153" s="171" t="n"/>
      <c r="X153" s="171" t="n"/>
      <c r="Y153" s="171" t="n"/>
      <c r="Z153" s="171">
        <f>W153+X153+Y153</f>
        <v/>
      </c>
      <c r="AB153" s="171">
        <f>U153+Z153</f>
        <v/>
      </c>
      <c r="AD153" s="171">
        <f>Q153-AB153</f>
        <v/>
      </c>
    </row>
    <row r="154" ht="15" customHeight="1">
      <c r="B154" s="144" t="inlineStr">
        <is>
          <t>309-3</t>
        </is>
      </c>
      <c r="C154" s="144" t="n"/>
      <c r="D154" s="83" t="inlineStr">
        <is>
          <t>TBD</t>
        </is>
      </c>
      <c r="E154" s="83" t="inlineStr">
        <is>
          <t>Audio &amp; Video System</t>
        </is>
      </c>
      <c r="F154" s="85">
        <f>'Budget Summary'!D62</f>
        <v/>
      </c>
      <c r="G154" s="176">
        <f>SUMIF('Committed Costs '!C:C,B154,'Committed Costs '!G:G)</f>
        <v/>
      </c>
      <c r="H154" s="176">
        <f>SUMIF('Change Orders'!F:F,'Project Detail'!B154,'Change Orders'!E:E)</f>
        <v/>
      </c>
      <c r="I154" s="176">
        <f>SUMIF(Invoices!B:B,B154,Invoices!G:G)</f>
        <v/>
      </c>
      <c r="J154" s="176" t="n">
        <v>0</v>
      </c>
      <c r="K154" s="176">
        <f>I154-J154</f>
        <v/>
      </c>
      <c r="L154" s="176">
        <f>+M154-G154</f>
        <v/>
      </c>
      <c r="M154" s="176" t="n">
        <v>0</v>
      </c>
      <c r="N154" s="176">
        <f>F154-M154</f>
        <v/>
      </c>
      <c r="O154" s="83" t="n"/>
      <c r="Q154" s="171">
        <f>M154-K154</f>
        <v/>
      </c>
      <c r="S154" s="171" t="n"/>
      <c r="T154" s="171" t="n"/>
      <c r="U154" s="171">
        <f>S154+T154</f>
        <v/>
      </c>
      <c r="W154" s="171" t="n"/>
      <c r="X154" s="171" t="n"/>
      <c r="Y154" s="171" t="n"/>
      <c r="Z154" s="171">
        <f>W154+X154+Y154</f>
        <v/>
      </c>
      <c r="AB154" s="171">
        <f>U154+Z154</f>
        <v/>
      </c>
      <c r="AD154" s="171">
        <f>Q154-AB154</f>
        <v/>
      </c>
    </row>
    <row r="155" ht="15" customHeight="1">
      <c r="B155" s="144" t="inlineStr">
        <is>
          <t>309-4</t>
        </is>
      </c>
      <c r="C155" s="144" t="n"/>
      <c r="D155" s="83" t="inlineStr">
        <is>
          <t>TBD</t>
        </is>
      </c>
      <c r="E155" s="83" t="inlineStr">
        <is>
          <t>Production Lighting</t>
        </is>
      </c>
      <c r="F155" s="85">
        <f>'Budget Summary'!D64</f>
        <v/>
      </c>
      <c r="G155" s="176">
        <f>SUMIF('Committed Costs '!C:C,B155,'Committed Costs '!G:G)</f>
        <v/>
      </c>
      <c r="H155" s="176">
        <f>SUMIF('Change Orders'!F:F,'Project Detail'!B155,'Change Orders'!E:E)</f>
        <v/>
      </c>
      <c r="I155" s="176">
        <f>SUMIF(Invoices!B:B,B155,Invoices!G:G)</f>
        <v/>
      </c>
      <c r="J155" s="176" t="n">
        <v>0</v>
      </c>
      <c r="K155" s="176">
        <f>I155-J155</f>
        <v/>
      </c>
      <c r="L155" s="171">
        <f>+M155-G155</f>
        <v/>
      </c>
      <c r="M155" s="171" t="n">
        <v>0</v>
      </c>
      <c r="N155" s="171">
        <f>F155-M155</f>
        <v/>
      </c>
      <c r="O155" s="83" t="n"/>
      <c r="Q155" s="171">
        <f>M155-K155</f>
        <v/>
      </c>
      <c r="S155" s="171" t="n"/>
      <c r="T155" s="171" t="n"/>
      <c r="U155" s="171">
        <f>S155+T155</f>
        <v/>
      </c>
      <c r="W155" s="171" t="n"/>
      <c r="X155" s="171" t="n"/>
      <c r="Y155" s="171" t="n"/>
      <c r="Z155" s="171">
        <f>W155+X155+Y155</f>
        <v/>
      </c>
      <c r="AB155" s="171">
        <f>U155+Z155</f>
        <v/>
      </c>
      <c r="AD155" s="171">
        <f>Q155-AB155</f>
        <v/>
      </c>
    </row>
    <row r="156" hidden="1" ht="15" customHeight="1">
      <c r="B156" s="144" t="inlineStr">
        <is>
          <t>309-5</t>
        </is>
      </c>
      <c r="C156" s="144" t="n"/>
      <c r="D156" s="154" t="n"/>
      <c r="E156" s="154" t="n"/>
      <c r="F156" s="182" t="n">
        <v>0</v>
      </c>
      <c r="G156" s="171">
        <f>SUMIF('Committed Costs '!C:C,B156,'Committed Costs '!G:G)</f>
        <v/>
      </c>
      <c r="H156" s="171">
        <f>SUMIF('Change Orders'!F:F,'Project Detail'!B156,'Change Orders'!E:E)</f>
        <v/>
      </c>
      <c r="I156" s="171">
        <f>SUMIF(Invoices!B:B,B156,Invoices!G:G)</f>
        <v/>
      </c>
      <c r="J156" s="171" t="n">
        <v>0</v>
      </c>
      <c r="K156" s="171">
        <f>I156-J156</f>
        <v/>
      </c>
      <c r="L156" s="171">
        <f>+M156-G156</f>
        <v/>
      </c>
      <c r="M156" s="171" t="n">
        <v>0</v>
      </c>
      <c r="N156" s="171">
        <f>F156-M156</f>
        <v/>
      </c>
      <c r="O156" s="154" t="n"/>
      <c r="Q156" s="171">
        <f>M156-K156</f>
        <v/>
      </c>
      <c r="S156" s="171" t="n"/>
      <c r="T156" s="171" t="n"/>
      <c r="U156" s="171">
        <f>S156+T156</f>
        <v/>
      </c>
      <c r="W156" s="171" t="n"/>
      <c r="X156" s="171" t="n"/>
      <c r="Y156" s="171" t="n"/>
      <c r="Z156" s="171">
        <f>W156+X156+Y156</f>
        <v/>
      </c>
      <c r="AB156" s="171">
        <f>U156+Z156</f>
        <v/>
      </c>
      <c r="AD156" s="171">
        <f>Q156-AB156</f>
        <v/>
      </c>
    </row>
    <row r="157" hidden="1" ht="15" customHeight="1">
      <c r="B157" s="144" t="inlineStr">
        <is>
          <t>309-6</t>
        </is>
      </c>
      <c r="C157" s="144" t="n"/>
      <c r="D157" s="83" t="n"/>
      <c r="E157" s="83" t="n"/>
      <c r="F157" s="85" t="n">
        <v>0</v>
      </c>
      <c r="G157" s="176">
        <f>SUMIF('Committed Costs '!C:C,B157,'Committed Costs '!G:G)</f>
        <v/>
      </c>
      <c r="H157" s="176">
        <f>SUMIF('Change Orders'!F:F,'Project Detail'!B157,'Change Orders'!E:E)</f>
        <v/>
      </c>
      <c r="I157" s="176">
        <f>SUMIF(Invoices!B:B,B157,Invoices!G:G)</f>
        <v/>
      </c>
      <c r="J157" s="176" t="n">
        <v>0</v>
      </c>
      <c r="K157" s="176">
        <f>I157-J157</f>
        <v/>
      </c>
      <c r="L157" s="1016">
        <f>+M157-G157</f>
        <v/>
      </c>
      <c r="M157" s="176">
        <f>G157</f>
        <v/>
      </c>
      <c r="N157" s="1016">
        <f>F157-M157</f>
        <v/>
      </c>
      <c r="O157" s="83" t="n"/>
      <c r="P157" s="9" t="n"/>
      <c r="Q157" s="171">
        <f>M157-K157</f>
        <v/>
      </c>
      <c r="S157" s="171" t="n"/>
      <c r="T157" s="171" t="n"/>
      <c r="U157" s="171">
        <f>S157+T157</f>
        <v/>
      </c>
      <c r="W157" s="171" t="n"/>
      <c r="X157" s="171" t="n"/>
      <c r="Y157" s="171" t="n"/>
      <c r="Z157" s="171">
        <f>W157+X157+Y157</f>
        <v/>
      </c>
      <c r="AB157" s="171">
        <f>U157+Z157</f>
        <v/>
      </c>
      <c r="AD157" s="171">
        <f>Q157-AB157</f>
        <v/>
      </c>
    </row>
    <row r="158" hidden="1" ht="15" customHeight="1">
      <c r="B158" s="144" t="inlineStr">
        <is>
          <t>309-7</t>
        </is>
      </c>
      <c r="C158" s="144" t="n"/>
      <c r="D158" s="83" t="n"/>
      <c r="E158" s="83" t="n"/>
      <c r="F158" s="85" t="n">
        <v>0</v>
      </c>
      <c r="G158" s="176">
        <f>SUMIF('Committed Costs '!C:C,B158,'Committed Costs '!G:G)</f>
        <v/>
      </c>
      <c r="H158" s="176">
        <f>SUMIF('Change Orders'!F:F,'Project Detail'!B158,'Change Orders'!E:E)</f>
        <v/>
      </c>
      <c r="I158" s="176">
        <f>SUMIF(Invoices!B:B,B158,Invoices!G:G)</f>
        <v/>
      </c>
      <c r="J158" s="176" t="n">
        <v>0</v>
      </c>
      <c r="K158" s="176">
        <f>I158-J158</f>
        <v/>
      </c>
      <c r="L158" s="176">
        <f>+M158-G158</f>
        <v/>
      </c>
      <c r="M158" s="176">
        <f>G158</f>
        <v/>
      </c>
      <c r="N158" s="176">
        <f>F158-M158</f>
        <v/>
      </c>
      <c r="O158" s="83" t="n"/>
      <c r="Q158" s="171">
        <f>M158-K158</f>
        <v/>
      </c>
      <c r="S158" s="176" t="n"/>
      <c r="T158" s="176" t="n"/>
      <c r="U158" s="171">
        <f>S158+T158</f>
        <v/>
      </c>
      <c r="W158" s="176" t="n"/>
      <c r="X158" s="176" t="n"/>
      <c r="Y158" s="176" t="n"/>
      <c r="Z158" s="171">
        <f>W158+X158+Y158</f>
        <v/>
      </c>
      <c r="AB158" s="171">
        <f>U158+Z158</f>
        <v/>
      </c>
      <c r="AD158" s="171">
        <f>Q158-AB158</f>
        <v/>
      </c>
    </row>
    <row r="159" hidden="1" ht="15" customHeight="1">
      <c r="B159" s="144" t="inlineStr">
        <is>
          <t>309-8</t>
        </is>
      </c>
      <c r="C159" s="144" t="n"/>
      <c r="D159" s="83" t="n"/>
      <c r="E159" s="83" t="n"/>
      <c r="F159" s="85" t="n">
        <v>0</v>
      </c>
      <c r="G159" s="176">
        <f>SUMIF('Committed Costs '!C:C,B159,'Committed Costs '!G:G)</f>
        <v/>
      </c>
      <c r="H159" s="176">
        <f>SUMIF('Change Orders'!F:F,'Project Detail'!B159,'Change Orders'!E:E)</f>
        <v/>
      </c>
      <c r="I159" s="176">
        <f>SUMIF(Invoices!B:B,B159,Invoices!G:G)</f>
        <v/>
      </c>
      <c r="J159" s="176" t="n">
        <v>0</v>
      </c>
      <c r="K159" s="176">
        <f>I159-J159</f>
        <v/>
      </c>
      <c r="L159" s="171">
        <f>+M159-G159</f>
        <v/>
      </c>
      <c r="M159" s="171">
        <f>IF((F159+H159)&gt;G159,F159+H159,G159)</f>
        <v/>
      </c>
      <c r="N159" s="171">
        <f>F159-M159</f>
        <v/>
      </c>
      <c r="O159" s="83" t="n"/>
      <c r="Q159" s="171">
        <f>M159-K159</f>
        <v/>
      </c>
      <c r="S159" s="171" t="n"/>
      <c r="T159" s="171" t="n"/>
      <c r="U159" s="171">
        <f>S159+T159</f>
        <v/>
      </c>
      <c r="W159" s="171" t="n"/>
      <c r="X159" s="171" t="n"/>
      <c r="Y159" s="171" t="n"/>
      <c r="Z159" s="171">
        <f>W159+X159+Y159</f>
        <v/>
      </c>
      <c r="AB159" s="171">
        <f>U159+Z159</f>
        <v/>
      </c>
      <c r="AD159" s="171">
        <f>Q159-AB159</f>
        <v/>
      </c>
    </row>
    <row r="160" hidden="1" ht="15" customHeight="1">
      <c r="B160" s="144" t="inlineStr">
        <is>
          <t>309-9</t>
        </is>
      </c>
      <c r="C160" s="144" t="n"/>
      <c r="D160" s="83" t="n"/>
      <c r="E160" s="83" t="n"/>
      <c r="F160" s="85" t="n">
        <v>0</v>
      </c>
      <c r="G160" s="176">
        <f>SUMIF('Committed Costs '!C:C,B160,'Committed Costs '!G:G)</f>
        <v/>
      </c>
      <c r="H160" s="176">
        <f>SUMIF('Change Orders'!F:F,'Project Detail'!B160,'Change Orders'!E:E)</f>
        <v/>
      </c>
      <c r="I160" s="176">
        <f>SUMIF(Invoices!B:B,B160,Invoices!G:G)</f>
        <v/>
      </c>
      <c r="J160" s="176" t="n">
        <v>0</v>
      </c>
      <c r="K160" s="176">
        <f>I160-J160</f>
        <v/>
      </c>
      <c r="L160" s="176">
        <f>+M160-G160</f>
        <v/>
      </c>
      <c r="M160" s="176">
        <f>IF((F160+H160)&gt;G160,F160+H160,G160)</f>
        <v/>
      </c>
      <c r="N160" s="176">
        <f>F160-M160</f>
        <v/>
      </c>
      <c r="O160" s="83" t="n"/>
      <c r="Q160" s="171">
        <f>M160-K160</f>
        <v/>
      </c>
      <c r="S160" s="176" t="n"/>
      <c r="T160" s="176" t="n"/>
      <c r="U160" s="171">
        <f>S160+T160</f>
        <v/>
      </c>
      <c r="W160" s="176" t="n"/>
      <c r="X160" s="176" t="n"/>
      <c r="Y160" s="176" t="n"/>
      <c r="Z160" s="171">
        <f>W160+X160+Y160</f>
        <v/>
      </c>
      <c r="AB160" s="171">
        <f>U160+Z160</f>
        <v/>
      </c>
      <c r="AD160" s="171">
        <f>Q160-AB160</f>
        <v/>
      </c>
    </row>
    <row r="161" hidden="1" ht="15" customHeight="1">
      <c r="B161" s="144" t="inlineStr">
        <is>
          <t>309-10</t>
        </is>
      </c>
      <c r="C161" s="144" t="n"/>
      <c r="D161" s="83" t="n"/>
      <c r="E161" s="83" t="n"/>
      <c r="F161" s="85" t="n">
        <v>0</v>
      </c>
      <c r="G161" s="176">
        <f>SUMIF('Committed Costs '!C:C,B161,'Committed Costs '!G:G)</f>
        <v/>
      </c>
      <c r="H161" s="176">
        <f>SUMIF('Change Orders'!F:F,'Project Detail'!B161,'Change Orders'!E:E)</f>
        <v/>
      </c>
      <c r="I161" s="176">
        <f>SUMIF(Invoices!B:B,B161,Invoices!G:G)</f>
        <v/>
      </c>
      <c r="J161" s="176" t="n">
        <v>0</v>
      </c>
      <c r="K161" s="176">
        <f>I161-J161</f>
        <v/>
      </c>
      <c r="L161" s="171">
        <f>+M161-G161</f>
        <v/>
      </c>
      <c r="M161" s="171" t="n">
        <v>0</v>
      </c>
      <c r="N161" s="171">
        <f>F161-M161</f>
        <v/>
      </c>
      <c r="O161" s="175" t="n"/>
      <c r="Q161" s="171">
        <f>M161-K161</f>
        <v/>
      </c>
      <c r="S161" s="171" t="n"/>
      <c r="T161" s="171" t="n"/>
      <c r="U161" s="171">
        <f>S161+T161</f>
        <v/>
      </c>
      <c r="W161" s="171" t="n"/>
      <c r="X161" s="171" t="n"/>
      <c r="Y161" s="171" t="n"/>
      <c r="Z161" s="171">
        <f>W161+X161+Y161</f>
        <v/>
      </c>
      <c r="AB161" s="171">
        <f>U161+Z161</f>
        <v/>
      </c>
      <c r="AD161" s="171">
        <f>Q161-AB161</f>
        <v/>
      </c>
    </row>
    <row r="162" hidden="1" ht="15" customHeight="1">
      <c r="B162" s="144" t="inlineStr">
        <is>
          <t>309-11</t>
        </is>
      </c>
      <c r="C162" s="144" t="n"/>
      <c r="D162" s="83" t="n"/>
      <c r="E162" s="83" t="n"/>
      <c r="F162" s="85" t="n">
        <v>0</v>
      </c>
      <c r="G162" s="176">
        <f>SUMIF('Committed Costs '!C:C,B162,'Committed Costs '!G:G)</f>
        <v/>
      </c>
      <c r="H162" s="176">
        <f>SUMIF('Change Orders'!F:F,'Project Detail'!B162,'Change Orders'!E:E)</f>
        <v/>
      </c>
      <c r="I162" s="176">
        <f>SUMIF(Invoices!B:B,B162,Invoices!G:G)</f>
        <v/>
      </c>
      <c r="J162" s="176" t="n">
        <v>0</v>
      </c>
      <c r="K162" s="176">
        <f>I162-J162</f>
        <v/>
      </c>
      <c r="L162" s="171">
        <f>+M162-G162</f>
        <v/>
      </c>
      <c r="M162" s="171" t="n">
        <v>0</v>
      </c>
      <c r="N162" s="171">
        <f>F162-M162</f>
        <v/>
      </c>
      <c r="O162" s="83" t="n"/>
      <c r="Q162" s="171">
        <f>M162-K162</f>
        <v/>
      </c>
      <c r="S162" s="171" t="n"/>
      <c r="T162" s="171" t="n"/>
      <c r="U162" s="171">
        <f>S162+T162</f>
        <v/>
      </c>
      <c r="W162" s="171" t="n"/>
      <c r="X162" s="171" t="n"/>
      <c r="Y162" s="171" t="n"/>
      <c r="Z162" s="171">
        <f>W162+X162+Y162</f>
        <v/>
      </c>
      <c r="AB162" s="171">
        <f>U162+Z162</f>
        <v/>
      </c>
      <c r="AD162" s="171">
        <f>Q162-AB162</f>
        <v/>
      </c>
    </row>
    <row r="163" hidden="1" ht="15" customHeight="1">
      <c r="B163" s="144" t="inlineStr">
        <is>
          <t>309-12</t>
        </is>
      </c>
      <c r="C163" s="144" t="n"/>
      <c r="D163" s="83" t="n"/>
      <c r="E163" s="83" t="n"/>
      <c r="F163" s="85" t="n">
        <v>0</v>
      </c>
      <c r="G163" s="176">
        <f>SUMIF('Committed Costs '!C:C,B163,'Committed Costs '!G:G)</f>
        <v/>
      </c>
      <c r="H163" s="176">
        <f>SUMIF('Change Orders'!F:F,'Project Detail'!B163,'Change Orders'!E:E)</f>
        <v/>
      </c>
      <c r="I163" s="176">
        <f>SUMIF(Invoices!B:B,B163,Invoices!G:G)</f>
        <v/>
      </c>
      <c r="J163" s="176" t="n">
        <v>0</v>
      </c>
      <c r="K163" s="176">
        <f>I163-J163</f>
        <v/>
      </c>
      <c r="L163" s="171">
        <f>+M163-G163</f>
        <v/>
      </c>
      <c r="M163" s="171">
        <f>IF((F163+H163)&gt;G163,F163+H163,G163)</f>
        <v/>
      </c>
      <c r="N163" s="1017">
        <f>F163-M163</f>
        <v/>
      </c>
      <c r="O163" s="83" t="n"/>
      <c r="Q163" s="171">
        <f>M163-K163</f>
        <v/>
      </c>
      <c r="S163" s="171" t="n"/>
      <c r="T163" s="171" t="n"/>
      <c r="U163" s="171">
        <f>S163+T163</f>
        <v/>
      </c>
      <c r="W163" s="171" t="n"/>
      <c r="X163" s="171" t="n"/>
      <c r="Y163" s="171" t="n"/>
      <c r="Z163" s="171">
        <f>W163+X163+Y163</f>
        <v/>
      </c>
      <c r="AB163" s="171">
        <f>U163+Z163</f>
        <v/>
      </c>
      <c r="AD163" s="171">
        <f>Q163-AB163</f>
        <v/>
      </c>
    </row>
    <row r="164" hidden="1" ht="15" customHeight="1">
      <c r="B164" s="231" t="inlineStr">
        <is>
          <t>309-13</t>
        </is>
      </c>
      <c r="C164" s="231" t="n"/>
      <c r="D164" s="232" t="n"/>
      <c r="E164" s="232" t="n"/>
      <c r="F164" s="85" t="n">
        <v>0</v>
      </c>
      <c r="G164" s="176">
        <f>SUMIF('Committed Costs '!C:C,B164,'Committed Costs '!G:G)</f>
        <v/>
      </c>
      <c r="H164" s="176">
        <f>SUMIF('Change Orders'!F:F,'Project Detail'!B164,'Change Orders'!E:E)</f>
        <v/>
      </c>
      <c r="I164" s="176">
        <f>SUMIF(Invoices!B:B,B164,Invoices!G:G)</f>
        <v/>
      </c>
      <c r="J164" s="176" t="n">
        <v>0</v>
      </c>
      <c r="K164" s="176">
        <f>I164-J164</f>
        <v/>
      </c>
      <c r="L164" s="171">
        <f>+M164-G164</f>
        <v/>
      </c>
      <c r="M164" s="171">
        <f>IF((F164+H164)&gt;G164,F164+H164,G164)</f>
        <v/>
      </c>
      <c r="N164" s="171">
        <f>F164-M164</f>
        <v/>
      </c>
      <c r="O164" s="233" t="n"/>
      <c r="P164" s="32" t="n"/>
      <c r="Q164" s="171">
        <f>M164-K164</f>
        <v/>
      </c>
      <c r="S164" s="171" t="n"/>
      <c r="T164" s="171" t="n"/>
      <c r="U164" s="171">
        <f>S164+T164</f>
        <v/>
      </c>
      <c r="W164" s="171" t="n"/>
      <c r="X164" s="171" t="n"/>
      <c r="Y164" s="171" t="n"/>
      <c r="Z164" s="171">
        <f>W164+X164+Y164</f>
        <v/>
      </c>
      <c r="AB164" s="171">
        <f>U164+Z164</f>
        <v/>
      </c>
      <c r="AD164" s="171">
        <f>Q164-AB164</f>
        <v/>
      </c>
    </row>
    <row r="165" hidden="1" ht="15" customHeight="1">
      <c r="B165" s="144" t="inlineStr">
        <is>
          <t>309-14</t>
        </is>
      </c>
      <c r="C165" s="144" t="n"/>
      <c r="D165" s="83" t="n"/>
      <c r="E165" s="83" t="n"/>
      <c r="F165" s="37" t="n">
        <v>0</v>
      </c>
      <c r="G165" s="38">
        <f>SUMIF('Committed Costs '!C:C,B165,'Committed Costs '!G:G)</f>
        <v/>
      </c>
      <c r="H165" s="38">
        <f>SUMIF('Change Orders'!F:F,'Project Detail'!B165,'Change Orders'!E:E)</f>
        <v/>
      </c>
      <c r="I165" s="38">
        <f>SUMIF(Invoices!B:B,B165,Invoices!G:G)</f>
        <v/>
      </c>
      <c r="J165" s="38" t="n">
        <v>0</v>
      </c>
      <c r="K165" s="38">
        <f>I165-J165</f>
        <v/>
      </c>
      <c r="L165" s="218">
        <f>+M165-G165</f>
        <v/>
      </c>
      <c r="M165" s="218">
        <f>IF((F165+H165)&gt;G165,F165+H165,G165)</f>
        <v/>
      </c>
      <c r="N165" s="218">
        <f>F165-M165</f>
        <v/>
      </c>
      <c r="O165" s="83" t="n"/>
      <c r="Q165" s="171">
        <f>M165-K165</f>
        <v/>
      </c>
      <c r="S165" s="171" t="n"/>
      <c r="T165" s="171" t="n"/>
      <c r="U165" s="171">
        <f>S165+T165</f>
        <v/>
      </c>
      <c r="W165" s="171" t="n"/>
      <c r="X165" s="171" t="n"/>
      <c r="Y165" s="171" t="n"/>
      <c r="Z165" s="171">
        <f>W165+X165+Y165</f>
        <v/>
      </c>
      <c r="AB165" s="171">
        <f>U165+Z165</f>
        <v/>
      </c>
      <c r="AD165" s="171">
        <f>Q165-AB165</f>
        <v/>
      </c>
    </row>
    <row r="166" ht="15" customHeight="1">
      <c r="B166" s="144" t="n"/>
      <c r="C166" s="144" t="n">
        <v>309</v>
      </c>
      <c r="D166" s="205" t="n"/>
      <c r="E166" s="179" t="inlineStr">
        <is>
          <t>Total Production</t>
        </is>
      </c>
      <c r="F166" s="186">
        <f>SUM(F152:F165)</f>
        <v/>
      </c>
      <c r="G166" s="186">
        <f>SUM(G152:G165)</f>
        <v/>
      </c>
      <c r="H166" s="186">
        <f>SUM(H152:H165)</f>
        <v/>
      </c>
      <c r="I166" s="186">
        <f>SUM(I152:I165)</f>
        <v/>
      </c>
      <c r="J166" s="186">
        <f>SUM(J152:J165)</f>
        <v/>
      </c>
      <c r="K166" s="186">
        <f>SUM(K152:K165)</f>
        <v/>
      </c>
      <c r="L166" s="186">
        <f>SUM(L152:L165)</f>
        <v/>
      </c>
      <c r="M166" s="186">
        <f>SUM(M152:M165)</f>
        <v/>
      </c>
      <c r="N166" s="186">
        <f>SUM(N152:N165)</f>
        <v/>
      </c>
      <c r="O166" s="83" t="n"/>
      <c r="Q166" s="186">
        <f>SUM(Q152:Q165)</f>
        <v/>
      </c>
      <c r="S166" s="186">
        <f>SUM(S152:S165)</f>
        <v/>
      </c>
      <c r="T166" s="186">
        <f>SUM(T152:T165)</f>
        <v/>
      </c>
      <c r="U166" s="186">
        <f>SUM(U152:U165)</f>
        <v/>
      </c>
      <c r="W166" s="186">
        <f>SUM(W152:W165)</f>
        <v/>
      </c>
      <c r="X166" s="186">
        <f>SUM(X152:X165)</f>
        <v/>
      </c>
      <c r="Y166" s="186">
        <f>SUM(Y152:Y165)</f>
        <v/>
      </c>
      <c r="Z166" s="186">
        <f>SUM(Z152:Z165)</f>
        <v/>
      </c>
      <c r="AB166" s="186">
        <f>SUM(AB152:AB165)</f>
        <v/>
      </c>
      <c r="AD166" s="186">
        <f>SUM(AD152:AD165)</f>
        <v/>
      </c>
      <c r="AE166" s="32" t="n"/>
    </row>
    <row r="167" ht="3.75" customHeight="1">
      <c r="B167" s="192" t="n"/>
      <c r="C167" s="193" t="n"/>
      <c r="D167" s="194" t="n"/>
      <c r="E167" s="193" t="n"/>
      <c r="F167" s="193" t="n"/>
      <c r="G167" s="193" t="n"/>
      <c r="H167" s="193" t="n"/>
      <c r="I167" s="193" t="n"/>
      <c r="J167" s="193" t="n"/>
      <c r="K167" s="193" t="n"/>
      <c r="L167" s="193" t="n"/>
      <c r="M167" s="193" t="n"/>
      <c r="N167" s="193" t="n"/>
      <c r="O167" s="195" t="n"/>
      <c r="Q167" s="193" t="n"/>
      <c r="S167" s="193" t="n"/>
      <c r="T167" s="193" t="n"/>
      <c r="U167" s="193" t="n"/>
      <c r="W167" s="193" t="n"/>
      <c r="X167" s="193" t="n"/>
      <c r="Y167" s="193" t="n"/>
      <c r="Z167" s="193" t="n"/>
      <c r="AB167" s="193" t="n"/>
      <c r="AD167" s="193" t="n"/>
    </row>
    <row r="168">
      <c r="B168" s="168" t="n"/>
      <c r="C168" s="167" t="n"/>
      <c r="D168" s="166" t="n"/>
      <c r="E168" s="196" t="inlineStr">
        <is>
          <t>TOTAL FF&amp;E COSTS</t>
        </is>
      </c>
      <c r="F168" s="186">
        <f>SUM(F82,F88,F92,F99,F118,F130,F138,F150,F166)</f>
        <v/>
      </c>
      <c r="G168" s="186">
        <f>SUM(G82,G88,G92,G99,G118,G130,G138,G150,G166)</f>
        <v/>
      </c>
      <c r="H168" s="186">
        <f>SUM(H82,H88,H92,H99,H118,H130,H138,H150,H166)</f>
        <v/>
      </c>
      <c r="I168" s="186">
        <f>SUM(I82,I88,I92,I99,I118,I130,I138,I150,I166)</f>
        <v/>
      </c>
      <c r="J168" s="186">
        <f>SUM(J82,J88,J92,J99,J118,J130,J138,J150,J166)</f>
        <v/>
      </c>
      <c r="K168" s="186">
        <f>SUM(K82,K88,K92,K99,K118,K130,K138,K150,K166)</f>
        <v/>
      </c>
      <c r="L168" s="186">
        <f>SUM(L82,L88,L92,L99,L118,L130,L138,L150,L166)</f>
        <v/>
      </c>
      <c r="M168" s="186">
        <f>SUM(M82,M88,M92,M99,M118,M130,M138,M150,M166)</f>
        <v/>
      </c>
      <c r="N168" s="186">
        <f>SUM(N82,N88,N92,N99,N118,N130,N138,N150,N166)</f>
        <v/>
      </c>
      <c r="O168" s="13" t="n"/>
      <c r="Q168" s="186">
        <f>SUM(Q82,Q88,Q92,Q99,Q118,Q130,Q138,Q150,Q166)</f>
        <v/>
      </c>
      <c r="S168" s="186">
        <f>SUM(S82,S88,S92,S99,S118,S130,S138,S150,S166)</f>
        <v/>
      </c>
      <c r="T168" s="186">
        <f>SUM(T82,T88,T92,T99,T118,T130,T138,T150,T166)</f>
        <v/>
      </c>
      <c r="U168" s="186">
        <f>SUM(U82,U88,U92,U99,U118,U130,U138,U150,U166)</f>
        <v/>
      </c>
      <c r="W168" s="186">
        <f>SUM(W82,W88,W92,W99,W118,W130,W138,W150,W166)</f>
        <v/>
      </c>
      <c r="X168" s="186">
        <f>SUM(X82,X88,X92,X99,X118,X130,X138,X150,X166)</f>
        <v/>
      </c>
      <c r="Y168" s="186">
        <f>SUM(Y82,Y88,Y92,Y99,Y118,Y130,Y138,Y150,Y166)</f>
        <v/>
      </c>
      <c r="Z168" s="186">
        <f>SUM(Z82,Z88,Z92,Z99,Z118,Z130,Z138,Z150,Z166)</f>
        <v/>
      </c>
      <c r="AB168" s="186">
        <f>SUM(AB82,AB88,AB92,AB99,AB118,AB130,AB138,AB150,AB166)</f>
        <v/>
      </c>
      <c r="AD168" s="186">
        <f>SUM(AD82,AD88,AD92,AD99,AD118,AD130,AD138,AD150,AD166)</f>
        <v/>
      </c>
      <c r="AE168" s="32" t="n"/>
    </row>
    <row r="169" ht="15" customHeight="1" thickBot="1">
      <c r="B169" s="113" t="n"/>
      <c r="C169" s="113" t="n"/>
      <c r="D169" s="114" t="n"/>
      <c r="E169" s="84" t="n"/>
      <c r="F169" s="52" t="n"/>
      <c r="G169" s="52" t="n"/>
      <c r="H169" s="52" t="n"/>
      <c r="I169" s="52" t="n"/>
      <c r="J169" s="52" t="n"/>
      <c r="K169" s="52" t="n"/>
      <c r="L169" s="52" t="n"/>
      <c r="M169" s="52" t="n"/>
      <c r="N169" s="52" t="n"/>
      <c r="Q169" s="52" t="n"/>
      <c r="S169" s="52" t="n"/>
      <c r="T169" s="52" t="n"/>
      <c r="U169" s="52" t="n"/>
      <c r="W169" s="52" t="n"/>
      <c r="X169" s="52" t="n"/>
      <c r="Y169" s="52" t="n"/>
      <c r="Z169" s="52" t="n"/>
      <c r="AB169" s="52" t="n"/>
      <c r="AD169" s="52" t="n"/>
    </row>
    <row r="170" ht="15" customHeight="1" thickBot="1">
      <c r="B170" s="60" t="n">
        <v>400</v>
      </c>
      <c r="C170" s="63" t="n"/>
      <c r="D170" s="1020" t="inlineStr">
        <is>
          <t>Contingency</t>
        </is>
      </c>
      <c r="E170" s="1013" t="n"/>
      <c r="F170" s="199">
        <f>'Budget Summary'!D67</f>
        <v/>
      </c>
      <c r="G170" s="52" t="n"/>
      <c r="H170" s="52" t="n"/>
      <c r="I170" s="52" t="n"/>
      <c r="J170" s="52" t="n"/>
      <c r="K170" s="52" t="n"/>
      <c r="L170" s="52" t="n"/>
      <c r="M170" s="52" t="n"/>
      <c r="N170" s="52" t="n"/>
      <c r="S170" s="52" t="n"/>
      <c r="T170" s="52" t="n"/>
      <c r="U170" s="52" t="n"/>
      <c r="W170" s="52" t="n"/>
      <c r="X170" s="52" t="n"/>
      <c r="Y170" s="52" t="n"/>
      <c r="Z170" s="52" t="n"/>
      <c r="AB170" s="52" t="n"/>
      <c r="AD170" s="52" t="n"/>
    </row>
    <row r="171" ht="15" customHeight="1">
      <c r="B171" s="135" t="n"/>
      <c r="C171" s="135" t="n"/>
      <c r="D171" s="136" t="n"/>
      <c r="E171" s="136" t="n"/>
      <c r="F171" s="52" t="n"/>
      <c r="G171" s="52" t="n"/>
      <c r="H171" s="52" t="n"/>
      <c r="I171" s="52" t="n"/>
      <c r="J171" s="52" t="n"/>
      <c r="K171" s="52" t="n"/>
      <c r="L171" s="52" t="n"/>
      <c r="M171" s="52" t="n"/>
      <c r="N171" s="52" t="n"/>
      <c r="Q171" s="52" t="n"/>
      <c r="S171" s="52" t="n"/>
      <c r="T171" s="52" t="n"/>
      <c r="U171" s="52" t="n"/>
      <c r="W171" s="52" t="n"/>
      <c r="X171" s="52" t="n"/>
      <c r="Y171" s="52" t="n"/>
      <c r="Z171" s="52" t="n"/>
      <c r="AB171" s="52" t="n"/>
      <c r="AD171" s="52" t="n"/>
    </row>
    <row r="172" ht="15" customHeight="1">
      <c r="B172" s="135" t="n"/>
      <c r="C172" s="135" t="n"/>
      <c r="D172" s="136" t="n"/>
      <c r="E172" s="136" t="n"/>
      <c r="F172" s="52" t="n"/>
      <c r="G172" s="52" t="n"/>
      <c r="H172" s="52" t="n"/>
      <c r="I172" s="52" t="n"/>
      <c r="J172" s="52" t="n"/>
      <c r="K172" s="52" t="n"/>
      <c r="L172" s="52" t="n"/>
      <c r="M172" s="52" t="n"/>
      <c r="N172" s="52" t="n"/>
      <c r="Q172" s="52" t="n"/>
      <c r="S172" s="52" t="n"/>
      <c r="T172" s="52" t="n"/>
      <c r="U172" s="52" t="n"/>
      <c r="W172" s="52" t="n"/>
      <c r="X172" s="52" t="n"/>
      <c r="Y172" s="52" t="n"/>
      <c r="Z172" s="52" t="n"/>
      <c r="AB172" s="52" t="n"/>
      <c r="AD172" s="52" t="n"/>
    </row>
    <row r="173" ht="20" customHeight="1" thickBot="1">
      <c r="E173" s="137" t="inlineStr">
        <is>
          <t>TOTALS</t>
        </is>
      </c>
      <c r="F173" s="133">
        <f>SUM(F30,F59,F168,F170)</f>
        <v/>
      </c>
      <c r="G173" s="133">
        <f>SUM(G30,G59,G168+G170)</f>
        <v/>
      </c>
      <c r="H173" s="133">
        <f>SUM(H30,H59,H168+H170)</f>
        <v/>
      </c>
      <c r="I173" s="133">
        <f>SUM(I30,I59,I168+I170)</f>
        <v/>
      </c>
      <c r="J173" s="133">
        <f>SUM(J30,J59,J168+J170)</f>
        <v/>
      </c>
      <c r="K173" s="133">
        <f>SUM(K30,K59,K168+K170)</f>
        <v/>
      </c>
      <c r="L173" s="133">
        <f>SUM(L30,L59,L168)</f>
        <v/>
      </c>
      <c r="M173" s="133">
        <f>SUM(M30,M59,M168)</f>
        <v/>
      </c>
      <c r="N173" s="133">
        <f>SUM(N30,N59,N168)</f>
        <v/>
      </c>
      <c r="O173" s="132" t="n"/>
      <c r="Q173" s="217">
        <f>SUM(Q30,Q59,Q168)</f>
        <v/>
      </c>
      <c r="S173" s="217">
        <f>SUM(S30,S59,S168+S170)</f>
        <v/>
      </c>
      <c r="T173" s="217">
        <f>SUM(T30,T59,T168+T170)</f>
        <v/>
      </c>
      <c r="U173" s="217">
        <f>SUM(U30,U59,U168+U170)</f>
        <v/>
      </c>
      <c r="W173" s="217">
        <f>SUM(W30,W59,W168+W170)</f>
        <v/>
      </c>
      <c r="X173" s="217">
        <f>SUM(X30,X59,X168+X170)</f>
        <v/>
      </c>
      <c r="Y173" s="217">
        <f>SUM(Y30,Y59,Y168+Y170)</f>
        <v/>
      </c>
      <c r="Z173" s="217">
        <f>SUM(Z30,Z59,Z168+Z170)</f>
        <v/>
      </c>
      <c r="AB173" s="217">
        <f>SUM(AB30,AB59,AB168+AB170)</f>
        <v/>
      </c>
      <c r="AD173" s="217">
        <f>SUM(AD30,AD59,AD168)</f>
        <v/>
      </c>
    </row>
    <row r="174" ht="16" customHeight="1">
      <c r="E174" s="51" t="n"/>
      <c r="H174" s="49" t="n"/>
    </row>
    <row r="175" outlineLevel="1">
      <c r="B175" s="1" t="n"/>
      <c r="C175" s="1" t="n"/>
      <c r="E175" s="392" t="inlineStr">
        <is>
          <t>Test (Must be True)</t>
        </is>
      </c>
      <c r="F175" s="1021">
        <f>F173='Budget Summary'!D69</f>
        <v/>
      </c>
    </row>
    <row r="176">
      <c r="L176" s="32" t="n"/>
    </row>
    <row r="177" ht="20" customHeight="1" thickBot="1">
      <c r="N177" s="224" t="inlineStr">
        <is>
          <t>Remaining Contingency Balance</t>
        </is>
      </c>
      <c r="O177" s="222" t="n"/>
      <c r="P177" s="222" t="n"/>
      <c r="Q177" s="217">
        <f>Contingency!G9</f>
        <v/>
      </c>
      <c r="S177" s="217" t="n">
        <v>0</v>
      </c>
      <c r="T177" s="217" t="n">
        <v>0</v>
      </c>
      <c r="U177" s="217">
        <f>S177+T177</f>
        <v/>
      </c>
      <c r="W177" s="217" t="n">
        <v>0</v>
      </c>
      <c r="X177" s="217" t="n">
        <v>0</v>
      </c>
      <c r="Y177" s="217" t="n">
        <v>0</v>
      </c>
      <c r="Z177" s="217">
        <f>W177+X177+Y177</f>
        <v/>
      </c>
      <c r="AB177" s="217">
        <f>U177+Z177</f>
        <v/>
      </c>
      <c r="AD177" s="217">
        <f>Q177-AB177</f>
        <v/>
      </c>
    </row>
    <row r="178" ht="16" customHeight="1">
      <c r="N178" s="225" t="n"/>
    </row>
    <row r="179" ht="16" customHeight="1">
      <c r="N179" s="225" t="n"/>
    </row>
    <row r="180" ht="20" customHeight="1" thickBot="1">
      <c r="L180" s="32" t="n"/>
      <c r="N180" s="224" t="inlineStr">
        <is>
          <t>GRAND TOTALS</t>
        </is>
      </c>
      <c r="O180" s="222" t="n"/>
      <c r="P180" s="222" t="n"/>
      <c r="Q180" s="217">
        <f>Q173+Q177</f>
        <v/>
      </c>
      <c r="S180" s="217">
        <f>S173+S177</f>
        <v/>
      </c>
      <c r="T180" s="217">
        <f>T173+T177</f>
        <v/>
      </c>
      <c r="U180" s="217">
        <f>U173+U177</f>
        <v/>
      </c>
      <c r="W180" s="217">
        <f>W173+W177</f>
        <v/>
      </c>
      <c r="X180" s="217">
        <f>X173+X177</f>
        <v/>
      </c>
      <c r="Y180" s="217">
        <f>Y173+Y177</f>
        <v/>
      </c>
      <c r="Z180" s="217">
        <f>Z173+Z177</f>
        <v/>
      </c>
      <c r="AB180" s="217">
        <f>AB173+AB177</f>
        <v/>
      </c>
      <c r="AD180" s="217">
        <f>AD173+AD177</f>
        <v/>
      </c>
    </row>
  </sheetData>
  <autoFilter ref="B3:O173"/>
  <mergeCells count="1">
    <mergeCell ref="D170:E170"/>
  </mergeCells>
  <pageMargins left="0.7" right="0.7" top="0.75" bottom="0.75" header="0.3" footer="0.3"/>
  <pageSetup orientation="landscape" scale="48" fitToHeight="2"/>
  <headerFooter>
    <oddHeader>&amp;C&amp;"-,Bold"&amp;14 Project Detail</oddHeader>
    <oddFooter>&amp;CHouston Terminal_x000a_Page &amp;P of &amp;N</oddFooter>
    <evenHeader/>
    <evenFooter/>
    <firstHeader/>
    <firstFooter/>
  </headerFooter>
</worksheet>
</file>

<file path=xl/worksheets/sheet10.xml><?xml version="1.0" encoding="utf-8"?>
<worksheet xmlns="http://schemas.openxmlformats.org/spreadsheetml/2006/main">
  <sheetPr codeName="Sheet4">
    <tabColor rgb="FFFF0000"/>
    <outlinePr summaryBelow="1" summaryRight="1"/>
    <pageSetUpPr fitToPage="1"/>
  </sheetPr>
  <dimension ref="B2:Q16"/>
  <sheetViews>
    <sheetView zoomScale="115" zoomScaleNormal="115" workbookViewId="0">
      <pane xSplit="1" ySplit="3" topLeftCell="B4" activePane="bottomRight" state="frozen"/>
      <selection activeCell="G15" sqref="G15"/>
      <selection pane="topRight" activeCell="G15" sqref="G15"/>
      <selection pane="bottomLeft" activeCell="G15" sqref="G15"/>
      <selection pane="bottomRight" activeCell="G9" sqref="G9"/>
    </sheetView>
  </sheetViews>
  <sheetFormatPr baseColWidth="10" defaultColWidth="9.5" defaultRowHeight="15"/>
  <cols>
    <col width="1.6640625" customWidth="1" style="1" min="1" max="1"/>
    <col width="15.5" customWidth="1" style="70" min="2" max="2"/>
    <col width="14.33203125" customWidth="1" style="1" min="3" max="3"/>
    <col width="38.1640625" bestFit="1" customWidth="1" style="66" min="4" max="4"/>
    <col width="58.5" bestFit="1" customWidth="1" style="66" min="5" max="5"/>
    <col width="36.1640625" bestFit="1" customWidth="1" style="70" min="6" max="6"/>
    <col width="18.5" bestFit="1" customWidth="1" style="73" min="7" max="7"/>
    <col outlineLevel="1" width="43.33203125" customWidth="1" style="1" min="8" max="8"/>
    <col width="14.6640625" customWidth="1" style="1" min="9" max="9"/>
    <col width="25" customWidth="1" style="1" min="10" max="10"/>
    <col width="12.33203125" customWidth="1" style="1" min="11" max="11"/>
    <col width="15.83203125" customWidth="1" style="1" min="12" max="12"/>
    <col width="11.83203125" customWidth="1" style="1" min="13" max="13"/>
    <col width="9.5" customWidth="1" style="1" min="14" max="16"/>
    <col width="9.5" customWidth="1" style="1" min="17" max="16384"/>
  </cols>
  <sheetData>
    <row r="1" ht="11.25" customHeight="1"/>
    <row r="2" ht="19.5" customHeight="1">
      <c r="B2" s="1022" t="inlineStr">
        <is>
          <t>Committed Costs</t>
        </is>
      </c>
      <c r="C2" s="1023" t="n"/>
      <c r="D2" s="1023" t="n"/>
      <c r="E2" s="1023" t="n"/>
      <c r="F2" s="1023" t="n"/>
      <c r="G2" s="1023" t="n"/>
      <c r="H2" s="1024" t="n"/>
    </row>
    <row r="3" customFormat="1" s="2">
      <c r="B3" s="61" t="inlineStr">
        <is>
          <t>Executed Date</t>
        </is>
      </c>
      <c r="C3" s="61" t="inlineStr">
        <is>
          <t>Cost Code</t>
        </is>
      </c>
      <c r="D3" s="61" t="inlineStr">
        <is>
          <t>Vendor</t>
        </is>
      </c>
      <c r="E3" s="61" t="inlineStr">
        <is>
          <t>Description</t>
        </is>
      </c>
      <c r="F3" s="61" t="inlineStr">
        <is>
          <t>P.O. Number</t>
        </is>
      </c>
      <c r="G3" s="69" t="inlineStr">
        <is>
          <t xml:space="preserve"> Contract Value </t>
        </is>
      </c>
      <c r="H3" s="69" t="inlineStr">
        <is>
          <t>Notes</t>
        </is>
      </c>
      <c r="I3" s="1" t="n"/>
      <c r="J3" s="1" t="n"/>
      <c r="K3" s="1" t="n"/>
      <c r="L3" s="1" t="n"/>
      <c r="M3" s="1" t="n"/>
      <c r="N3" s="1" t="n"/>
      <c r="O3" s="1" t="n"/>
      <c r="P3" s="1" t="n"/>
      <c r="Q3" s="1" t="n"/>
    </row>
    <row r="4">
      <c r="B4" s="147" t="n"/>
      <c r="C4" s="148" t="n"/>
      <c r="D4" s="139" t="n"/>
      <c r="E4" s="139" t="n"/>
      <c r="F4" s="139" t="n"/>
      <c r="G4" s="149" t="n"/>
      <c r="H4" s="13" t="n"/>
    </row>
    <row r="5">
      <c r="B5" s="147" t="n"/>
      <c r="C5" s="148" t="n"/>
      <c r="D5" s="139" t="n"/>
      <c r="E5" s="139" t="n"/>
      <c r="F5" s="139" t="n"/>
      <c r="G5" s="149" t="n"/>
      <c r="H5" s="13" t="n"/>
    </row>
    <row r="6">
      <c r="B6" s="147" t="n"/>
      <c r="C6" s="148" t="n"/>
      <c r="D6" s="139" t="n"/>
      <c r="E6" s="139" t="n"/>
      <c r="F6" s="139" t="n"/>
      <c r="G6" s="149" t="n"/>
      <c r="H6" s="13" t="n"/>
    </row>
    <row r="8">
      <c r="B8" s="97" t="n"/>
      <c r="C8" s="2" t="n"/>
      <c r="F8" s="134" t="n"/>
      <c r="G8" s="73" t="n"/>
    </row>
    <row r="9" ht="16" customHeight="1">
      <c r="F9" s="27" t="inlineStr">
        <is>
          <t>Total Commitments</t>
        </is>
      </c>
      <c r="G9" s="75">
        <f>SUBTOTAL(9,G4:G6)</f>
        <v/>
      </c>
      <c r="H9" s="73" t="n"/>
      <c r="I9" s="109" t="n"/>
      <c r="J9" s="109" t="n"/>
      <c r="K9" s="109" t="n"/>
    </row>
    <row r="10" ht="16" customHeight="1">
      <c r="C10" s="28" t="n"/>
      <c r="G10" s="122">
        <f>G9='Project At-a-Glance'!D25</f>
        <v/>
      </c>
      <c r="H10" s="109" t="n"/>
      <c r="I10" s="219" t="n"/>
    </row>
    <row r="11">
      <c r="H11" s="109" t="n"/>
    </row>
    <row r="12">
      <c r="H12" s="109" t="n"/>
    </row>
    <row r="16">
      <c r="D16" s="1" t="n"/>
      <c r="E16" s="1" t="n"/>
      <c r="F16" s="1" t="n"/>
      <c r="G16" s="229" t="n"/>
    </row>
  </sheetData>
  <autoFilter ref="B3:H6"/>
  <mergeCells count="1">
    <mergeCell ref="B2:H2"/>
  </mergeCells>
  <pageMargins left="0.7" right="0.7" top="0.75" bottom="0.75" header="0.3" footer="0.3"/>
  <pageSetup orientation="landscape" scale="73"/>
  <headerFooter>
    <oddHeader>&amp;C&amp;"-,Bold"&amp;14 Committed Costs</oddHeader>
    <oddFooter>&amp;CDallas Venue_x000a_Page &amp;P of &amp;N</oddFooter>
    <evenHeader/>
    <evenFooter/>
    <firstHeader/>
    <firstFooter/>
  </headerFooter>
  <rowBreaks count="1" manualBreakCount="1">
    <brk id="9" min="0" max="7" man="1"/>
  </rowBreaks>
</worksheet>
</file>

<file path=xl/worksheets/sheet11.xml><?xml version="1.0" encoding="utf-8"?>
<worksheet xmlns="http://schemas.openxmlformats.org/spreadsheetml/2006/main">
  <sheetPr codeName="Sheet6">
    <tabColor rgb="FFFF0000"/>
    <outlinePr summaryBelow="1" summaryRight="1"/>
    <pageSetUpPr fitToPage="1"/>
  </sheetPr>
  <dimension ref="B2:J17"/>
  <sheetViews>
    <sheetView zoomScale="85" zoomScaleNormal="85" zoomScalePageLayoutView="85" workbookViewId="0">
      <selection activeCell="G13" sqref="G13"/>
    </sheetView>
  </sheetViews>
  <sheetFormatPr baseColWidth="10" defaultColWidth="9.5" defaultRowHeight="15" outlineLevelRow="1"/>
  <cols>
    <col width="1.5" customWidth="1" style="1" min="1" max="1"/>
    <col outlineLevel="1" width="15.5" customWidth="1" style="1" min="2" max="2"/>
    <col width="29.1640625" bestFit="1" customWidth="1" style="66" min="3" max="3"/>
    <col width="47.1640625" bestFit="1" customWidth="1" style="1" min="4" max="4"/>
    <col width="16.5" bestFit="1" customWidth="1" style="1" min="5" max="5"/>
    <col width="15" customWidth="1" style="1" min="6" max="6"/>
    <col width="15.5" bestFit="1" customWidth="1" style="73" min="7" max="7"/>
    <col width="15.5" customWidth="1" style="1" min="8" max="8"/>
    <col width="21.5" bestFit="1" customWidth="1" style="66" min="9" max="9"/>
    <col outlineLevel="1" width="67.1640625" customWidth="1" style="66" min="10" max="10"/>
    <col width="9.5" customWidth="1" style="1" min="11" max="16384"/>
  </cols>
  <sheetData>
    <row r="1" ht="9" customHeight="1"/>
    <row r="2" ht="16" customHeight="1">
      <c r="B2" s="1025" t="inlineStr">
        <is>
          <t>Invoices</t>
        </is>
      </c>
      <c r="C2" s="1023" t="n"/>
      <c r="D2" s="1023" t="n"/>
      <c r="E2" s="1023" t="n"/>
      <c r="F2" s="1023" t="n"/>
      <c r="G2" s="1023" t="n"/>
      <c r="H2" s="1023" t="n"/>
      <c r="I2" s="1023" t="n"/>
      <c r="J2" s="1024" t="n"/>
    </row>
    <row r="3" ht="30" customFormat="1" customHeight="1" s="72">
      <c r="B3" s="71" t="inlineStr">
        <is>
          <t>Cost Code</t>
        </is>
      </c>
      <c r="C3" s="71" t="inlineStr">
        <is>
          <t>Vendor</t>
        </is>
      </c>
      <c r="D3" s="71" t="inlineStr">
        <is>
          <t>Description</t>
        </is>
      </c>
      <c r="E3" s="71" t="inlineStr">
        <is>
          <t>Invoice #</t>
        </is>
      </c>
      <c r="F3" s="71" t="inlineStr">
        <is>
          <t>Invoice Date</t>
        </is>
      </c>
      <c r="G3" s="74" t="inlineStr">
        <is>
          <t>Invoice Amount</t>
        </is>
      </c>
      <c r="H3" s="71" t="inlineStr">
        <is>
          <t>GL Period</t>
        </is>
      </c>
      <c r="I3" s="71" t="inlineStr">
        <is>
          <t>Notes</t>
        </is>
      </c>
      <c r="J3" s="138" t="inlineStr">
        <is>
          <t>Payment Status</t>
        </is>
      </c>
    </row>
    <row r="4" ht="15" customHeight="1">
      <c r="B4" s="2" t="n"/>
      <c r="D4" s="66" t="n"/>
      <c r="E4" s="2" t="n"/>
      <c r="F4" s="88" t="n"/>
      <c r="G4" s="229" t="n"/>
      <c r="H4" s="1026" t="n"/>
    </row>
    <row r="5" ht="15" customHeight="1">
      <c r="B5" s="118" t="inlineStr">
        <is>
          <t>2022 Invoices</t>
        </is>
      </c>
      <c r="C5" s="152" t="n"/>
      <c r="D5" s="118" t="n"/>
      <c r="E5" s="118" t="n"/>
      <c r="F5" s="118" t="n"/>
      <c r="G5" s="118" t="n"/>
      <c r="H5" s="118" t="n"/>
      <c r="I5" s="152" t="n"/>
      <c r="J5" s="152" t="n"/>
    </row>
    <row r="6">
      <c r="B6" s="15" t="n"/>
      <c r="C6" s="83" t="n"/>
      <c r="D6" s="139" t="n"/>
      <c r="E6" s="95" t="n"/>
      <c r="F6" s="58" t="n"/>
      <c r="G6" s="76" t="n"/>
      <c r="H6" s="1027" t="n"/>
      <c r="I6" s="153" t="n"/>
      <c r="J6" s="83" t="n"/>
    </row>
    <row r="7">
      <c r="B7" s="15" t="n"/>
      <c r="C7" s="83" t="n"/>
      <c r="D7" s="83" t="n"/>
      <c r="E7" s="15" t="n"/>
      <c r="F7" s="58" t="n"/>
      <c r="G7" s="76" t="n"/>
      <c r="H7" s="1027" t="n"/>
      <c r="I7" s="153" t="n"/>
      <c r="J7" s="83" t="n"/>
    </row>
    <row r="8" ht="15" customHeight="1">
      <c r="B8" s="14" t="n"/>
      <c r="C8" s="83" t="n"/>
      <c r="D8" s="83" t="n"/>
      <c r="E8" s="15" t="n"/>
      <c r="F8" s="58" t="n"/>
      <c r="G8" s="76" t="n"/>
      <c r="H8" s="1027" t="n"/>
      <c r="I8" s="83" t="n"/>
      <c r="J8" s="83" t="n"/>
    </row>
    <row r="9" ht="15" customHeight="1">
      <c r="B9" s="15" t="n"/>
      <c r="C9" s="83" t="n"/>
      <c r="D9" s="83" t="n"/>
      <c r="E9" s="15" t="n"/>
      <c r="F9" s="58" t="n"/>
      <c r="G9" s="76" t="n"/>
      <c r="H9" s="1027" t="n"/>
      <c r="I9" s="83" t="n"/>
      <c r="J9" s="83" t="n"/>
    </row>
    <row r="10" ht="15" customHeight="1">
      <c r="B10" s="2" t="n"/>
      <c r="D10" s="66" t="n"/>
      <c r="E10" s="1026" t="n"/>
      <c r="F10" s="88" t="inlineStr">
        <is>
          <t>March Invoices Total</t>
        </is>
      </c>
      <c r="G10" s="229">
        <f>SUBTOTAL(9,G6:G9)</f>
        <v/>
      </c>
      <c r="H10" s="1026" t="n"/>
    </row>
    <row r="11" ht="15" customHeight="1">
      <c r="B11" s="2" t="n"/>
      <c r="D11" s="66" t="n"/>
      <c r="E11" s="1026" t="n"/>
      <c r="F11" s="96" t="n"/>
      <c r="H11" s="1026" t="n"/>
    </row>
    <row r="12">
      <c r="B12" s="2" t="n"/>
      <c r="D12" s="66" t="n"/>
      <c r="E12" s="110" t="n"/>
      <c r="F12" s="111" t="n"/>
      <c r="G12" s="112" t="n"/>
      <c r="H12" s="1026" t="n"/>
      <c r="I12" s="155" t="n"/>
    </row>
    <row r="13" ht="16" customHeight="1">
      <c r="F13" s="88" t="inlineStr">
        <is>
          <t>INVOICES GRAND TOTAL</t>
        </is>
      </c>
      <c r="G13" s="75">
        <f>SUM(G10)</f>
        <v/>
      </c>
      <c r="H13" s="109" t="n"/>
      <c r="I13" s="165" t="n"/>
    </row>
    <row r="14" outlineLevel="1">
      <c r="G14" s="123">
        <f>G13='Project At-a-Glance'!E25</f>
        <v/>
      </c>
      <c r="I14" s="165" t="n"/>
    </row>
    <row r="15">
      <c r="H15" s="109" t="n"/>
    </row>
    <row r="16">
      <c r="F16" s="220" t="n"/>
      <c r="H16" s="109" t="n"/>
    </row>
    <row r="17">
      <c r="F17" s="220" t="n"/>
    </row>
  </sheetData>
  <autoFilter ref="B3:J11"/>
  <mergeCells count="1">
    <mergeCell ref="B2:J2"/>
  </mergeCells>
  <pageMargins left="0.7" right="0.7" top="0.75" bottom="0.75" header="0.3" footer="0.3"/>
  <pageSetup orientation="landscape" scale="60" fitToHeight="0"/>
  <headerFooter>
    <oddHeader>&amp;C&amp;"-,Bold"&amp;14 Invoices</oddHeader>
    <oddFooter>&amp;CDallas Venue_x000a_Page &amp;P of &amp;N</oddFooter>
    <evenHeader/>
    <evenFooter/>
    <firstHeader/>
    <firstFooter/>
  </headerFooter>
</worksheet>
</file>

<file path=xl/worksheets/sheet12.xml><?xml version="1.0" encoding="utf-8"?>
<worksheet xmlns="http://schemas.openxmlformats.org/spreadsheetml/2006/main">
  <sheetPr codeName="Sheet7">
    <tabColor rgb="FFFF0000"/>
    <outlinePr summaryBelow="1" summaryRight="1"/>
    <pageSetUpPr fitToPage="1"/>
  </sheetPr>
  <dimension ref="B2:H29"/>
  <sheetViews>
    <sheetView zoomScale="90" zoomScaleNormal="90" workbookViewId="0">
      <pane xSplit="1" ySplit="2" topLeftCell="B3" activePane="bottomRight" state="frozen"/>
      <selection activeCell="G15" sqref="G15"/>
      <selection pane="topRight" activeCell="G15" sqref="G15"/>
      <selection pane="bottomLeft" activeCell="G15" sqref="G15"/>
      <selection pane="bottomRight" activeCell="E29" sqref="E29"/>
    </sheetView>
  </sheetViews>
  <sheetFormatPr baseColWidth="10" defaultColWidth="8.83203125" defaultRowHeight="15"/>
  <cols>
    <col width="2.5" customWidth="1" style="1" min="1" max="1"/>
    <col width="15.5" customWidth="1" style="1" min="2" max="2"/>
    <col width="13.5" customWidth="1" style="1" min="3" max="3"/>
    <col width="21.5" customWidth="1" style="1" min="4" max="4"/>
    <col width="17.5" customWidth="1" style="1028" min="5" max="5"/>
    <col width="13.5" customWidth="1" style="1" min="6" max="6"/>
    <col width="38.83203125" bestFit="1" customWidth="1" style="1" min="7" max="7"/>
    <col hidden="1" outlineLevel="1" width="58.5" customWidth="1" style="1" min="8" max="8"/>
    <col collapsed="1" width="8.83203125" customWidth="1" style="1" min="9" max="9"/>
    <col width="8.83203125" customWidth="1" style="1" min="10" max="16384"/>
  </cols>
  <sheetData>
    <row r="2" customFormat="1" s="54">
      <c r="B2" s="61" t="inlineStr">
        <is>
          <t>Date Issued</t>
        </is>
      </c>
      <c r="C2" s="61" t="inlineStr">
        <is>
          <t>C.O. Number</t>
        </is>
      </c>
      <c r="D2" s="61" t="inlineStr">
        <is>
          <t>Vendor</t>
        </is>
      </c>
      <c r="E2" s="1029" t="inlineStr">
        <is>
          <t>Amount</t>
        </is>
      </c>
      <c r="F2" s="61" t="inlineStr">
        <is>
          <t>Cost Code</t>
        </is>
      </c>
      <c r="G2" s="61" t="inlineStr">
        <is>
          <t>Description</t>
        </is>
      </c>
      <c r="H2" s="61" t="inlineStr">
        <is>
          <t>Notes</t>
        </is>
      </c>
    </row>
    <row r="3">
      <c r="B3" s="58" t="n"/>
      <c r="C3" s="13" t="n"/>
      <c r="D3" s="13" t="n"/>
      <c r="E3" s="176" t="n"/>
      <c r="F3" s="15" t="n"/>
      <c r="G3" s="67" t="n"/>
      <c r="H3" s="13" t="n"/>
    </row>
    <row r="4">
      <c r="B4" s="58" t="n"/>
      <c r="C4" s="13" t="n"/>
      <c r="D4" s="13" t="n"/>
      <c r="E4" s="171" t="n"/>
      <c r="F4" s="15" t="n"/>
      <c r="G4" s="13" t="n"/>
      <c r="H4" s="13" t="n"/>
    </row>
    <row r="5">
      <c r="B5" s="58" t="n"/>
      <c r="C5" s="13" t="n"/>
      <c r="D5" s="13" t="n"/>
      <c r="E5" s="171" t="n"/>
      <c r="F5" s="15" t="n"/>
      <c r="G5" s="13" t="n"/>
      <c r="H5" s="100" t="n"/>
    </row>
    <row r="6">
      <c r="B6" s="58" t="n"/>
      <c r="C6" s="13" t="n"/>
      <c r="D6" s="13" t="n"/>
      <c r="E6" s="171" t="n"/>
      <c r="F6" s="15" t="n"/>
      <c r="G6" s="13" t="n"/>
      <c r="H6" s="100" t="n"/>
    </row>
    <row r="7">
      <c r="B7" s="58" t="n"/>
      <c r="C7" s="13" t="n"/>
      <c r="D7" s="13" t="n"/>
      <c r="E7" s="171" t="n"/>
      <c r="F7" s="15" t="n"/>
      <c r="G7" s="13" t="n"/>
      <c r="H7" s="13" t="n"/>
    </row>
    <row r="8">
      <c r="B8" s="58" t="n"/>
      <c r="C8" s="13" t="n"/>
      <c r="D8" s="13" t="n"/>
      <c r="E8" s="171" t="n"/>
      <c r="F8" s="15" t="n"/>
      <c r="G8" s="13" t="n"/>
      <c r="H8" s="13" t="n"/>
    </row>
    <row r="9">
      <c r="B9" s="58" t="n"/>
      <c r="C9" s="13" t="n"/>
      <c r="D9" s="13" t="n"/>
      <c r="E9" s="171" t="n"/>
      <c r="F9" s="15" t="n"/>
      <c r="G9" s="13" t="n"/>
      <c r="H9" s="13" t="n"/>
    </row>
    <row r="10">
      <c r="B10" s="58" t="n"/>
      <c r="C10" s="13" t="n"/>
      <c r="D10" s="13" t="n"/>
      <c r="E10" s="171" t="n"/>
      <c r="F10" s="15" t="n"/>
      <c r="G10" s="13" t="n"/>
      <c r="H10" s="13" t="n"/>
    </row>
    <row r="11">
      <c r="B11" s="58" t="n"/>
      <c r="C11" s="13" t="n"/>
      <c r="D11" s="13" t="n"/>
      <c r="E11" s="176" t="n"/>
      <c r="F11" s="15" t="n"/>
      <c r="G11" s="13" t="n"/>
      <c r="H11" s="13" t="n"/>
    </row>
    <row r="12">
      <c r="B12" s="58" t="n"/>
      <c r="C12" s="13" t="n"/>
      <c r="D12" s="13" t="n"/>
      <c r="E12" s="176" t="n"/>
      <c r="F12" s="15" t="n"/>
      <c r="G12" s="13" t="n"/>
      <c r="H12" s="13" t="n"/>
    </row>
    <row r="13">
      <c r="B13" s="58" t="n"/>
      <c r="C13" s="13" t="n"/>
      <c r="D13" s="13" t="n"/>
      <c r="E13" s="171" t="n"/>
      <c r="F13" s="15" t="n"/>
      <c r="G13" s="13" t="n"/>
      <c r="H13" s="13" t="n"/>
    </row>
    <row r="14">
      <c r="B14" s="58" t="n"/>
      <c r="C14" s="13" t="n"/>
      <c r="D14" s="13" t="n"/>
      <c r="E14" s="171" t="n"/>
      <c r="F14" s="15" t="n"/>
      <c r="G14" s="13" t="n"/>
      <c r="H14" s="13" t="n"/>
    </row>
    <row r="15">
      <c r="B15" s="58" t="n"/>
      <c r="C15" s="13" t="n"/>
      <c r="D15" s="13" t="n"/>
      <c r="E15" s="171" t="n"/>
      <c r="F15" s="15" t="n"/>
      <c r="G15" s="13" t="n"/>
      <c r="H15" s="13" t="n"/>
    </row>
    <row r="16">
      <c r="B16" s="58" t="n"/>
      <c r="C16" s="13" t="n"/>
      <c r="D16" s="13" t="n"/>
      <c r="E16" s="171" t="n"/>
      <c r="F16" s="15" t="n"/>
      <c r="G16" s="13" t="n"/>
      <c r="H16" s="13" t="n"/>
    </row>
    <row r="17">
      <c r="B17" s="58" t="n"/>
      <c r="C17" s="13" t="n"/>
      <c r="D17" s="13" t="n"/>
      <c r="E17" s="171" t="n"/>
      <c r="F17" s="15" t="n"/>
      <c r="G17" s="13" t="n"/>
      <c r="H17" s="13" t="n"/>
    </row>
    <row r="18">
      <c r="B18" s="58" t="n"/>
      <c r="C18" s="13" t="n"/>
      <c r="D18" s="13" t="n"/>
      <c r="E18" s="171" t="n"/>
      <c r="F18" s="15" t="n"/>
      <c r="G18" s="13" t="n"/>
      <c r="H18" s="13" t="n"/>
    </row>
    <row r="19">
      <c r="B19" s="58" t="n"/>
      <c r="C19" s="13" t="n"/>
      <c r="D19" s="13" t="n"/>
      <c r="E19" s="171" t="n"/>
      <c r="F19" s="15" t="n"/>
      <c r="G19" s="13" t="n"/>
      <c r="H19" s="13" t="n"/>
    </row>
    <row r="20">
      <c r="B20" s="58" t="n"/>
      <c r="C20" s="13" t="n"/>
      <c r="D20" s="13" t="n"/>
      <c r="E20" s="176" t="n"/>
      <c r="F20" s="15" t="n"/>
      <c r="G20" s="13" t="n"/>
      <c r="H20" s="13" t="n"/>
    </row>
    <row r="21">
      <c r="B21" s="58" t="n"/>
      <c r="C21" s="13" t="n"/>
      <c r="D21" s="13" t="n"/>
      <c r="E21" s="171" t="n"/>
      <c r="F21" s="15" t="n"/>
      <c r="G21" s="13" t="n"/>
      <c r="H21" s="13" t="n"/>
    </row>
    <row r="22">
      <c r="B22" s="58" t="n"/>
      <c r="C22" s="13" t="n"/>
      <c r="D22" s="13" t="n"/>
      <c r="E22" s="176" t="n"/>
      <c r="F22" s="15" t="n"/>
      <c r="G22" s="13" t="n"/>
      <c r="H22" s="13" t="n"/>
    </row>
    <row r="23">
      <c r="B23" s="58" t="n"/>
      <c r="C23" s="13" t="n"/>
      <c r="D23" s="13" t="n"/>
      <c r="E23" s="176" t="n"/>
      <c r="F23" s="15" t="n"/>
      <c r="G23" s="83" t="n"/>
      <c r="H23" s="13" t="n"/>
    </row>
    <row r="24">
      <c r="B24" s="58" t="n"/>
      <c r="C24" s="13" t="n"/>
      <c r="D24" s="13" t="n"/>
      <c r="E24" s="176" t="n"/>
      <c r="F24" s="15" t="n"/>
      <c r="G24" s="83" t="n"/>
      <c r="H24" s="13" t="n"/>
    </row>
    <row r="25">
      <c r="B25" s="58" t="n"/>
      <c r="C25" s="13" t="n"/>
      <c r="D25" s="13" t="n"/>
      <c r="E25" s="176" t="n"/>
      <c r="F25" s="15" t="n"/>
      <c r="G25" s="83" t="n"/>
      <c r="H25" s="13" t="n"/>
    </row>
    <row r="26">
      <c r="B26" s="58" t="n"/>
      <c r="C26" s="13" t="n"/>
      <c r="D26" s="13" t="n"/>
      <c r="E26" s="176" t="n"/>
      <c r="F26" s="15" t="n"/>
      <c r="G26" s="13" t="n"/>
      <c r="H26" s="13" t="n"/>
    </row>
    <row r="29" ht="16" customHeight="1">
      <c r="D29" s="53" t="inlineStr">
        <is>
          <t>Total Change Orders</t>
        </is>
      </c>
      <c r="E29" s="55">
        <f>SUM(E3:E28)</f>
        <v/>
      </c>
    </row>
  </sheetData>
  <autoFilter ref="B2:H25"/>
  <pageMargins left="0.7" right="0.7" top="0.75" bottom="0.75" header="0.3" footer="0.3"/>
  <pageSetup orientation="landscape" scale="76" fitToHeight="0"/>
  <headerFooter>
    <oddHeader>&amp;C&amp;"-,Bold"&amp;14 Change Orders</oddHeader>
    <oddFooter>&amp;CDallas Venue_x000a_Page &amp;P of &amp;N</oddFooter>
    <evenHeader/>
    <evenFooter/>
    <firstHeader/>
    <firstFooter/>
  </headerFooter>
</worksheet>
</file>

<file path=xl/worksheets/sheet13.xml><?xml version="1.0" encoding="utf-8"?>
<worksheet xmlns="http://schemas.openxmlformats.org/spreadsheetml/2006/main">
  <sheetPr codeName="Sheet5">
    <tabColor rgb="FFFF0000"/>
    <outlinePr summaryBelow="1" summaryRight="1"/>
    <pageSetUpPr fitToPage="1"/>
  </sheetPr>
  <dimension ref="B2:J13"/>
  <sheetViews>
    <sheetView zoomScale="130" zoomScaleNormal="130" workbookViewId="0">
      <pane ySplit="2" topLeftCell="A3" activePane="bottomLeft" state="frozen"/>
      <selection activeCell="G15" sqref="G15"/>
      <selection pane="bottomLeft" activeCell="G9" sqref="G9"/>
    </sheetView>
  </sheetViews>
  <sheetFormatPr baseColWidth="10" defaultColWidth="9.5" defaultRowHeight="15"/>
  <cols>
    <col width="1" customWidth="1" style="1" min="1" max="1"/>
    <col width="13.5" customWidth="1" style="1" min="2" max="2"/>
    <col width="12.5" customWidth="1" style="1" min="3" max="3"/>
    <col width="37.5" bestFit="1" customWidth="1" style="1" min="4" max="4"/>
    <col width="57.5" customWidth="1" style="1" min="5" max="5"/>
    <col width="20.5" bestFit="1" customWidth="1" style="1" min="6" max="6"/>
    <col width="18" bestFit="1" customWidth="1" style="1" min="7" max="7"/>
    <col hidden="1" outlineLevel="1" width="36.6640625" customWidth="1" style="1" min="8" max="8"/>
    <col collapsed="1" width="9.5" customWidth="1" style="1" min="9" max="9"/>
    <col width="13.5" customWidth="1" style="1" min="10" max="10"/>
    <col width="9.5" customWidth="1" style="1" min="11" max="16384"/>
  </cols>
  <sheetData>
    <row r="1" ht="9.75" customHeight="1"/>
    <row r="2" ht="30" customHeight="1">
      <c r="B2" s="71" t="inlineStr">
        <is>
          <t>Date</t>
        </is>
      </c>
      <c r="C2" s="71" t="inlineStr">
        <is>
          <t>Cost Code</t>
        </is>
      </c>
      <c r="D2" s="71" t="inlineStr">
        <is>
          <t>Vendor</t>
        </is>
      </c>
      <c r="E2" s="71" t="inlineStr">
        <is>
          <t>Description</t>
        </is>
      </c>
      <c r="F2" s="71" t="inlineStr">
        <is>
          <t>Amount Applied</t>
        </is>
      </c>
      <c r="G2" s="71" t="inlineStr">
        <is>
          <t>Remaining Balance</t>
        </is>
      </c>
      <c r="H2" s="71" t="inlineStr">
        <is>
          <t>Notes</t>
        </is>
      </c>
    </row>
    <row r="3">
      <c r="B3" s="89" t="n"/>
      <c r="C3" s="89" t="n"/>
      <c r="D3" s="66" t="n"/>
      <c r="E3" s="91" t="n"/>
      <c r="F3" s="90" t="n"/>
      <c r="G3" s="92" t="n"/>
    </row>
    <row r="4">
      <c r="B4" s="162" t="inlineStr">
        <is>
          <t>March 2020 Contingency</t>
        </is>
      </c>
      <c r="C4" s="163" t="n"/>
      <c r="D4" s="163" t="n"/>
      <c r="E4" s="163" t="n"/>
      <c r="F4" s="163" t="n"/>
      <c r="G4" s="164" t="n"/>
      <c r="H4" s="164" t="n"/>
      <c r="J4" s="118" t="inlineStr">
        <is>
          <t>Contingency</t>
        </is>
      </c>
    </row>
    <row r="5">
      <c r="B5" s="14" t="n">
        <v>43921</v>
      </c>
      <c r="C5" s="14" t="inlineStr">
        <is>
          <t>N/A</t>
        </is>
      </c>
      <c r="D5" s="83" t="inlineStr">
        <is>
          <t>N/A</t>
        </is>
      </c>
      <c r="E5" s="83" t="inlineStr">
        <is>
          <t>Initial Contingency Amount</t>
        </is>
      </c>
      <c r="F5" s="176" t="n">
        <v>0</v>
      </c>
      <c r="G5" s="86">
        <f>+J5-F5</f>
        <v/>
      </c>
      <c r="H5" s="13" t="n"/>
      <c r="J5" s="50">
        <f>'Project Detail'!F170</f>
        <v/>
      </c>
    </row>
    <row r="6">
      <c r="B6" s="89" t="n"/>
      <c r="C6" s="89" t="n"/>
      <c r="D6" s="66" t="n"/>
      <c r="E6" s="91" t="inlineStr">
        <is>
          <t>March Contingency Totals</t>
        </is>
      </c>
      <c r="F6" s="90">
        <f>SUBTOTAL(9,F5)</f>
        <v/>
      </c>
      <c r="G6" s="92">
        <f>G5</f>
        <v/>
      </c>
    </row>
    <row r="7">
      <c r="B7" s="89" t="n"/>
      <c r="C7" s="89" t="n"/>
      <c r="D7" s="66" t="n"/>
      <c r="E7" s="91" t="n"/>
      <c r="F7" s="90" t="n"/>
      <c r="G7" s="92" t="n"/>
    </row>
    <row r="8">
      <c r="B8" s="89" t="n"/>
      <c r="C8" s="89" t="n"/>
      <c r="D8" s="66" t="n"/>
      <c r="E8" s="91" t="n"/>
      <c r="F8" s="90" t="n"/>
      <c r="G8" s="92" t="n"/>
    </row>
    <row r="9">
      <c r="E9" s="88" t="inlineStr">
        <is>
          <t>CONTINGENCY TOTALS</t>
        </is>
      </c>
      <c r="F9" s="48">
        <f>SUM(F6)</f>
        <v/>
      </c>
      <c r="G9" s="48">
        <f>G6</f>
        <v/>
      </c>
    </row>
    <row r="11">
      <c r="F11" s="73" t="n"/>
    </row>
    <row r="13">
      <c r="F13" s="1019" t="n"/>
    </row>
  </sheetData>
  <autoFilter ref="B2:G6"/>
  <pageMargins left="0.7" right="0.7" top="0.75" bottom="0.75" header="0.3" footer="0.3"/>
  <pageSetup orientation="landscape" scale="78" fitToHeight="0"/>
  <headerFooter>
    <oddHeader>&amp;C&amp;"-,Bold"&amp;14 Contingency</oddHeader>
    <oddFooter>&amp;CDallas Venue_x000a_Page &amp;P of &amp;N</oddFooter>
    <evenHeader/>
    <evenFooter/>
    <firstHeader/>
    <firstFooter/>
  </headerFooter>
</worksheet>
</file>

<file path=xl/worksheets/sheet14.xml><?xml version="1.0" encoding="utf-8"?>
<worksheet xmlns="http://schemas.openxmlformats.org/spreadsheetml/2006/main">
  <sheetPr codeName="Sheet9">
    <tabColor rgb="FFFF0000"/>
    <outlinePr summaryBelow="1" summaryRight="1"/>
    <pageSetUpPr fitToPage="1"/>
  </sheetPr>
  <dimension ref="A1:L39"/>
  <sheetViews>
    <sheetView zoomScale="109" zoomScaleNormal="85" workbookViewId="0">
      <pane ySplit="3" topLeftCell="A4" activePane="bottomLeft" state="frozen"/>
      <selection pane="bottomLeft" activeCell="G23" sqref="G23"/>
    </sheetView>
  </sheetViews>
  <sheetFormatPr baseColWidth="10" defaultColWidth="11.5" defaultRowHeight="15"/>
  <cols>
    <col width="14" customWidth="1" style="1" min="1" max="1"/>
    <col width="3.5" customWidth="1" style="1" min="2" max="2"/>
    <col width="55" bestFit="1" customWidth="1" style="1" min="3" max="3"/>
    <col width="3.5" customWidth="1" style="1" min="4" max="4"/>
    <col width="22" customWidth="1" style="1" min="5" max="5"/>
    <col width="3.5" customWidth="1" style="1" min="6" max="6"/>
    <col width="19.83203125" customWidth="1" style="1" min="7" max="7"/>
    <col width="3.5" customWidth="1" style="1" min="8" max="8"/>
    <col width="17.83203125" customWidth="1" style="1" min="9" max="9"/>
    <col width="3.5" customWidth="1" style="1" min="10" max="10"/>
    <col outlineLevel="1" width="88.6640625" customWidth="1" style="1" min="11" max="11"/>
    <col width="21.1640625" bestFit="1" customWidth="1" style="1" min="12" max="12"/>
    <col width="11.5" customWidth="1" style="1" min="13" max="16384"/>
  </cols>
  <sheetData>
    <row r="1" ht="22" customHeight="1" thickBot="1">
      <c r="A1" s="1030" t="inlineStr">
        <is>
          <t>Risk Report</t>
        </is>
      </c>
      <c r="B1" s="1012" t="n"/>
      <c r="C1" s="1012" t="n"/>
      <c r="D1" s="1012" t="n"/>
      <c r="E1" s="1012" t="n"/>
      <c r="F1" s="1012" t="n"/>
      <c r="G1" s="1012" t="n"/>
      <c r="H1" s="1012" t="n"/>
      <c r="I1" s="1012" t="n"/>
      <c r="J1" s="1012" t="n"/>
      <c r="K1" s="1013" t="n"/>
    </row>
    <row r="2" ht="20" customHeight="1" thickBot="1">
      <c r="A2" s="41" t="n"/>
      <c r="B2" s="2" t="n"/>
      <c r="C2" s="2" t="n"/>
      <c r="D2" s="2" t="n"/>
      <c r="E2" s="2" t="n"/>
      <c r="F2" s="2" t="n"/>
      <c r="G2" s="2" t="n"/>
      <c r="H2" s="2" t="n"/>
      <c r="I2" s="2" t="n"/>
      <c r="J2" s="2" t="n"/>
      <c r="K2" s="2" t="n"/>
    </row>
    <row r="3" ht="35" customFormat="1" customHeight="1" s="43" thickBot="1">
      <c r="A3" s="42" t="inlineStr">
        <is>
          <t>Requestor</t>
        </is>
      </c>
      <c r="C3" s="42" t="inlineStr">
        <is>
          <t>Item</t>
        </is>
      </c>
      <c r="E3" s="42" t="inlineStr">
        <is>
          <t>High</t>
        </is>
      </c>
      <c r="G3" s="169" t="inlineStr">
        <is>
          <t>Expected                 Settlement Value</t>
        </is>
      </c>
      <c r="I3" s="42" t="inlineStr">
        <is>
          <t>Low</t>
        </is>
      </c>
      <c r="K3" s="42" t="inlineStr">
        <is>
          <t>Notes</t>
        </is>
      </c>
    </row>
    <row r="4">
      <c r="A4" s="1" t="inlineStr">
        <is>
          <t>Project Team</t>
        </is>
      </c>
      <c r="E4" s="146" t="n"/>
      <c r="F4" s="140" t="n"/>
      <c r="G4" s="161" t="n"/>
      <c r="H4" s="140" t="n"/>
      <c r="I4" s="146" t="n"/>
      <c r="J4" s="32" t="n"/>
      <c r="L4" s="101" t="n"/>
    </row>
    <row r="5">
      <c r="A5" s="1" t="inlineStr">
        <is>
          <t>Project Team</t>
        </is>
      </c>
      <c r="E5" s="146" t="n"/>
      <c r="F5" s="140" t="n"/>
      <c r="G5" s="161" t="n"/>
      <c r="H5" s="140" t="n"/>
      <c r="I5" s="146" t="n"/>
      <c r="J5" s="32" t="n"/>
      <c r="L5" s="101" t="n"/>
    </row>
    <row r="6">
      <c r="A6" s="1" t="inlineStr">
        <is>
          <t>Project Team</t>
        </is>
      </c>
      <c r="E6" s="227" t="n"/>
      <c r="F6" s="12" t="n"/>
      <c r="G6" s="228" t="n"/>
      <c r="H6" s="12" t="n"/>
      <c r="I6" s="227" t="n"/>
      <c r="J6" s="226" t="n"/>
      <c r="L6" s="101" t="n"/>
    </row>
    <row r="7">
      <c r="A7" s="1" t="inlineStr">
        <is>
          <t>Project Team</t>
        </is>
      </c>
      <c r="E7" s="227" t="n"/>
      <c r="F7" s="12" t="n"/>
      <c r="G7" s="228" t="n"/>
      <c r="H7" s="12" t="n"/>
      <c r="I7" s="227" t="n"/>
      <c r="J7" s="226" t="n"/>
      <c r="L7" s="101" t="n"/>
    </row>
    <row r="8">
      <c r="A8" s="1" t="inlineStr">
        <is>
          <t>Project Team</t>
        </is>
      </c>
      <c r="E8" s="227" t="n"/>
      <c r="F8" s="12" t="n"/>
      <c r="G8" s="228" t="n"/>
      <c r="H8" s="12" t="n"/>
      <c r="I8" s="227" t="n"/>
      <c r="J8" s="226" t="n"/>
      <c r="L8" s="101" t="n"/>
    </row>
    <row r="9">
      <c r="A9" s="1" t="inlineStr">
        <is>
          <t>Project Team</t>
        </is>
      </c>
      <c r="E9" s="227" t="n"/>
      <c r="F9" s="12" t="n"/>
      <c r="G9" s="228" t="n"/>
      <c r="H9" s="12" t="n"/>
      <c r="I9" s="227" t="n"/>
      <c r="J9" s="226" t="n"/>
      <c r="L9" s="101" t="n"/>
    </row>
    <row r="10">
      <c r="A10" s="1" t="inlineStr">
        <is>
          <t>Project Team</t>
        </is>
      </c>
      <c r="E10" s="227" t="n"/>
      <c r="F10" s="12" t="n"/>
      <c r="G10" s="228" t="n"/>
      <c r="H10" s="12" t="n"/>
      <c r="I10" s="227" t="n"/>
      <c r="J10" s="226" t="n"/>
      <c r="L10" s="101" t="n"/>
    </row>
    <row r="11">
      <c r="A11" s="1" t="inlineStr">
        <is>
          <t>Project Team</t>
        </is>
      </c>
      <c r="E11" s="146" t="n"/>
      <c r="F11" s="140" t="n"/>
      <c r="G11" s="161" t="n"/>
      <c r="H11" s="140" t="n"/>
      <c r="I11" s="146" t="n"/>
      <c r="J11" s="32" t="n"/>
      <c r="L11" s="101" t="n"/>
    </row>
    <row r="12">
      <c r="A12" s="1" t="inlineStr">
        <is>
          <t>Project Team</t>
        </is>
      </c>
      <c r="E12" s="146" t="n"/>
      <c r="F12" s="140" t="n"/>
      <c r="G12" s="161" t="n"/>
      <c r="H12" s="140" t="n"/>
      <c r="I12" s="146" t="n"/>
      <c r="J12" s="32" t="n"/>
      <c r="L12" s="101" t="n"/>
    </row>
    <row r="13">
      <c r="A13" s="1" t="inlineStr">
        <is>
          <t>Project Team</t>
        </is>
      </c>
      <c r="E13" s="146" t="n"/>
      <c r="F13" s="140" t="n"/>
      <c r="G13" s="161" t="n"/>
      <c r="H13" s="140" t="n"/>
      <c r="I13" s="146" t="n"/>
      <c r="J13" s="32" t="n"/>
      <c r="L13" s="101" t="n"/>
    </row>
    <row r="14" ht="16" customHeight="1" thickBot="1">
      <c r="A14" s="1" t="inlineStr">
        <is>
          <t>Project Team</t>
        </is>
      </c>
      <c r="E14" s="146" t="n"/>
      <c r="F14" s="140" t="n"/>
      <c r="G14" s="161" t="n"/>
      <c r="H14" s="140" t="n"/>
      <c r="I14" s="146" t="n"/>
      <c r="J14" s="32" t="n"/>
      <c r="L14" s="101" t="n"/>
    </row>
    <row r="15" ht="16" customHeight="1" thickBot="1">
      <c r="E15" s="99">
        <f>SUM(E4:E14)</f>
        <v/>
      </c>
      <c r="F15" s="98" t="n"/>
      <c r="G15" s="99">
        <f>SUM(G4:G14)</f>
        <v/>
      </c>
      <c r="H15" s="98" t="n"/>
      <c r="I15" s="99">
        <f>SUM(I4:I14)</f>
        <v/>
      </c>
      <c r="J15" s="98" t="n"/>
      <c r="L15" s="44" t="n"/>
    </row>
    <row r="16">
      <c r="E16" s="44" t="n"/>
      <c r="F16" s="44" t="n"/>
      <c r="G16" s="44" t="n"/>
      <c r="H16" s="44" t="n"/>
      <c r="I16" s="44" t="n"/>
      <c r="J16" s="44" t="n"/>
      <c r="L16" s="44" t="n"/>
    </row>
    <row r="17">
      <c r="E17" s="44" t="n"/>
      <c r="F17" s="44" t="n"/>
      <c r="G17" s="44" t="n"/>
      <c r="H17" s="44" t="n"/>
      <c r="I17" s="44" t="n"/>
      <c r="J17" s="44" t="n"/>
      <c r="L17" s="44" t="n"/>
    </row>
    <row r="18">
      <c r="E18" s="44" t="n"/>
      <c r="F18" s="44" t="n"/>
      <c r="G18" s="44" t="n"/>
      <c r="H18" s="44" t="n"/>
      <c r="I18" s="44" t="n"/>
      <c r="J18" s="44" t="n"/>
      <c r="L18" s="44" t="n"/>
    </row>
    <row r="19" ht="16" customHeight="1">
      <c r="C19" s="45" t="inlineStr">
        <is>
          <t>Current Sources  (as of 01/31/2023)</t>
        </is>
      </c>
      <c r="E19" s="150" t="inlineStr">
        <is>
          <t>Remaining Contingency</t>
        </is>
      </c>
      <c r="F19" s="44" t="n"/>
      <c r="G19" s="151">
        <f>Contingency!G9</f>
        <v/>
      </c>
      <c r="H19" s="44" t="n"/>
      <c r="I19" s="44" t="n"/>
      <c r="J19" s="44" t="n"/>
      <c r="K19" s="45" t="n"/>
      <c r="L19" s="44" t="n"/>
    </row>
    <row r="20" ht="16" customHeight="1">
      <c r="E20" s="46" t="n"/>
      <c r="F20" s="44" t="n"/>
      <c r="G20" s="44" t="n"/>
      <c r="H20" s="44" t="n"/>
      <c r="I20" s="44" t="n"/>
      <c r="J20" s="44" t="n"/>
      <c r="L20" s="44" t="n"/>
    </row>
    <row r="21" ht="16" customHeight="1">
      <c r="E21" s="150" t="inlineStr">
        <is>
          <t>Contingency Balance</t>
        </is>
      </c>
      <c r="F21" s="44" t="n"/>
      <c r="G21" s="151">
        <f>G19-G15</f>
        <v/>
      </c>
      <c r="H21" s="44" t="n"/>
      <c r="I21" s="44" t="n"/>
      <c r="J21" s="44" t="n"/>
      <c r="L21" s="44" t="n"/>
    </row>
    <row r="22" ht="16" customHeight="1">
      <c r="E22" s="150" t="n"/>
      <c r="F22" s="44" t="n"/>
      <c r="G22" s="44" t="n"/>
      <c r="H22" s="44" t="n"/>
      <c r="I22" s="44" t="n"/>
      <c r="J22" s="44" t="n"/>
      <c r="L22" s="44" t="n"/>
    </row>
    <row r="23" ht="16" customHeight="1">
      <c r="E23" s="150" t="inlineStr">
        <is>
          <t>Exposure</t>
        </is>
      </c>
      <c r="F23" s="44" t="n"/>
      <c r="G23" s="47">
        <f>IF(G15&gt;G19,G19-G15,0)</f>
        <v/>
      </c>
      <c r="H23" s="44" t="n"/>
      <c r="I23" s="44" t="n"/>
      <c r="J23" s="44" t="n"/>
      <c r="K23" s="44" t="n"/>
      <c r="L23" s="44" t="n"/>
    </row>
    <row r="24">
      <c r="E24" s="44" t="n"/>
      <c r="F24" s="44" t="n"/>
      <c r="G24" s="44" t="n"/>
      <c r="H24" s="44" t="n"/>
      <c r="I24" s="44" t="n"/>
      <c r="J24" s="44" t="n"/>
      <c r="L24" s="44" t="n"/>
    </row>
    <row r="25">
      <c r="E25" s="44" t="n"/>
      <c r="F25" s="44" t="n"/>
      <c r="G25" s="1019" t="n"/>
      <c r="H25" s="44" t="n"/>
      <c r="I25" s="44" t="n"/>
      <c r="J25" s="44" t="n"/>
      <c r="L25" s="44" t="n"/>
    </row>
    <row r="26">
      <c r="C26" s="1" t="inlineStr">
        <is>
          <t xml:space="preserve"> *Sources reflect over budget items pending resolution.</t>
        </is>
      </c>
      <c r="E26" s="44" t="n"/>
      <c r="F26" s="44" t="n"/>
      <c r="G26" s="44" t="n"/>
      <c r="H26" s="44" t="n"/>
      <c r="I26" s="44" t="n"/>
      <c r="J26" s="44" t="n"/>
      <c r="L26" s="44" t="n"/>
    </row>
    <row r="27">
      <c r="E27" s="44" t="n"/>
      <c r="F27" s="44" t="n"/>
      <c r="G27" s="44" t="n"/>
      <c r="H27" s="44" t="n"/>
      <c r="I27" s="44" t="n"/>
      <c r="J27" s="44" t="n"/>
      <c r="L27" s="44" t="n"/>
    </row>
    <row r="28">
      <c r="E28" s="44" t="n"/>
      <c r="F28" s="44" t="n"/>
      <c r="G28" s="44" t="n"/>
      <c r="H28" s="44" t="n"/>
      <c r="I28" s="44" t="n"/>
      <c r="J28" s="44" t="n"/>
      <c r="L28" s="44" t="n"/>
    </row>
    <row r="29">
      <c r="E29" s="44" t="n"/>
      <c r="F29" s="44" t="n"/>
      <c r="G29" s="44" t="n"/>
      <c r="H29" s="44" t="n"/>
      <c r="I29" s="44" t="n"/>
      <c r="J29" s="44" t="n"/>
      <c r="L29" s="44" t="n"/>
    </row>
    <row r="30">
      <c r="E30" s="44" t="n"/>
      <c r="F30" s="44" t="n"/>
      <c r="G30" s="44" t="n"/>
      <c r="H30" s="44" t="n"/>
      <c r="I30" s="44" t="n"/>
      <c r="J30" s="44" t="n"/>
      <c r="L30" s="44" t="n"/>
    </row>
    <row r="31">
      <c r="E31" s="44" t="n"/>
      <c r="F31" s="44" t="n"/>
      <c r="G31" s="44" t="n"/>
      <c r="H31" s="44" t="n"/>
      <c r="I31" s="44" t="n"/>
      <c r="J31" s="44" t="n"/>
      <c r="L31" s="44" t="n"/>
    </row>
    <row r="32">
      <c r="E32" s="44" t="n"/>
      <c r="F32" s="44" t="n"/>
      <c r="G32" s="98" t="n"/>
      <c r="H32" s="44" t="n"/>
      <c r="I32" s="44" t="n"/>
      <c r="J32" s="44" t="n"/>
      <c r="L32" s="44" t="n"/>
    </row>
    <row r="33">
      <c r="E33" s="44" t="n"/>
      <c r="F33" s="44" t="n"/>
      <c r="G33" s="44" t="n"/>
      <c r="H33" s="44" t="n"/>
      <c r="I33" s="44" t="n"/>
      <c r="J33" s="44" t="n"/>
      <c r="L33" s="44" t="n"/>
    </row>
    <row r="34">
      <c r="E34" s="44" t="n"/>
      <c r="F34" s="44" t="n"/>
      <c r="G34" s="44" t="n"/>
      <c r="H34" s="44" t="n"/>
      <c r="I34" s="44" t="n"/>
      <c r="J34" s="44" t="n"/>
      <c r="L34" s="44" t="n"/>
    </row>
    <row r="35">
      <c r="E35" s="44" t="n"/>
      <c r="F35" s="44" t="n"/>
      <c r="G35" s="44" t="n"/>
      <c r="H35" s="44" t="n"/>
      <c r="I35" s="44" t="n"/>
      <c r="J35" s="44" t="n"/>
      <c r="L35" s="44" t="n"/>
    </row>
    <row r="36">
      <c r="E36" s="44" t="n"/>
      <c r="F36" s="44" t="n"/>
      <c r="G36" s="44" t="n"/>
      <c r="H36" s="44" t="n"/>
      <c r="I36" s="44" t="n"/>
      <c r="J36" s="44" t="n"/>
      <c r="L36" s="44" t="n"/>
    </row>
    <row r="37">
      <c r="E37" s="44" t="n"/>
      <c r="F37" s="44" t="n"/>
      <c r="G37" s="44" t="n"/>
      <c r="H37" s="44" t="n"/>
      <c r="I37" s="44" t="n"/>
      <c r="J37" s="44" t="n"/>
      <c r="L37" s="44" t="n"/>
    </row>
    <row r="38">
      <c r="E38" s="44" t="n"/>
      <c r="F38" s="44" t="n"/>
      <c r="G38" s="44" t="n"/>
      <c r="H38" s="44" t="n"/>
      <c r="I38" s="44" t="n"/>
      <c r="J38" s="44" t="n"/>
      <c r="L38" s="44" t="n"/>
    </row>
    <row r="39">
      <c r="E39" s="44" t="n"/>
      <c r="F39" s="44" t="n"/>
      <c r="G39" s="44" t="n"/>
      <c r="H39" s="44" t="n"/>
      <c r="I39" s="44" t="n"/>
      <c r="J39" s="44" t="n"/>
      <c r="L39" s="44" t="n"/>
    </row>
  </sheetData>
  <mergeCells count="1">
    <mergeCell ref="A1:K1"/>
  </mergeCells>
  <pageMargins left="0.7" right="0.7" top="0.75" bottom="0.75" header="0.3" footer="0.3"/>
  <pageSetup orientation="landscape" scale="66"/>
  <headerFooter>
    <oddHeader/>
    <oddFooter>&amp;CDallas Venue_x000a_Page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Administrator</dc:creator>
  <dcterms:created xsi:type="dcterms:W3CDTF">2017-10-18T16:39:21Z</dcterms:created>
  <dcterms:modified xsi:type="dcterms:W3CDTF">2026-09-17T00:23:51Z</dcterms:modified>
  <cp:lastModifiedBy>Thomas Glennon</cp:lastModifiedBy>
  <cp:lastPrinted>2019-03-21T23:59:29Z</cp:lastPrinted>
</cp:coreProperties>
</file>