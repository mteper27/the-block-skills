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drawings/drawing2.xml" ContentType="application/vnd.openxmlformats-officedocument.drawing+xml"/>
  <Override PartName="/xl/customProperty2.bin" ContentType="application/vnd.openxmlformats-officedocument.spreadsheetml.customProperty"/>
  <Override PartName="/xl/drawings/drawing3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omasindilla/Desktop/02_Studio Indilla/02 Projects/NY_165 Randolph St/03. Pocurement/03.40 Budgets/"/>
    </mc:Choice>
  </mc:AlternateContent>
  <xr:revisionPtr revIDLastSave="0" documentId="8_{9DEF4E01-D7F8-2541-A3BB-3020909DA2AA}" xr6:coauthVersionLast="47" xr6:coauthVersionMax="47" xr10:uidLastSave="{00000000-0000-0000-0000-000000000000}"/>
  <bookViews>
    <workbookView xWindow="0" yWindow="740" windowWidth="30240" windowHeight="18900" tabRatio="845" xr2:uid="{00000000-000D-0000-FFFF-FFFF00000000}"/>
  </bookViews>
  <sheets>
    <sheet name="Budget Summary" sheetId="20" r:id="rId1"/>
    <sheet name="Soft Cost &amp; FF&amp;E Budget Detail" sheetId="23" r:id="rId2"/>
    <sheet name="Building &amp; Fit-outBudget Detail" sheetId="21" r:id="rId3"/>
    <sheet name="Building &amp; Fit-out Breakdown" sheetId="22" r:id="rId4"/>
    <sheet name="General Conditions" sheetId="24" state="hidden" r:id="rId5"/>
    <sheet name="Project At-a-Glance" sheetId="11" state="hidden" r:id="rId6"/>
    <sheet name="Project Summary " sheetId="4" state="hidden" r:id="rId7"/>
    <sheet name="Project Detail" sheetId="10" state="hidden" r:id="rId8"/>
    <sheet name="Committed Costs " sheetId="3" state="hidden" r:id="rId9"/>
    <sheet name="Invoices" sheetId="8" state="hidden" r:id="rId10"/>
    <sheet name="Change Orders" sheetId="13" state="hidden" r:id="rId11"/>
    <sheet name="Contingency" sheetId="17" state="hidden" r:id="rId12"/>
    <sheet name="Risk Report" sheetId="5" state="hidden" r:id="rId13"/>
  </sheets>
  <definedNames>
    <definedName name="_xlnm._FilterDatabase" localSheetId="10" hidden="1">'Change Orders'!$B$2:$H$25</definedName>
    <definedName name="_xlnm._FilterDatabase" localSheetId="8" hidden="1">'Committed Costs '!$B$3:$H$6</definedName>
    <definedName name="_xlnm._FilterDatabase" localSheetId="11" hidden="1">Contingency!$B$2:$G$6</definedName>
    <definedName name="_xlnm._FilterDatabase" localSheetId="9" hidden="1">Invoices!$B$3:$J$11</definedName>
    <definedName name="_xlnm._FilterDatabase" localSheetId="7" hidden="1">'Project Detail'!$B$3:$O$173</definedName>
    <definedName name="_xlnm.Print_Area" localSheetId="8">'Committed Costs '!$A$1:$H$10</definedName>
    <definedName name="_xlnm.Print_Area" localSheetId="11">Contingency!$A$1:$H$9</definedName>
    <definedName name="_xlnm.Print_Area" localSheetId="5">'Project At-a-Glance'!$A$1:$I$33</definedName>
    <definedName name="_xlnm.Print_Area" localSheetId="7">'Project Detail'!$A$1:$O$175</definedName>
    <definedName name="_xlnm.Print_Area" localSheetId="6">'Project Summary '!$B$1:$H$31</definedName>
    <definedName name="_xlnm.Print_Area" localSheetId="12">'Risk Report'!$A$1:$K$27</definedName>
    <definedName name="_xlnm.Print_Titles" localSheetId="9">Invoices!$3:$3</definedName>
    <definedName name="_xlnm.Print_Titles" localSheetId="5">'Project At-a-Glance'!$17:$18</definedName>
    <definedName name="_xlnm.Print_Titles" localSheetId="7">'Project Detail'!$2:$2</definedName>
    <definedName name="_xlnm.Print_Titles" localSheetId="6">'Project Summary '!$2:$3</definedName>
    <definedName name="_xlnm.Print_Titles" localSheetId="12">'Risk Report'!#REF!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2" l="1"/>
  <c r="F125" i="22"/>
  <c r="C288" i="22"/>
  <c r="F288" i="22" s="1"/>
  <c r="F306" i="22"/>
  <c r="F123" i="22"/>
  <c r="C124" i="22"/>
  <c r="F124" i="22" s="1"/>
  <c r="C122" i="22"/>
  <c r="F122" i="22" s="1"/>
  <c r="A283" i="22"/>
  <c r="A284" i="22" s="1"/>
  <c r="A285" i="22" s="1"/>
  <c r="A286" i="22" s="1"/>
  <c r="A287" i="22" s="1"/>
  <c r="A290" i="22" s="1"/>
  <c r="A291" i="22" s="1"/>
  <c r="A292" i="22" s="1"/>
  <c r="F285" i="22"/>
  <c r="F284" i="22"/>
  <c r="C486" i="22"/>
  <c r="F486" i="22" s="1"/>
  <c r="I486" i="22"/>
  <c r="F299" i="22"/>
  <c r="F313" i="22"/>
  <c r="F314" i="22"/>
  <c r="F326" i="22"/>
  <c r="J324" i="22"/>
  <c r="B4" i="22"/>
  <c r="F217" i="22"/>
  <c r="C32" i="22"/>
  <c r="F33" i="22"/>
  <c r="A484" i="22"/>
  <c r="A485" i="22" s="1"/>
  <c r="F484" i="22"/>
  <c r="F485" i="22"/>
  <c r="A446" i="22"/>
  <c r="A447" i="22" s="1"/>
  <c r="A448" i="22" s="1"/>
  <c r="A449" i="22" s="1"/>
  <c r="A450" i="22" s="1"/>
  <c r="A451" i="22" s="1"/>
  <c r="F434" i="22"/>
  <c r="F449" i="22"/>
  <c r="F450" i="22"/>
  <c r="F451" i="22"/>
  <c r="F448" i="22"/>
  <c r="F447" i="22"/>
  <c r="F422" i="22"/>
  <c r="D21" i="20"/>
  <c r="D22" i="20" s="1"/>
  <c r="D23" i="20" s="1"/>
  <c r="A165" i="23"/>
  <c r="A166" i="23"/>
  <c r="A167" i="23"/>
  <c r="A168" i="23"/>
  <c r="A169" i="23"/>
  <c r="A170" i="23"/>
  <c r="A171" i="23"/>
  <c r="F298" i="22"/>
  <c r="F375" i="22"/>
  <c r="F376" i="22"/>
  <c r="A320" i="22"/>
  <c r="A321" i="22" s="1"/>
  <c r="A322" i="22" s="1"/>
  <c r="A323" i="22" s="1"/>
  <c r="A324" i="22" s="1"/>
  <c r="A325" i="22" s="1"/>
  <c r="A326" i="22" s="1"/>
  <c r="F324" i="22"/>
  <c r="C322" i="22"/>
  <c r="F322" i="22" s="1"/>
  <c r="A365" i="22"/>
  <c r="A366" i="22" s="1"/>
  <c r="A367" i="22" s="1"/>
  <c r="A368" i="22" s="1"/>
  <c r="A369" i="22" s="1"/>
  <c r="F395" i="22"/>
  <c r="B346" i="22"/>
  <c r="F344" i="22"/>
  <c r="F346" i="22" s="1"/>
  <c r="C35" i="21" s="1"/>
  <c r="F350" i="22"/>
  <c r="F351" i="22"/>
  <c r="F352" i="22"/>
  <c r="F349" i="22"/>
  <c r="F383" i="22"/>
  <c r="C382" i="22"/>
  <c r="F382" i="22" s="1"/>
  <c r="F399" i="22"/>
  <c r="F400" i="22"/>
  <c r="A380" i="22"/>
  <c r="A381" i="22" s="1"/>
  <c r="A383" i="22" s="1"/>
  <c r="A384" i="22" s="1"/>
  <c r="A385" i="22" s="1"/>
  <c r="A386" i="22" s="1"/>
  <c r="A387" i="22" s="1"/>
  <c r="A388" i="22" s="1"/>
  <c r="A389" i="22" s="1"/>
  <c r="A390" i="22" s="1"/>
  <c r="A391" i="22" s="1"/>
  <c r="A392" i="22" s="1"/>
  <c r="A393" i="22" s="1"/>
  <c r="A394" i="22" s="1"/>
  <c r="A395" i="22" s="1"/>
  <c r="A396" i="22" s="1"/>
  <c r="A397" i="22" s="1"/>
  <c r="A398" i="22" s="1"/>
  <c r="F398" i="22"/>
  <c r="F385" i="22"/>
  <c r="F386" i="22"/>
  <c r="F388" i="22"/>
  <c r="F389" i="22"/>
  <c r="F390" i="22"/>
  <c r="F391" i="22"/>
  <c r="C387" i="22"/>
  <c r="C384" i="22"/>
  <c r="C415" i="22"/>
  <c r="F369" i="22"/>
  <c r="F368" i="22"/>
  <c r="F194" i="22"/>
  <c r="A186" i="22"/>
  <c r="A187" i="22" s="1"/>
  <c r="A188" i="22" s="1"/>
  <c r="A189" i="22" s="1"/>
  <c r="A190" i="22" s="1"/>
  <c r="A191" i="22" s="1"/>
  <c r="A192" i="22" s="1"/>
  <c r="A193" i="22" s="1"/>
  <c r="A194" i="22" s="1"/>
  <c r="F423" i="22"/>
  <c r="F426" i="22"/>
  <c r="F427" i="22"/>
  <c r="F428" i="22"/>
  <c r="F430" i="22"/>
  <c r="F431" i="22"/>
  <c r="F421" i="22"/>
  <c r="F442" i="22"/>
  <c r="F379" i="22"/>
  <c r="F380" i="22"/>
  <c r="F381" i="22"/>
  <c r="F359" i="22"/>
  <c r="F56" i="22"/>
  <c r="F34" i="22"/>
  <c r="F54" i="22"/>
  <c r="F55" i="22"/>
  <c r="F52" i="22"/>
  <c r="C53" i="22"/>
  <c r="F53" i="22" s="1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57" i="22"/>
  <c r="F58" i="22"/>
  <c r="A41" i="22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C42" i="22"/>
  <c r="F42" i="22" s="1"/>
  <c r="F41" i="22"/>
  <c r="F43" i="22"/>
  <c r="F44" i="22"/>
  <c r="F45" i="22"/>
  <c r="F46" i="22"/>
  <c r="F47" i="22"/>
  <c r="F48" i="22"/>
  <c r="F49" i="22"/>
  <c r="F50" i="22"/>
  <c r="F51" i="22"/>
  <c r="F59" i="22"/>
  <c r="F60" i="22"/>
  <c r="F61" i="22"/>
  <c r="E14" i="23"/>
  <c r="F111" i="22"/>
  <c r="F112" i="22"/>
  <c r="J8" i="20"/>
  <c r="E223" i="23"/>
  <c r="E224" i="23" s="1"/>
  <c r="F40" i="22"/>
  <c r="F63" i="22" s="1"/>
  <c r="F364" i="22"/>
  <c r="F366" i="22"/>
  <c r="F367" i="22"/>
  <c r="F478" i="22"/>
  <c r="F445" i="22"/>
  <c r="F446" i="22"/>
  <c r="F452" i="22"/>
  <c r="F453" i="22"/>
  <c r="F186" i="22"/>
  <c r="F187" i="22"/>
  <c r="F188" i="22"/>
  <c r="F189" i="22"/>
  <c r="F190" i="22"/>
  <c r="F191" i="22"/>
  <c r="F192" i="22"/>
  <c r="F193" i="22"/>
  <c r="F467" i="22"/>
  <c r="E4" i="24"/>
  <c r="E5" i="24"/>
  <c r="E6" i="24"/>
  <c r="E7" i="24"/>
  <c r="E8" i="24"/>
  <c r="E9" i="24"/>
  <c r="E10" i="24"/>
  <c r="E11" i="24"/>
  <c r="E12" i="24"/>
  <c r="E3" i="24"/>
  <c r="A14" i="22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F20" i="22"/>
  <c r="F21" i="22"/>
  <c r="F22" i="22"/>
  <c r="F14" i="22"/>
  <c r="F15" i="22"/>
  <c r="F16" i="22"/>
  <c r="F17" i="22"/>
  <c r="F18" i="22"/>
  <c r="F19" i="22"/>
  <c r="F23" i="22"/>
  <c r="F24" i="22"/>
  <c r="A276" i="23"/>
  <c r="A277" i="23" s="1"/>
  <c r="A278" i="23" s="1"/>
  <c r="A279" i="23" s="1"/>
  <c r="A280" i="23" s="1"/>
  <c r="A281" i="23" s="1"/>
  <c r="A282" i="23" s="1"/>
  <c r="A283" i="23" s="1"/>
  <c r="A284" i="23" s="1"/>
  <c r="A285" i="23" s="1"/>
  <c r="E282" i="23"/>
  <c r="E219" i="23"/>
  <c r="E260" i="23"/>
  <c r="E276" i="23"/>
  <c r="E277" i="23"/>
  <c r="E278" i="23"/>
  <c r="E279" i="23"/>
  <c r="E280" i="23"/>
  <c r="E281" i="23"/>
  <c r="E283" i="23"/>
  <c r="E284" i="23"/>
  <c r="E285" i="23"/>
  <c r="E76" i="23"/>
  <c r="C247" i="22"/>
  <c r="C246" i="22"/>
  <c r="C245" i="22"/>
  <c r="E171" i="23"/>
  <c r="D51" i="20" s="1"/>
  <c r="F358" i="22"/>
  <c r="E169" i="23"/>
  <c r="E170" i="23"/>
  <c r="E168" i="23"/>
  <c r="E157" i="23"/>
  <c r="E158" i="23"/>
  <c r="E159" i="23"/>
  <c r="E160" i="23"/>
  <c r="E161" i="23"/>
  <c r="E162" i="23"/>
  <c r="E163" i="23"/>
  <c r="E164" i="23"/>
  <c r="E165" i="23"/>
  <c r="E166" i="23"/>
  <c r="E167" i="23"/>
  <c r="E156" i="23"/>
  <c r="E209" i="23"/>
  <c r="E210" i="23" s="1"/>
  <c r="E204" i="23"/>
  <c r="E206" i="23" s="1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29" i="23"/>
  <c r="E144" i="23"/>
  <c r="E145" i="23"/>
  <c r="E146" i="23"/>
  <c r="E147" i="23"/>
  <c r="E148" i="23"/>
  <c r="E149" i="23"/>
  <c r="E30" i="23"/>
  <c r="E13" i="23"/>
  <c r="E31" i="23"/>
  <c r="E32" i="23"/>
  <c r="E33" i="23"/>
  <c r="E34" i="23"/>
  <c r="E35" i="23"/>
  <c r="E36" i="23"/>
  <c r="A25" i="23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E25" i="23"/>
  <c r="E26" i="23"/>
  <c r="E27" i="23"/>
  <c r="E28" i="23"/>
  <c r="E29" i="23"/>
  <c r="E24" i="23"/>
  <c r="E93" i="23"/>
  <c r="E41" i="23"/>
  <c r="B6" i="21"/>
  <c r="B7" i="22" s="1"/>
  <c r="B4" i="21"/>
  <c r="B2" i="21"/>
  <c r="B2" i="22" s="1"/>
  <c r="E313" i="23"/>
  <c r="E314" i="23" s="1"/>
  <c r="E316" i="23" s="1"/>
  <c r="D64" i="20" s="1"/>
  <c r="E306" i="23"/>
  <c r="E305" i="23"/>
  <c r="E301" i="23"/>
  <c r="E302" i="23" s="1"/>
  <c r="E295" i="23"/>
  <c r="E294" i="23"/>
  <c r="A294" i="23"/>
  <c r="A295" i="23" s="1"/>
  <c r="A296" i="23" s="1"/>
  <c r="A297" i="23" s="1"/>
  <c r="E293" i="23"/>
  <c r="E289" i="23"/>
  <c r="E290" i="23" s="1"/>
  <c r="D61" i="20" s="1"/>
  <c r="E275" i="23"/>
  <c r="E268" i="23"/>
  <c r="E267" i="23"/>
  <c r="E266" i="23"/>
  <c r="E269" i="23" s="1"/>
  <c r="A266" i="23"/>
  <c r="A267" i="23" s="1"/>
  <c r="E259" i="23"/>
  <c r="E256" i="23"/>
  <c r="E251" i="23"/>
  <c r="E252" i="23" s="1"/>
  <c r="A251" i="23"/>
  <c r="E247" i="23"/>
  <c r="E246" i="23"/>
  <c r="A246" i="23"/>
  <c r="A247" i="23" s="1"/>
  <c r="E245" i="23"/>
  <c r="E238" i="23"/>
  <c r="E239" i="23" s="1"/>
  <c r="A238" i="23"/>
  <c r="E234" i="23"/>
  <c r="E235" i="23" s="1"/>
  <c r="A234" i="23"/>
  <c r="E230" i="23"/>
  <c r="E231" i="23" s="1"/>
  <c r="A223" i="23"/>
  <c r="E218" i="23"/>
  <c r="E217" i="23"/>
  <c r="E216" i="23"/>
  <c r="A216" i="23"/>
  <c r="E199" i="23"/>
  <c r="E201" i="23" s="1"/>
  <c r="E192" i="23"/>
  <c r="A192" i="23"/>
  <c r="E191" i="23"/>
  <c r="E189" i="23"/>
  <c r="E188" i="23"/>
  <c r="A188" i="23"/>
  <c r="A189" i="23" s="1"/>
  <c r="E180" i="23"/>
  <c r="E179" i="23"/>
  <c r="E183" i="23" s="1"/>
  <c r="A178" i="23"/>
  <c r="A179" i="23" s="1"/>
  <c r="A180" i="23" s="1"/>
  <c r="A157" i="23"/>
  <c r="A158" i="23" s="1"/>
  <c r="A159" i="23" s="1"/>
  <c r="A160" i="23" s="1"/>
  <c r="A161" i="23" s="1"/>
  <c r="A162" i="23" s="1"/>
  <c r="A163" i="23" s="1"/>
  <c r="A164" i="23" s="1"/>
  <c r="E128" i="23"/>
  <c r="A128" i="23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E117" i="23"/>
  <c r="E116" i="23"/>
  <c r="A116" i="23"/>
  <c r="A117" i="23" s="1"/>
  <c r="E115" i="23"/>
  <c r="E114" i="23"/>
  <c r="A114" i="23"/>
  <c r="E112" i="23"/>
  <c r="E108" i="23"/>
  <c r="E107" i="23"/>
  <c r="A107" i="23"/>
  <c r="A108" i="23" s="1"/>
  <c r="E106" i="23"/>
  <c r="E101" i="23"/>
  <c r="E85" i="23"/>
  <c r="E90" i="23" s="1"/>
  <c r="E80" i="23"/>
  <c r="E79" i="23"/>
  <c r="E78" i="23"/>
  <c r="E77" i="23"/>
  <c r="E75" i="23"/>
  <c r="A75" i="23"/>
  <c r="E69" i="23"/>
  <c r="E61" i="23"/>
  <c r="E57" i="23"/>
  <c r="E56" i="23"/>
  <c r="E54" i="23"/>
  <c r="E47" i="23"/>
  <c r="E46" i="23"/>
  <c r="E19" i="23"/>
  <c r="E21" i="23" s="1"/>
  <c r="D34" i="20" s="1"/>
  <c r="I55" i="10"/>
  <c r="K55" i="10" s="1"/>
  <c r="H55" i="10"/>
  <c r="G55" i="10"/>
  <c r="M55" i="10" s="1"/>
  <c r="I54" i="10"/>
  <c r="K54" i="10" s="1"/>
  <c r="H54" i="10"/>
  <c r="G54" i="10"/>
  <c r="M54" i="10" s="1"/>
  <c r="I53" i="10"/>
  <c r="K53" i="10" s="1"/>
  <c r="H53" i="10"/>
  <c r="G53" i="10"/>
  <c r="M53" i="10" s="1"/>
  <c r="I52" i="10"/>
  <c r="K52" i="10" s="1"/>
  <c r="H52" i="10"/>
  <c r="G52" i="10"/>
  <c r="M52" i="10" s="1"/>
  <c r="I51" i="10"/>
  <c r="K51" i="10" s="1"/>
  <c r="H51" i="10"/>
  <c r="G51" i="10"/>
  <c r="M51" i="10" s="1"/>
  <c r="I50" i="10"/>
  <c r="K50" i="10" s="1"/>
  <c r="H50" i="10"/>
  <c r="G50" i="10"/>
  <c r="M50" i="10" s="1"/>
  <c r="L50" i="10" s="1"/>
  <c r="E13" i="24" l="1"/>
  <c r="F354" i="22"/>
  <c r="C36" i="21" s="1"/>
  <c r="D36" i="21" s="1"/>
  <c r="F387" i="22"/>
  <c r="C323" i="22"/>
  <c r="F323" i="22" s="1"/>
  <c r="F384" i="22"/>
  <c r="C321" i="22"/>
  <c r="E152" i="23"/>
  <c r="D49" i="20" s="1"/>
  <c r="F64" i="10" s="1"/>
  <c r="E150" i="23"/>
  <c r="E38" i="23"/>
  <c r="D35" i="20" s="1"/>
  <c r="E174" i="23"/>
  <c r="D50" i="20" s="1"/>
  <c r="F84" i="10" s="1"/>
  <c r="E172" i="23"/>
  <c r="A143" i="23"/>
  <c r="A144" i="23" s="1"/>
  <c r="A145" i="23" s="1"/>
  <c r="A146" i="23" s="1"/>
  <c r="A147" i="23" s="1"/>
  <c r="A148" i="23" s="1"/>
  <c r="A149" i="23" s="1"/>
  <c r="E98" i="23"/>
  <c r="D43" i="20" s="1"/>
  <c r="E43" i="23"/>
  <c r="D36" i="20" s="1"/>
  <c r="E307" i="23"/>
  <c r="D63" i="20" s="1"/>
  <c r="E248" i="23"/>
  <c r="E109" i="23"/>
  <c r="D45" i="20" s="1"/>
  <c r="F35" i="10" s="1"/>
  <c r="E118" i="23"/>
  <c r="D46" i="20" s="1"/>
  <c r="D55" i="20"/>
  <c r="E263" i="23"/>
  <c r="E58" i="23"/>
  <c r="D38" i="20" s="1"/>
  <c r="D42" i="20"/>
  <c r="E71" i="23"/>
  <c r="D40" i="20" s="1"/>
  <c r="E286" i="23"/>
  <c r="D60" i="20" s="1"/>
  <c r="F152" i="10" s="1"/>
  <c r="E51" i="23"/>
  <c r="D37" i="20" s="1"/>
  <c r="E66" i="23"/>
  <c r="D39" i="20" s="1"/>
  <c r="E103" i="23"/>
  <c r="E241" i="23"/>
  <c r="D58" i="20" s="1"/>
  <c r="E193" i="23"/>
  <c r="E195" i="23" s="1"/>
  <c r="D54" i="20" s="1"/>
  <c r="F94" i="10" s="1"/>
  <c r="E16" i="23"/>
  <c r="D33" i="20" s="1"/>
  <c r="F50" i="10" s="1"/>
  <c r="E181" i="23"/>
  <c r="D53" i="20" s="1"/>
  <c r="F91" i="10" s="1"/>
  <c r="E298" i="23"/>
  <c r="E220" i="23"/>
  <c r="E226" i="23" s="1"/>
  <c r="L53" i="10"/>
  <c r="L54" i="10"/>
  <c r="L52" i="10"/>
  <c r="L55" i="10"/>
  <c r="L51" i="10"/>
  <c r="F153" i="10"/>
  <c r="D56" i="20"/>
  <c r="D52" i="20"/>
  <c r="F90" i="10" s="1"/>
  <c r="F86" i="10"/>
  <c r="F85" i="10"/>
  <c r="F80" i="10"/>
  <c r="F53" i="10"/>
  <c r="N53" i="10" s="1"/>
  <c r="F36" i="10"/>
  <c r="F47" i="10"/>
  <c r="F48" i="10"/>
  <c r="F49" i="10"/>
  <c r="F30" i="22"/>
  <c r="F13" i="22"/>
  <c r="F311" i="22"/>
  <c r="D54" i="21"/>
  <c r="D57" i="21"/>
  <c r="D56" i="21"/>
  <c r="D55" i="21"/>
  <c r="F127" i="22"/>
  <c r="C16" i="21" s="1"/>
  <c r="D16" i="21" s="1"/>
  <c r="F474" i="22"/>
  <c r="C43" i="21" s="1"/>
  <c r="D43" i="21" s="1"/>
  <c r="F25" i="22"/>
  <c r="B488" i="22"/>
  <c r="F483" i="22"/>
  <c r="F488" i="22" s="1"/>
  <c r="C45" i="21" s="1"/>
  <c r="D45" i="21" s="1"/>
  <c r="B480" i="22"/>
  <c r="F477" i="22"/>
  <c r="F480" i="22" s="1"/>
  <c r="C44" i="21" s="1"/>
  <c r="D44" i="21" s="1"/>
  <c r="B474" i="22"/>
  <c r="A468" i="22"/>
  <c r="A469" i="22" s="1"/>
  <c r="A470" i="22" s="1"/>
  <c r="A471" i="22" s="1"/>
  <c r="B464" i="22"/>
  <c r="F462" i="22"/>
  <c r="F461" i="22"/>
  <c r="F460" i="22"/>
  <c r="A460" i="22"/>
  <c r="A461" i="22" s="1"/>
  <c r="A462" i="22" s="1"/>
  <c r="F459" i="22"/>
  <c r="B456" i="22"/>
  <c r="F454" i="22"/>
  <c r="F435" i="22"/>
  <c r="F441" i="22"/>
  <c r="F440" i="22"/>
  <c r="F439" i="22"/>
  <c r="F438" i="22"/>
  <c r="F433" i="22"/>
  <c r="F432" i="22"/>
  <c r="A433" i="22"/>
  <c r="A427" i="22"/>
  <c r="A428" i="22" s="1"/>
  <c r="A434" i="22" s="1"/>
  <c r="A435" i="22" s="1"/>
  <c r="B417" i="22"/>
  <c r="F415" i="22"/>
  <c r="F417" i="22" s="1"/>
  <c r="C40" i="21" s="1"/>
  <c r="D40" i="21" s="1"/>
  <c r="B412" i="22"/>
  <c r="F409" i="22"/>
  <c r="F408" i="22"/>
  <c r="F407" i="22"/>
  <c r="F406" i="22"/>
  <c r="F405" i="22"/>
  <c r="F404" i="22"/>
  <c r="F403" i="22"/>
  <c r="F402" i="22"/>
  <c r="F401" i="22"/>
  <c r="F397" i="22"/>
  <c r="F396" i="22"/>
  <c r="F394" i="22"/>
  <c r="F393" i="22"/>
  <c r="F392" i="22"/>
  <c r="F374" i="22"/>
  <c r="B371" i="22"/>
  <c r="F365" i="22"/>
  <c r="F371" i="22" s="1"/>
  <c r="C38" i="21" s="1"/>
  <c r="D38" i="21" s="1"/>
  <c r="B361" i="22"/>
  <c r="F357" i="22"/>
  <c r="F361" i="22" s="1"/>
  <c r="B354" i="22"/>
  <c r="B341" i="22"/>
  <c r="F339" i="22"/>
  <c r="F338" i="22"/>
  <c r="A338" i="22"/>
  <c r="A339" i="22" s="1"/>
  <c r="F337" i="22"/>
  <c r="B334" i="22"/>
  <c r="F332" i="22"/>
  <c r="F331" i="22"/>
  <c r="B328" i="22"/>
  <c r="F325" i="22"/>
  <c r="F319" i="22"/>
  <c r="B316" i="22"/>
  <c r="F312" i="22"/>
  <c r="B308" i="22"/>
  <c r="F305" i="22"/>
  <c r="F308" i="22" s="1"/>
  <c r="C30" i="21" s="1"/>
  <c r="D30" i="21" s="1"/>
  <c r="B302" i="22"/>
  <c r="F297" i="22"/>
  <c r="F302" i="22" s="1"/>
  <c r="C29" i="21" s="1"/>
  <c r="D29" i="21" s="1"/>
  <c r="B294" i="22"/>
  <c r="F292" i="22"/>
  <c r="F291" i="22"/>
  <c r="F290" i="22"/>
  <c r="F287" i="22"/>
  <c r="F286" i="22"/>
  <c r="F283" i="22"/>
  <c r="F282" i="22"/>
  <c r="B279" i="22"/>
  <c r="F277" i="22"/>
  <c r="F276" i="22"/>
  <c r="F275" i="22"/>
  <c r="F274" i="22"/>
  <c r="F273" i="22"/>
  <c r="B270" i="22"/>
  <c r="F268" i="22"/>
  <c r="F267" i="22"/>
  <c r="F266" i="22"/>
  <c r="F265" i="22"/>
  <c r="F264" i="22"/>
  <c r="F263" i="22"/>
  <c r="F262" i="22"/>
  <c r="F261" i="22"/>
  <c r="F260" i="22"/>
  <c r="F241" i="22"/>
  <c r="B237" i="22"/>
  <c r="F235" i="22"/>
  <c r="A235" i="22"/>
  <c r="F234" i="22"/>
  <c r="F233" i="22"/>
  <c r="F232" i="22"/>
  <c r="B229" i="22"/>
  <c r="F227" i="22"/>
  <c r="F226" i="22"/>
  <c r="F225" i="22"/>
  <c r="F224" i="22"/>
  <c r="F223" i="22"/>
  <c r="F222" i="22"/>
  <c r="B219" i="22"/>
  <c r="F216" i="22"/>
  <c r="F219" i="22" s="1"/>
  <c r="C23" i="21" s="1"/>
  <c r="D23" i="21" s="1"/>
  <c r="B213" i="22"/>
  <c r="F210" i="22"/>
  <c r="F209" i="22"/>
  <c r="F208" i="22"/>
  <c r="F207" i="22"/>
  <c r="B204" i="22"/>
  <c r="F201" i="22"/>
  <c r="F200" i="22"/>
  <c r="F199" i="22"/>
  <c r="B196" i="22"/>
  <c r="F185" i="22"/>
  <c r="B182" i="22"/>
  <c r="F180" i="22"/>
  <c r="F179" i="22"/>
  <c r="F178" i="22"/>
  <c r="F177" i="22"/>
  <c r="F176" i="22"/>
  <c r="F175" i="22"/>
  <c r="F174" i="22"/>
  <c r="F173" i="22"/>
  <c r="F172" i="22"/>
  <c r="F171" i="22"/>
  <c r="F170" i="22"/>
  <c r="F169" i="22"/>
  <c r="F168" i="22"/>
  <c r="F167" i="22"/>
  <c r="F166" i="22"/>
  <c r="F165" i="22"/>
  <c r="A165" i="22"/>
  <c r="A166" i="22" s="1"/>
  <c r="A167" i="22" s="1"/>
  <c r="A168" i="22" s="1"/>
  <c r="A169" i="22" s="1"/>
  <c r="A170" i="22" s="1"/>
  <c r="A171" i="22" s="1"/>
  <c r="A172" i="22" s="1"/>
  <c r="A173" i="22" s="1"/>
  <c r="A174" i="22" s="1"/>
  <c r="A175" i="22" s="1"/>
  <c r="A176" i="22" s="1"/>
  <c r="A177" i="22" s="1"/>
  <c r="A178" i="22" s="1"/>
  <c r="A179" i="22" s="1"/>
  <c r="A180" i="22" s="1"/>
  <c r="F164" i="22"/>
  <c r="F163" i="22"/>
  <c r="B160" i="22"/>
  <c r="F158" i="22"/>
  <c r="F157" i="22"/>
  <c r="A157" i="22"/>
  <c r="F156" i="22"/>
  <c r="F155" i="22"/>
  <c r="A155" i="22"/>
  <c r="F154" i="22"/>
  <c r="B151" i="22"/>
  <c r="F149" i="22"/>
  <c r="F148" i="22"/>
  <c r="F147" i="22"/>
  <c r="F146" i="22"/>
  <c r="F145" i="22"/>
  <c r="F144" i="22"/>
  <c r="F143" i="22"/>
  <c r="F142" i="22"/>
  <c r="F141" i="22"/>
  <c r="F140" i="22"/>
  <c r="F139" i="22"/>
  <c r="F138" i="22"/>
  <c r="F132" i="22"/>
  <c r="F131" i="22"/>
  <c r="F130" i="22"/>
  <c r="B127" i="22"/>
  <c r="B119" i="22"/>
  <c r="F117" i="22"/>
  <c r="F116" i="22"/>
  <c r="F115" i="22"/>
  <c r="F113" i="22"/>
  <c r="F114" i="22"/>
  <c r="B93" i="22"/>
  <c r="F91" i="22"/>
  <c r="F90" i="22"/>
  <c r="F89" i="22"/>
  <c r="F88" i="22"/>
  <c r="F87" i="22"/>
  <c r="F86" i="22"/>
  <c r="F85" i="22"/>
  <c r="F84" i="22"/>
  <c r="F83" i="22"/>
  <c r="A82" i="22"/>
  <c r="A83" i="22" s="1"/>
  <c r="A84" i="22" s="1"/>
  <c r="A85" i="22" s="1"/>
  <c r="A86" i="22" s="1"/>
  <c r="A87" i="22" s="1"/>
  <c r="A88" i="22" s="1"/>
  <c r="A89" i="22" s="1"/>
  <c r="A90" i="22" s="1"/>
  <c r="A91" i="22" s="1"/>
  <c r="F68" i="22"/>
  <c r="F67" i="22"/>
  <c r="F66" i="22"/>
  <c r="B63" i="22"/>
  <c r="B37" i="22"/>
  <c r="F35" i="22"/>
  <c r="B27" i="22"/>
  <c r="D52" i="21"/>
  <c r="D51" i="21"/>
  <c r="D50" i="21"/>
  <c r="D46" i="21"/>
  <c r="D47" i="21"/>
  <c r="D48" i="21"/>
  <c r="G47" i="20"/>
  <c r="H47" i="20"/>
  <c r="H65" i="20"/>
  <c r="G65" i="20"/>
  <c r="F65" i="20"/>
  <c r="F37" i="22" l="1"/>
  <c r="C12" i="21" s="1"/>
  <c r="D12" i="21" s="1"/>
  <c r="F321" i="22"/>
  <c r="C320" i="22"/>
  <c r="F320" i="22" s="1"/>
  <c r="A401" i="22"/>
  <c r="A402" i="22" s="1"/>
  <c r="A403" i="22" s="1"/>
  <c r="A404" i="22" s="1"/>
  <c r="A405" i="22" s="1"/>
  <c r="A406" i="22" s="1"/>
  <c r="A407" i="22" s="1"/>
  <c r="A408" i="22" s="1"/>
  <c r="A409" i="22" s="1"/>
  <c r="A399" i="22"/>
  <c r="A400" i="22" s="1"/>
  <c r="E271" i="23"/>
  <c r="F155" i="10"/>
  <c r="E309" i="23"/>
  <c r="F279" i="22"/>
  <c r="C27" i="21" s="1"/>
  <c r="D27" i="21" s="1"/>
  <c r="F237" i="22"/>
  <c r="C25" i="21" s="1"/>
  <c r="D25" i="21" s="1"/>
  <c r="F229" i="22"/>
  <c r="C24" i="21" s="1"/>
  <c r="D24" i="21" s="1"/>
  <c r="F196" i="22"/>
  <c r="C20" i="21" s="1"/>
  <c r="D20" i="21" s="1"/>
  <c r="D44" i="20"/>
  <c r="F55" i="10" s="1"/>
  <c r="N55" i="10" s="1"/>
  <c r="F44" i="20"/>
  <c r="F47" i="20" s="1"/>
  <c r="F69" i="20" s="1"/>
  <c r="G69" i="20"/>
  <c r="D59" i="20"/>
  <c r="E212" i="23"/>
  <c r="D62" i="20"/>
  <c r="F154" i="10" s="1"/>
  <c r="N50" i="10"/>
  <c r="F56" i="10"/>
  <c r="D57" i="20"/>
  <c r="F41" i="10"/>
  <c r="F51" i="10"/>
  <c r="N51" i="10" s="1"/>
  <c r="F52" i="10"/>
  <c r="N52" i="10" s="1"/>
  <c r="H69" i="20"/>
  <c r="F27" i="22"/>
  <c r="C11" i="21" s="1"/>
  <c r="D11" i="21" s="1"/>
  <c r="C13" i="21"/>
  <c r="D13" i="21" s="1"/>
  <c r="F93" i="22"/>
  <c r="C14" i="21" s="1"/>
  <c r="D14" i="21" s="1"/>
  <c r="F151" i="22"/>
  <c r="C17" i="21" s="1"/>
  <c r="D17" i="21" s="1"/>
  <c r="F160" i="22"/>
  <c r="C18" i="21" s="1"/>
  <c r="D18" i="21" s="1"/>
  <c r="F182" i="22"/>
  <c r="C19" i="21" s="1"/>
  <c r="D19" i="21" s="1"/>
  <c r="F204" i="22"/>
  <c r="C21" i="21" s="1"/>
  <c r="D21" i="21" s="1"/>
  <c r="F213" i="22"/>
  <c r="C22" i="21" s="1"/>
  <c r="D22" i="21" s="1"/>
  <c r="F294" i="22"/>
  <c r="C28" i="21" s="1"/>
  <c r="D28" i="21" s="1"/>
  <c r="F316" i="22"/>
  <c r="C31" i="21" s="1"/>
  <c r="D31" i="21" s="1"/>
  <c r="F334" i="22"/>
  <c r="C33" i="21" s="1"/>
  <c r="D33" i="21" s="1"/>
  <c r="F341" i="22"/>
  <c r="C34" i="21" s="1"/>
  <c r="D34" i="21" s="1"/>
  <c r="D35" i="21"/>
  <c r="C37" i="21"/>
  <c r="D37" i="21" s="1"/>
  <c r="F412" i="22"/>
  <c r="C39" i="21" s="1"/>
  <c r="D39" i="21" s="1"/>
  <c r="F456" i="22"/>
  <c r="C41" i="21" s="1"/>
  <c r="D41" i="21" s="1"/>
  <c r="F464" i="22"/>
  <c r="C42" i="21" s="1"/>
  <c r="D42" i="21" s="1"/>
  <c r="F259" i="22"/>
  <c r="F270" i="22" s="1"/>
  <c r="C26" i="21" s="1"/>
  <c r="D26" i="21" s="1"/>
  <c r="F97" i="22"/>
  <c r="F119" i="22" s="1"/>
  <c r="C15" i="21" s="1"/>
  <c r="D15" i="21" s="1"/>
  <c r="F328" i="22" l="1"/>
  <c r="C32" i="21" s="1"/>
  <c r="D65" i="20"/>
  <c r="I65" i="20" s="1"/>
  <c r="F120" i="10"/>
  <c r="F57" i="10"/>
  <c r="D32" i="21" l="1"/>
  <c r="C49" i="21"/>
  <c r="D49" i="21" s="1"/>
  <c r="D25" i="20" l="1"/>
  <c r="C53" i="21"/>
  <c r="C58" i="21" s="1"/>
  <c r="D74" i="23" l="1"/>
  <c r="E74" i="23" s="1"/>
  <c r="E82" i="23" s="1"/>
  <c r="D28" i="20"/>
  <c r="D29" i="20" s="1"/>
  <c r="E120" i="23" l="1"/>
  <c r="D41" i="20"/>
  <c r="D31" i="20"/>
  <c r="F6" i="10" s="1"/>
  <c r="D47" i="20" l="1"/>
  <c r="I47" i="20" s="1"/>
  <c r="F54" i="10"/>
  <c r="N54" i="10" s="1"/>
  <c r="D67" i="20"/>
  <c r="I31" i="20"/>
  <c r="I15" i="5"/>
  <c r="E15" i="5"/>
  <c r="F170" i="10" l="1"/>
  <c r="I67" i="20"/>
  <c r="I71" i="20" s="1"/>
  <c r="D69" i="20"/>
  <c r="D71" i="20" s="1"/>
  <c r="G81" i="10"/>
  <c r="H81" i="10"/>
  <c r="I81" i="10"/>
  <c r="K81" i="10" s="1"/>
  <c r="J82" i="10"/>
  <c r="J138" i="10"/>
  <c r="G137" i="10"/>
  <c r="H137" i="10"/>
  <c r="I137" i="10"/>
  <c r="K137" i="10" s="1"/>
  <c r="M81" i="10" l="1"/>
  <c r="N81" i="10" s="1"/>
  <c r="M137" i="10"/>
  <c r="N137" i="10" s="1"/>
  <c r="L81" i="10" l="1"/>
  <c r="L137" i="10"/>
  <c r="G136" i="10" l="1"/>
  <c r="H136" i="10"/>
  <c r="I136" i="10"/>
  <c r="K136" i="10" s="1"/>
  <c r="M136" i="10" l="1"/>
  <c r="N136" i="10" s="1"/>
  <c r="L136" i="10" l="1"/>
  <c r="S115" i="10"/>
  <c r="U115" i="10" s="1"/>
  <c r="S166" i="10"/>
  <c r="S150" i="10"/>
  <c r="S138" i="10"/>
  <c r="S130" i="10"/>
  <c r="S57" i="10"/>
  <c r="S82" i="10"/>
  <c r="S88" i="10"/>
  <c r="Y92" i="10"/>
  <c r="X92" i="10"/>
  <c r="W92" i="10"/>
  <c r="T92" i="10"/>
  <c r="S92" i="10"/>
  <c r="T99" i="10"/>
  <c r="S99" i="10"/>
  <c r="Z116" i="10"/>
  <c r="Y118" i="10"/>
  <c r="X118" i="10"/>
  <c r="W118" i="10"/>
  <c r="T118" i="10"/>
  <c r="T138" i="10"/>
  <c r="T130" i="10"/>
  <c r="Z177" i="10"/>
  <c r="U177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Z117" i="10"/>
  <c r="U165" i="10"/>
  <c r="U164" i="10"/>
  <c r="U163" i="10"/>
  <c r="U162" i="10"/>
  <c r="U161" i="10"/>
  <c r="U160" i="10"/>
  <c r="U159" i="10"/>
  <c r="U158" i="10"/>
  <c r="U157" i="10"/>
  <c r="U156" i="10"/>
  <c r="U155" i="10"/>
  <c r="U154" i="10"/>
  <c r="U153" i="10"/>
  <c r="U152" i="10"/>
  <c r="U149" i="10"/>
  <c r="U148" i="10"/>
  <c r="U147" i="10"/>
  <c r="U146" i="10"/>
  <c r="U145" i="10"/>
  <c r="U144" i="10"/>
  <c r="U143" i="10"/>
  <c r="U142" i="10"/>
  <c r="U141" i="10"/>
  <c r="U140" i="10"/>
  <c r="U135" i="10"/>
  <c r="U134" i="10"/>
  <c r="U133" i="10"/>
  <c r="U132" i="10"/>
  <c r="U129" i="10"/>
  <c r="U128" i="10"/>
  <c r="U127" i="10"/>
  <c r="U126" i="10"/>
  <c r="U125" i="10"/>
  <c r="U124" i="10"/>
  <c r="U123" i="10"/>
  <c r="U122" i="10"/>
  <c r="U121" i="10"/>
  <c r="U120" i="10"/>
  <c r="U116" i="10"/>
  <c r="U117" i="10"/>
  <c r="U102" i="10"/>
  <c r="U101" i="10"/>
  <c r="U94" i="10"/>
  <c r="U99" i="10" s="1"/>
  <c r="U91" i="10"/>
  <c r="U90" i="10"/>
  <c r="U92" i="10" s="1"/>
  <c r="U87" i="10"/>
  <c r="U86" i="10"/>
  <c r="U85" i="10"/>
  <c r="U84" i="10"/>
  <c r="U80" i="10"/>
  <c r="U64" i="10"/>
  <c r="U56" i="10"/>
  <c r="U49" i="10"/>
  <c r="U48" i="10"/>
  <c r="U47" i="10"/>
  <c r="U43" i="10"/>
  <c r="U42" i="10"/>
  <c r="U41" i="10"/>
  <c r="U35" i="10"/>
  <c r="U27" i="10"/>
  <c r="U21" i="10"/>
  <c r="U15" i="10"/>
  <c r="U9" i="10"/>
  <c r="J118" i="10"/>
  <c r="I117" i="10"/>
  <c r="K117" i="10" s="1"/>
  <c r="H117" i="10"/>
  <c r="G117" i="10"/>
  <c r="F142" i="10"/>
  <c r="F141" i="10"/>
  <c r="F6" i="17"/>
  <c r="F9" i="17" s="1"/>
  <c r="M117" i="10" l="1"/>
  <c r="N117" i="10" s="1"/>
  <c r="U82" i="10"/>
  <c r="AB177" i="10"/>
  <c r="U118" i="10"/>
  <c r="S118" i="10"/>
  <c r="S168" i="10" s="1"/>
  <c r="AB117" i="10"/>
  <c r="AB116" i="10"/>
  <c r="L117" i="10" l="1"/>
  <c r="Q117" i="10"/>
  <c r="AD117" i="10" s="1"/>
  <c r="I56" i="10"/>
  <c r="K56" i="10" s="1"/>
  <c r="H56" i="10"/>
  <c r="G56" i="10"/>
  <c r="M56" i="10" s="1"/>
  <c r="J57" i="10"/>
  <c r="Z56" i="10"/>
  <c r="AB56" i="10" s="1"/>
  <c r="X57" i="10"/>
  <c r="Y57" i="10"/>
  <c r="W57" i="10"/>
  <c r="Q56" i="10" l="1"/>
  <c r="AD56" i="10" s="1"/>
  <c r="N56" i="10"/>
  <c r="L56" i="10"/>
  <c r="I116" i="10" l="1"/>
  <c r="K116" i="10" s="1"/>
  <c r="H116" i="10"/>
  <c r="G116" i="10"/>
  <c r="M116" i="10" s="1"/>
  <c r="Q116" i="10" l="1"/>
  <c r="AD116" i="10" s="1"/>
  <c r="L116" i="10"/>
  <c r="N116" i="10" l="1"/>
  <c r="Z165" i="10" l="1"/>
  <c r="AB165" i="10" s="1"/>
  <c r="Z164" i="10"/>
  <c r="Z163" i="10"/>
  <c r="AB163" i="10" s="1"/>
  <c r="Z162" i="10"/>
  <c r="AB162" i="10" s="1"/>
  <c r="Z161" i="10"/>
  <c r="Z160" i="10"/>
  <c r="Z159" i="10"/>
  <c r="Z158" i="10"/>
  <c r="AB158" i="10" s="1"/>
  <c r="Z157" i="10"/>
  <c r="AB157" i="10" s="1"/>
  <c r="Z156" i="10"/>
  <c r="Z155" i="10"/>
  <c r="Z154" i="10"/>
  <c r="AB154" i="10" s="1"/>
  <c r="Z153" i="10"/>
  <c r="Z152" i="10"/>
  <c r="AB152" i="10" s="1"/>
  <c r="Z149" i="10"/>
  <c r="Z148" i="10"/>
  <c r="AB148" i="10" s="1"/>
  <c r="Z147" i="10"/>
  <c r="AB147" i="10" s="1"/>
  <c r="Z146" i="10"/>
  <c r="Z145" i="10"/>
  <c r="AB145" i="10" s="1"/>
  <c r="Z144" i="10"/>
  <c r="AB144" i="10" s="1"/>
  <c r="Z143" i="10"/>
  <c r="Z142" i="10"/>
  <c r="AB142" i="10" s="1"/>
  <c r="Z141" i="10"/>
  <c r="Z140" i="10"/>
  <c r="AB140" i="10" s="1"/>
  <c r="Z135" i="10"/>
  <c r="AB135" i="10" s="1"/>
  <c r="Z134" i="10"/>
  <c r="AB134" i="10" s="1"/>
  <c r="Z133" i="10"/>
  <c r="AB133" i="10" s="1"/>
  <c r="Z132" i="10"/>
  <c r="AB132" i="10" s="1"/>
  <c r="Z129" i="10"/>
  <c r="AB129" i="10" s="1"/>
  <c r="Z128" i="10"/>
  <c r="AB128" i="10" s="1"/>
  <c r="Z127" i="10"/>
  <c r="AB127" i="10" s="1"/>
  <c r="Z126" i="10"/>
  <c r="AB126" i="10" s="1"/>
  <c r="Z125" i="10"/>
  <c r="AB125" i="10" s="1"/>
  <c r="Z124" i="10"/>
  <c r="Z123" i="10"/>
  <c r="AB123" i="10" s="1"/>
  <c r="Z122" i="10"/>
  <c r="AB122" i="10" s="1"/>
  <c r="Z121" i="10"/>
  <c r="AB121" i="10" s="1"/>
  <c r="Z120" i="10"/>
  <c r="Z115" i="10"/>
  <c r="Z114" i="10"/>
  <c r="Z113" i="10"/>
  <c r="Z112" i="10"/>
  <c r="Z111" i="10"/>
  <c r="Z110" i="10"/>
  <c r="Z109" i="10"/>
  <c r="Z108" i="10"/>
  <c r="Z107" i="10"/>
  <c r="Z106" i="10"/>
  <c r="Z105" i="10"/>
  <c r="Z104" i="10"/>
  <c r="Z103" i="10"/>
  <c r="Z102" i="10"/>
  <c r="Z101" i="10"/>
  <c r="Z98" i="10"/>
  <c r="Z97" i="10"/>
  <c r="Z96" i="10"/>
  <c r="Z95" i="10"/>
  <c r="Z94" i="10"/>
  <c r="AB94" i="10" s="1"/>
  <c r="AB99" i="10" s="1"/>
  <c r="Z91" i="10"/>
  <c r="Z90" i="10"/>
  <c r="Z87" i="10"/>
  <c r="AB87" i="10" s="1"/>
  <c r="Z86" i="10"/>
  <c r="Z85" i="10"/>
  <c r="Z84" i="10"/>
  <c r="Z80" i="10"/>
  <c r="Z79" i="10"/>
  <c r="Z78" i="10"/>
  <c r="Z77" i="10"/>
  <c r="Z76" i="10"/>
  <c r="Z75" i="10"/>
  <c r="Z74" i="10"/>
  <c r="Z73" i="10"/>
  <c r="Z72" i="10"/>
  <c r="Z71" i="10"/>
  <c r="Z70" i="10"/>
  <c r="Z69" i="10"/>
  <c r="Z68" i="10"/>
  <c r="Z67" i="10"/>
  <c r="Z66" i="10"/>
  <c r="Z65" i="10"/>
  <c r="Z64" i="10"/>
  <c r="Z49" i="10"/>
  <c r="AB49" i="10" s="1"/>
  <c r="Z48" i="10"/>
  <c r="Z47" i="10"/>
  <c r="Z43" i="10"/>
  <c r="Z42" i="10"/>
  <c r="Z41" i="10"/>
  <c r="Z35" i="10"/>
  <c r="Z39" i="10" s="1"/>
  <c r="Z27" i="10"/>
  <c r="Z28" i="10" s="1"/>
  <c r="Z21" i="10"/>
  <c r="Z22" i="10" s="1"/>
  <c r="Z15" i="10"/>
  <c r="Z16" i="10" s="1"/>
  <c r="Z9" i="10"/>
  <c r="Z10" i="10" s="1"/>
  <c r="AB161" i="10"/>
  <c r="AB160" i="10"/>
  <c r="AB159" i="10"/>
  <c r="AB156" i="10"/>
  <c r="AB155" i="10"/>
  <c r="AB153" i="10"/>
  <c r="AB149" i="10"/>
  <c r="AB146" i="10"/>
  <c r="AB143" i="10"/>
  <c r="AB141" i="10"/>
  <c r="U138" i="10"/>
  <c r="AB124" i="10"/>
  <c r="AB110" i="10"/>
  <c r="AB102" i="10"/>
  <c r="U98" i="10"/>
  <c r="U97" i="10"/>
  <c r="U96" i="10"/>
  <c r="U95" i="10"/>
  <c r="AB90" i="10"/>
  <c r="U79" i="10"/>
  <c r="U78" i="10"/>
  <c r="U77" i="10"/>
  <c r="AB77" i="10" s="1"/>
  <c r="U76" i="10"/>
  <c r="AB76" i="10" s="1"/>
  <c r="U75" i="10"/>
  <c r="U74" i="10"/>
  <c r="U73" i="10"/>
  <c r="U72" i="10"/>
  <c r="U71" i="10"/>
  <c r="U70" i="10"/>
  <c r="U69" i="10"/>
  <c r="AB69" i="10" s="1"/>
  <c r="U68" i="10"/>
  <c r="AB68" i="10" s="1"/>
  <c r="U67" i="10"/>
  <c r="U66" i="10"/>
  <c r="U65" i="10"/>
  <c r="AB64" i="10"/>
  <c r="U28" i="10"/>
  <c r="U22" i="10"/>
  <c r="U16" i="10"/>
  <c r="T166" i="10"/>
  <c r="T57" i="10"/>
  <c r="T39" i="10"/>
  <c r="Y166" i="10"/>
  <c r="X166" i="10"/>
  <c r="W166" i="10"/>
  <c r="Y150" i="10"/>
  <c r="X150" i="10"/>
  <c r="W150" i="10"/>
  <c r="U150" i="10"/>
  <c r="T150" i="10"/>
  <c r="Y138" i="10"/>
  <c r="X138" i="10"/>
  <c r="W138" i="10"/>
  <c r="Y130" i="10"/>
  <c r="X130" i="10"/>
  <c r="W130" i="10"/>
  <c r="Y99" i="10"/>
  <c r="X99" i="10"/>
  <c r="W99" i="10"/>
  <c r="Y88" i="10"/>
  <c r="X88" i="10"/>
  <c r="W88" i="10"/>
  <c r="T88" i="10"/>
  <c r="Y82" i="10"/>
  <c r="X82" i="10"/>
  <c r="W82" i="10"/>
  <c r="T82" i="10"/>
  <c r="Y45" i="10"/>
  <c r="X45" i="10"/>
  <c r="W45" i="10"/>
  <c r="U45" i="10"/>
  <c r="T45" i="10"/>
  <c r="S45" i="10"/>
  <c r="Y39" i="10"/>
  <c r="X39" i="10"/>
  <c r="W39" i="10"/>
  <c r="Y28" i="10"/>
  <c r="X28" i="10"/>
  <c r="W28" i="10"/>
  <c r="T28" i="10"/>
  <c r="S28" i="10"/>
  <c r="Y22" i="10"/>
  <c r="X22" i="10"/>
  <c r="W22" i="10"/>
  <c r="T22" i="10"/>
  <c r="S22" i="10"/>
  <c r="Y16" i="10"/>
  <c r="X16" i="10"/>
  <c r="W16" i="10"/>
  <c r="T16" i="10"/>
  <c r="S16" i="10"/>
  <c r="Y10" i="10"/>
  <c r="X10" i="10"/>
  <c r="W10" i="10"/>
  <c r="U10" i="10"/>
  <c r="T10" i="10"/>
  <c r="S10" i="10"/>
  <c r="AB71" i="10" l="1"/>
  <c r="AB79" i="10"/>
  <c r="Z150" i="10"/>
  <c r="Y59" i="10"/>
  <c r="T30" i="10"/>
  <c r="S30" i="10"/>
  <c r="X30" i="10"/>
  <c r="AB9" i="10"/>
  <c r="AB10" i="10" s="1"/>
  <c r="Y30" i="10"/>
  <c r="W30" i="10"/>
  <c r="Z130" i="10"/>
  <c r="AB74" i="10"/>
  <c r="AB101" i="10"/>
  <c r="Z118" i="10"/>
  <c r="Z92" i="10"/>
  <c r="AB120" i="10"/>
  <c r="AB130" i="10" s="1"/>
  <c r="Z138" i="10"/>
  <c r="W168" i="10"/>
  <c r="Y168" i="10"/>
  <c r="AB109" i="10"/>
  <c r="AB138" i="10"/>
  <c r="AB150" i="10"/>
  <c r="U130" i="10"/>
  <c r="AB41" i="10"/>
  <c r="AB15" i="10"/>
  <c r="AB16" i="10" s="1"/>
  <c r="AB42" i="10"/>
  <c r="AB21" i="10"/>
  <c r="AB22" i="10" s="1"/>
  <c r="AB27" i="10"/>
  <c r="AB28" i="10" s="1"/>
  <c r="W59" i="10"/>
  <c r="AB95" i="10"/>
  <c r="AB105" i="10"/>
  <c r="AB113" i="10"/>
  <c r="Z166" i="10"/>
  <c r="X59" i="10"/>
  <c r="AB72" i="10"/>
  <c r="AB80" i="10"/>
  <c r="AB82" i="10" s="1"/>
  <c r="AB91" i="10"/>
  <c r="AB92" i="10" s="1"/>
  <c r="AB103" i="10"/>
  <c r="AB111" i="10"/>
  <c r="AB48" i="10"/>
  <c r="AB70" i="10"/>
  <c r="AB78" i="10"/>
  <c r="AB104" i="10"/>
  <c r="AB112" i="10"/>
  <c r="Z57" i="10"/>
  <c r="AB86" i="10"/>
  <c r="AB98" i="10"/>
  <c r="AB108" i="10"/>
  <c r="Z88" i="10"/>
  <c r="AB67" i="10"/>
  <c r="AB75" i="10"/>
  <c r="AB85" i="10"/>
  <c r="Z99" i="10"/>
  <c r="Z45" i="10"/>
  <c r="AB96" i="10"/>
  <c r="AB106" i="10"/>
  <c r="AB114" i="10"/>
  <c r="AB43" i="10"/>
  <c r="AB66" i="10"/>
  <c r="AB65" i="10"/>
  <c r="AB73" i="10"/>
  <c r="AB97" i="10"/>
  <c r="AB107" i="10"/>
  <c r="U39" i="10"/>
  <c r="AB115" i="10"/>
  <c r="AB84" i="10"/>
  <c r="U88" i="10"/>
  <c r="U57" i="10"/>
  <c r="S39" i="10"/>
  <c r="S59" i="10" s="1"/>
  <c r="T168" i="10"/>
  <c r="X168" i="10"/>
  <c r="Z82" i="10"/>
  <c r="Z30" i="10"/>
  <c r="U30" i="10"/>
  <c r="T59" i="10"/>
  <c r="Z59" i="10" l="1"/>
  <c r="AB118" i="10"/>
  <c r="Y173" i="10"/>
  <c r="Y180" i="10" s="1"/>
  <c r="AB30" i="10"/>
  <c r="W173" i="10"/>
  <c r="W180" i="10" s="1"/>
  <c r="AB88" i="10"/>
  <c r="AB45" i="10"/>
  <c r="X173" i="10"/>
  <c r="X180" i="10" s="1"/>
  <c r="Z168" i="10"/>
  <c r="T173" i="10"/>
  <c r="T180" i="10" s="1"/>
  <c r="S173" i="10"/>
  <c r="S180" i="10" s="1"/>
  <c r="AB35" i="10"/>
  <c r="AB39" i="10" s="1"/>
  <c r="U59" i="10"/>
  <c r="AB47" i="10"/>
  <c r="AB57" i="10" s="1"/>
  <c r="U166" i="10"/>
  <c r="AB164" i="10"/>
  <c r="AB166" i="10" s="1"/>
  <c r="Z173" i="10" l="1"/>
  <c r="Z180" i="10" s="1"/>
  <c r="AB168" i="10"/>
  <c r="AB59" i="10"/>
  <c r="AB173" i="10" s="1"/>
  <c r="AB180" i="10" s="1"/>
  <c r="U168" i="10"/>
  <c r="U173" i="10" s="1"/>
  <c r="U180" i="10" s="1"/>
  <c r="F98" i="10" l="1"/>
  <c r="F97" i="10"/>
  <c r="F96" i="10"/>
  <c r="F95" i="10"/>
  <c r="F79" i="10"/>
  <c r="F78" i="10"/>
  <c r="J166" i="10" l="1"/>
  <c r="I165" i="10" l="1"/>
  <c r="K165" i="10" s="1"/>
  <c r="H165" i="10"/>
  <c r="G165" i="10"/>
  <c r="I164" i="10"/>
  <c r="K164" i="10" s="1"/>
  <c r="H164" i="10"/>
  <c r="G164" i="10"/>
  <c r="J88" i="10"/>
  <c r="I87" i="10"/>
  <c r="K87" i="10" s="1"/>
  <c r="H87" i="10"/>
  <c r="G87" i="10"/>
  <c r="M164" i="10" l="1"/>
  <c r="M165" i="10"/>
  <c r="M87" i="10"/>
  <c r="N164" i="10" l="1"/>
  <c r="Q164" i="10"/>
  <c r="AD164" i="10" s="1"/>
  <c r="L87" i="10"/>
  <c r="Q87" i="10"/>
  <c r="AD87" i="10" s="1"/>
  <c r="L165" i="10"/>
  <c r="Q165" i="10"/>
  <c r="AD165" i="10" s="1"/>
  <c r="L164" i="10"/>
  <c r="N165" i="10"/>
  <c r="N87" i="10"/>
  <c r="F110" i="10" l="1"/>
  <c r="F109" i="10"/>
  <c r="F108" i="10"/>
  <c r="F107" i="10"/>
  <c r="F106" i="10"/>
  <c r="F104" i="10"/>
  <c r="F105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I80" i="10"/>
  <c r="K80" i="10" s="1"/>
  <c r="H80" i="10"/>
  <c r="G80" i="10"/>
  <c r="I115" i="10"/>
  <c r="K115" i="10" s="1"/>
  <c r="H115" i="10"/>
  <c r="G115" i="10"/>
  <c r="F82" i="10" l="1"/>
  <c r="M80" i="10"/>
  <c r="L80" i="10" s="1"/>
  <c r="M115" i="10"/>
  <c r="Q115" i="10" s="1"/>
  <c r="AD115" i="10" s="1"/>
  <c r="N80" i="10" l="1"/>
  <c r="Q80" i="10"/>
  <c r="AD80" i="10" s="1"/>
  <c r="N115" i="10"/>
  <c r="L115" i="10"/>
  <c r="F134" i="10" l="1"/>
  <c r="F138" i="10" s="1"/>
  <c r="I163" i="10"/>
  <c r="K163" i="10" s="1"/>
  <c r="H163" i="10"/>
  <c r="G163" i="10"/>
  <c r="M163" i="10" l="1"/>
  <c r="N163" i="10" l="1"/>
  <c r="Q163" i="10"/>
  <c r="AD163" i="10" s="1"/>
  <c r="L163" i="10"/>
  <c r="F103" i="10" l="1"/>
  <c r="F118" i="10" s="1"/>
  <c r="G9" i="3" l="1"/>
  <c r="F166" i="10" l="1"/>
  <c r="C30" i="4" l="1"/>
  <c r="F88" i="10" l="1"/>
  <c r="G143" i="10" l="1"/>
  <c r="H143" i="10"/>
  <c r="I143" i="10"/>
  <c r="K143" i="10" s="1"/>
  <c r="M143" i="10" l="1"/>
  <c r="G162" i="10"/>
  <c r="H162" i="10"/>
  <c r="I162" i="10"/>
  <c r="K162" i="10" s="1"/>
  <c r="F39" i="10"/>
  <c r="F28" i="10"/>
  <c r="F22" i="10"/>
  <c r="F16" i="10"/>
  <c r="F10" i="10"/>
  <c r="N143" i="10" l="1"/>
  <c r="Q143" i="10"/>
  <c r="AD143" i="10" s="1"/>
  <c r="L143" i="10"/>
  <c r="B26" i="4"/>
  <c r="B25" i="4"/>
  <c r="B24" i="4"/>
  <c r="B23" i="4"/>
  <c r="B22" i="4"/>
  <c r="N162" i="10" l="1"/>
  <c r="Q162" i="10"/>
  <c r="AD162" i="10" s="1"/>
  <c r="L162" i="10"/>
  <c r="G153" i="10"/>
  <c r="H153" i="10"/>
  <c r="I153" i="10"/>
  <c r="K153" i="10" s="1"/>
  <c r="G154" i="10"/>
  <c r="H154" i="10"/>
  <c r="I154" i="10"/>
  <c r="K154" i="10" s="1"/>
  <c r="G155" i="10"/>
  <c r="H155" i="10"/>
  <c r="I155" i="10"/>
  <c r="K155" i="10" s="1"/>
  <c r="Q155" i="10" s="1"/>
  <c r="AD155" i="10" s="1"/>
  <c r="G156" i="10"/>
  <c r="H156" i="10"/>
  <c r="I156" i="10"/>
  <c r="K156" i="10" s="1"/>
  <c r="Q156" i="10" s="1"/>
  <c r="AD156" i="10" s="1"/>
  <c r="G157" i="10"/>
  <c r="M157" i="10" s="1"/>
  <c r="H157" i="10"/>
  <c r="I157" i="10"/>
  <c r="K157" i="10" s="1"/>
  <c r="G158" i="10"/>
  <c r="M158" i="10" s="1"/>
  <c r="H158" i="10"/>
  <c r="I158" i="10"/>
  <c r="K158" i="10" s="1"/>
  <c r="G159" i="10"/>
  <c r="H159" i="10"/>
  <c r="I159" i="10"/>
  <c r="K159" i="10" s="1"/>
  <c r="G160" i="10"/>
  <c r="H160" i="10"/>
  <c r="I160" i="10"/>
  <c r="K160" i="10" s="1"/>
  <c r="G161" i="10"/>
  <c r="H161" i="10"/>
  <c r="I161" i="10"/>
  <c r="K161" i="10" s="1"/>
  <c r="Q161" i="10" s="1"/>
  <c r="AD161" i="10" s="1"/>
  <c r="C26" i="4"/>
  <c r="I152" i="10"/>
  <c r="H152" i="10"/>
  <c r="G152" i="10"/>
  <c r="J150" i="10"/>
  <c r="G145" i="10"/>
  <c r="H145" i="10"/>
  <c r="I145" i="10"/>
  <c r="K145" i="10" s="1"/>
  <c r="G146" i="10"/>
  <c r="H146" i="10"/>
  <c r="I146" i="10"/>
  <c r="K146" i="10" s="1"/>
  <c r="G147" i="10"/>
  <c r="H147" i="10"/>
  <c r="I147" i="10"/>
  <c r="K147" i="10" s="1"/>
  <c r="G148" i="10"/>
  <c r="H148" i="10"/>
  <c r="I148" i="10"/>
  <c r="K148" i="10" s="1"/>
  <c r="G149" i="10"/>
  <c r="H149" i="10"/>
  <c r="I149" i="10"/>
  <c r="K149" i="10" s="1"/>
  <c r="F150" i="10"/>
  <c r="C25" i="4" s="1"/>
  <c r="I144" i="10"/>
  <c r="K144" i="10" s="1"/>
  <c r="H144" i="10"/>
  <c r="G144" i="10"/>
  <c r="I142" i="10"/>
  <c r="K142" i="10" s="1"/>
  <c r="H142" i="10"/>
  <c r="G142" i="10"/>
  <c r="I141" i="10"/>
  <c r="K141" i="10" s="1"/>
  <c r="H141" i="10"/>
  <c r="G141" i="10"/>
  <c r="I140" i="10"/>
  <c r="K140" i="10" s="1"/>
  <c r="H140" i="10"/>
  <c r="G140" i="10"/>
  <c r="M140" i="10" s="1"/>
  <c r="G133" i="10"/>
  <c r="H133" i="10"/>
  <c r="I133" i="10"/>
  <c r="K133" i="10" s="1"/>
  <c r="G134" i="10"/>
  <c r="H134" i="10"/>
  <c r="I134" i="10"/>
  <c r="K134" i="10" s="1"/>
  <c r="G135" i="10"/>
  <c r="H135" i="10"/>
  <c r="I135" i="10"/>
  <c r="K135" i="10" s="1"/>
  <c r="Q135" i="10" s="1"/>
  <c r="AD135" i="10" s="1"/>
  <c r="C24" i="4"/>
  <c r="I132" i="10"/>
  <c r="H132" i="10"/>
  <c r="G132" i="10"/>
  <c r="J130" i="10"/>
  <c r="G121" i="10"/>
  <c r="H121" i="10"/>
  <c r="I121" i="10"/>
  <c r="K121" i="10" s="1"/>
  <c r="G122" i="10"/>
  <c r="H122" i="10"/>
  <c r="I122" i="10"/>
  <c r="K122" i="10" s="1"/>
  <c r="G123" i="10"/>
  <c r="H123" i="10"/>
  <c r="I123" i="10"/>
  <c r="K123" i="10" s="1"/>
  <c r="G124" i="10"/>
  <c r="M124" i="10" s="1"/>
  <c r="H124" i="10"/>
  <c r="I124" i="10"/>
  <c r="K124" i="10" s="1"/>
  <c r="G125" i="10"/>
  <c r="H125" i="10"/>
  <c r="I125" i="10"/>
  <c r="K125" i="10" s="1"/>
  <c r="G126" i="10"/>
  <c r="H126" i="10"/>
  <c r="I126" i="10"/>
  <c r="K126" i="10" s="1"/>
  <c r="G127" i="10"/>
  <c r="H127" i="10"/>
  <c r="I127" i="10"/>
  <c r="K127" i="10" s="1"/>
  <c r="G128" i="10"/>
  <c r="H128" i="10"/>
  <c r="I128" i="10"/>
  <c r="K128" i="10" s="1"/>
  <c r="G129" i="10"/>
  <c r="H129" i="10"/>
  <c r="I129" i="10"/>
  <c r="K129" i="10" s="1"/>
  <c r="F130" i="10"/>
  <c r="C23" i="4" s="1"/>
  <c r="I120" i="10"/>
  <c r="H120" i="10"/>
  <c r="G120" i="10"/>
  <c r="C22" i="4"/>
  <c r="G113" i="10"/>
  <c r="H113" i="10"/>
  <c r="I113" i="10"/>
  <c r="K113" i="10" s="1"/>
  <c r="Q113" i="10" s="1"/>
  <c r="AD113" i="10" s="1"/>
  <c r="G114" i="10"/>
  <c r="H114" i="10"/>
  <c r="I114" i="10"/>
  <c r="K114" i="10" s="1"/>
  <c r="Q114" i="10" s="1"/>
  <c r="AD114" i="10" s="1"/>
  <c r="G106" i="10"/>
  <c r="H106" i="10"/>
  <c r="I106" i="10"/>
  <c r="K106" i="10" s="1"/>
  <c r="G107" i="10"/>
  <c r="H107" i="10"/>
  <c r="I107" i="10"/>
  <c r="K107" i="10" s="1"/>
  <c r="G108" i="10"/>
  <c r="H108" i="10"/>
  <c r="I108" i="10"/>
  <c r="K108" i="10" s="1"/>
  <c r="G109" i="10"/>
  <c r="H109" i="10"/>
  <c r="I109" i="10"/>
  <c r="K109" i="10" s="1"/>
  <c r="G110" i="10"/>
  <c r="H110" i="10"/>
  <c r="I110" i="10"/>
  <c r="K110" i="10" s="1"/>
  <c r="G111" i="10"/>
  <c r="H111" i="10"/>
  <c r="I111" i="10"/>
  <c r="K111" i="10" s="1"/>
  <c r="Q111" i="10" s="1"/>
  <c r="AD111" i="10" s="1"/>
  <c r="G112" i="10"/>
  <c r="H112" i="10"/>
  <c r="I112" i="10"/>
  <c r="K112" i="10" s="1"/>
  <c r="Q112" i="10" s="1"/>
  <c r="AD112" i="10" s="1"/>
  <c r="I105" i="10"/>
  <c r="K105" i="10" s="1"/>
  <c r="H105" i="10"/>
  <c r="G105" i="10"/>
  <c r="I104" i="10"/>
  <c r="K104" i="10" s="1"/>
  <c r="H104" i="10"/>
  <c r="G104" i="10"/>
  <c r="I103" i="10"/>
  <c r="K103" i="10" s="1"/>
  <c r="H103" i="10"/>
  <c r="G103" i="10"/>
  <c r="I102" i="10"/>
  <c r="K102" i="10" s="1"/>
  <c r="H102" i="10"/>
  <c r="G102" i="10"/>
  <c r="M102" i="10" s="1"/>
  <c r="I101" i="10"/>
  <c r="H101" i="10"/>
  <c r="G101" i="10"/>
  <c r="J99" i="10"/>
  <c r="F99" i="10"/>
  <c r="H95" i="10"/>
  <c r="H96" i="10"/>
  <c r="H97" i="10"/>
  <c r="H98" i="10"/>
  <c r="G95" i="10"/>
  <c r="I95" i="10"/>
  <c r="K95" i="10" s="1"/>
  <c r="G96" i="10"/>
  <c r="I96" i="10"/>
  <c r="K96" i="10" s="1"/>
  <c r="G97" i="10"/>
  <c r="I97" i="10"/>
  <c r="K97" i="10" s="1"/>
  <c r="G98" i="10"/>
  <c r="I98" i="10"/>
  <c r="K98" i="10" s="1"/>
  <c r="H91" i="10"/>
  <c r="H90" i="10"/>
  <c r="J92" i="10"/>
  <c r="H85" i="10"/>
  <c r="H86" i="10"/>
  <c r="H84" i="10"/>
  <c r="G79" i="10"/>
  <c r="H79" i="10"/>
  <c r="I79" i="10"/>
  <c r="K79" i="10" s="1"/>
  <c r="Q79" i="10" s="1"/>
  <c r="AD79" i="10" s="1"/>
  <c r="H48" i="10"/>
  <c r="H49" i="10"/>
  <c r="H47" i="10"/>
  <c r="H42" i="10"/>
  <c r="H43" i="10"/>
  <c r="H44" i="10"/>
  <c r="H41" i="10"/>
  <c r="H36" i="10"/>
  <c r="H37" i="10"/>
  <c r="H38" i="10"/>
  <c r="H35" i="10"/>
  <c r="H25" i="10"/>
  <c r="H26" i="10"/>
  <c r="H27" i="10"/>
  <c r="H24" i="10"/>
  <c r="H19" i="10"/>
  <c r="H20" i="10"/>
  <c r="H21" i="10"/>
  <c r="H18" i="10"/>
  <c r="H13" i="10"/>
  <c r="H14" i="10"/>
  <c r="H15" i="10"/>
  <c r="H12" i="10"/>
  <c r="H7" i="10"/>
  <c r="H8" i="10"/>
  <c r="H9" i="10"/>
  <c r="H6" i="10"/>
  <c r="G65" i="10"/>
  <c r="H65" i="10"/>
  <c r="I65" i="10"/>
  <c r="K65" i="10" s="1"/>
  <c r="G66" i="10"/>
  <c r="H66" i="10"/>
  <c r="I66" i="10"/>
  <c r="K66" i="10" s="1"/>
  <c r="G67" i="10"/>
  <c r="H67" i="10"/>
  <c r="I67" i="10"/>
  <c r="K67" i="10" s="1"/>
  <c r="G68" i="10"/>
  <c r="H68" i="10"/>
  <c r="I68" i="10"/>
  <c r="K68" i="10" s="1"/>
  <c r="G69" i="10"/>
  <c r="H69" i="10"/>
  <c r="I69" i="10"/>
  <c r="K69" i="10" s="1"/>
  <c r="G70" i="10"/>
  <c r="H70" i="10"/>
  <c r="I70" i="10"/>
  <c r="K70" i="10" s="1"/>
  <c r="G71" i="10"/>
  <c r="H71" i="10"/>
  <c r="I71" i="10"/>
  <c r="K71" i="10" s="1"/>
  <c r="G72" i="10"/>
  <c r="H72" i="10"/>
  <c r="I72" i="10"/>
  <c r="K72" i="10" s="1"/>
  <c r="G73" i="10"/>
  <c r="H73" i="10"/>
  <c r="I73" i="10"/>
  <c r="K73" i="10" s="1"/>
  <c r="G74" i="10"/>
  <c r="H74" i="10"/>
  <c r="I74" i="10"/>
  <c r="K74" i="10" s="1"/>
  <c r="G75" i="10"/>
  <c r="H75" i="10"/>
  <c r="I75" i="10"/>
  <c r="K75" i="10" s="1"/>
  <c r="G76" i="10"/>
  <c r="H76" i="10"/>
  <c r="I76" i="10"/>
  <c r="K76" i="10" s="1"/>
  <c r="G77" i="10"/>
  <c r="H77" i="10"/>
  <c r="I77" i="10"/>
  <c r="K77" i="10" s="1"/>
  <c r="G78" i="10"/>
  <c r="H78" i="10"/>
  <c r="I78" i="10"/>
  <c r="K78" i="10" s="1"/>
  <c r="Q78" i="10" s="1"/>
  <c r="AD78" i="10" s="1"/>
  <c r="G48" i="10"/>
  <c r="I48" i="10"/>
  <c r="K48" i="10" s="1"/>
  <c r="G49" i="10"/>
  <c r="I49" i="10"/>
  <c r="K49" i="10" s="1"/>
  <c r="J45" i="10"/>
  <c r="F45" i="10"/>
  <c r="G42" i="10"/>
  <c r="I42" i="10"/>
  <c r="K42" i="10" s="1"/>
  <c r="G43" i="10"/>
  <c r="I43" i="10"/>
  <c r="K43" i="10" s="1"/>
  <c r="G44" i="10"/>
  <c r="I44" i="10"/>
  <c r="K44" i="10" s="1"/>
  <c r="G36" i="10"/>
  <c r="I36" i="10"/>
  <c r="K36" i="10" s="1"/>
  <c r="G37" i="10"/>
  <c r="I37" i="10"/>
  <c r="K37" i="10" s="1"/>
  <c r="G38" i="10"/>
  <c r="I38" i="10"/>
  <c r="K38" i="10" s="1"/>
  <c r="J39" i="10"/>
  <c r="J22" i="10"/>
  <c r="G19" i="10"/>
  <c r="I19" i="10"/>
  <c r="K19" i="10" s="1"/>
  <c r="G20" i="10"/>
  <c r="I20" i="10"/>
  <c r="K20" i="10" s="1"/>
  <c r="G21" i="10"/>
  <c r="I21" i="10"/>
  <c r="K21" i="10" s="1"/>
  <c r="J16" i="10"/>
  <c r="G13" i="10"/>
  <c r="I13" i="10"/>
  <c r="K13" i="10" s="1"/>
  <c r="G14" i="10"/>
  <c r="I14" i="10"/>
  <c r="K14" i="10" s="1"/>
  <c r="G15" i="10"/>
  <c r="I15" i="10"/>
  <c r="K15" i="10" s="1"/>
  <c r="J10" i="10"/>
  <c r="G7" i="10"/>
  <c r="I7" i="10"/>
  <c r="K7" i="10" s="1"/>
  <c r="G8" i="10"/>
  <c r="I8" i="10"/>
  <c r="K8" i="10" s="1"/>
  <c r="G9" i="10"/>
  <c r="I9" i="10"/>
  <c r="K9" i="10" s="1"/>
  <c r="H138" i="10" l="1"/>
  <c r="I138" i="10"/>
  <c r="G138" i="10"/>
  <c r="D24" i="4" s="1"/>
  <c r="K132" i="10"/>
  <c r="K138" i="10" s="1"/>
  <c r="Q157" i="10"/>
  <c r="AD157" i="10" s="1"/>
  <c r="Q158" i="10"/>
  <c r="AD158" i="10" s="1"/>
  <c r="H57" i="10"/>
  <c r="H118" i="10"/>
  <c r="I118" i="10"/>
  <c r="G118" i="10"/>
  <c r="D22" i="4" s="1"/>
  <c r="L101" i="10"/>
  <c r="Q97" i="10"/>
  <c r="Q98" i="10"/>
  <c r="M96" i="10"/>
  <c r="N96" i="10" s="1"/>
  <c r="Q96" i="10"/>
  <c r="M49" i="10"/>
  <c r="M95" i="10"/>
  <c r="N95" i="10" s="1"/>
  <c r="Q95" i="10"/>
  <c r="M48" i="10"/>
  <c r="H166" i="10"/>
  <c r="M98" i="10"/>
  <c r="L98" i="10" s="1"/>
  <c r="H88" i="10"/>
  <c r="M97" i="10"/>
  <c r="N97" i="10" s="1"/>
  <c r="G166" i="10"/>
  <c r="D26" i="4" s="1"/>
  <c r="I166" i="10"/>
  <c r="K101" i="10"/>
  <c r="Q101" i="10" s="1"/>
  <c r="F59" i="10"/>
  <c r="N156" i="10"/>
  <c r="K152" i="10"/>
  <c r="N158" i="10"/>
  <c r="L157" i="10"/>
  <c r="G150" i="10"/>
  <c r="D25" i="4" s="1"/>
  <c r="J168" i="10"/>
  <c r="L155" i="10"/>
  <c r="M159" i="10"/>
  <c r="M160" i="10"/>
  <c r="H150" i="10"/>
  <c r="K150" i="10"/>
  <c r="E25" i="4" s="1"/>
  <c r="M145" i="10"/>
  <c r="N161" i="10"/>
  <c r="I150" i="10"/>
  <c r="L135" i="10"/>
  <c r="M141" i="10"/>
  <c r="M142" i="10"/>
  <c r="Q140" i="10"/>
  <c r="AD140" i="10" s="1"/>
  <c r="M110" i="10"/>
  <c r="N132" i="10"/>
  <c r="M134" i="10"/>
  <c r="M138" i="10" s="1"/>
  <c r="I130" i="10"/>
  <c r="G130" i="10"/>
  <c r="D23" i="4" s="1"/>
  <c r="H130" i="10"/>
  <c r="M108" i="10"/>
  <c r="K120" i="10"/>
  <c r="L114" i="10"/>
  <c r="N113" i="10"/>
  <c r="M106" i="10"/>
  <c r="N112" i="10"/>
  <c r="M107" i="10"/>
  <c r="N111" i="10"/>
  <c r="M109" i="10"/>
  <c r="Q102" i="10"/>
  <c r="AD102" i="10" s="1"/>
  <c r="M104" i="10"/>
  <c r="M103" i="10"/>
  <c r="M105" i="10"/>
  <c r="Q105" i="10" s="1"/>
  <c r="AD105" i="10" s="1"/>
  <c r="M13" i="10"/>
  <c r="L13" i="10" s="1"/>
  <c r="H92" i="10"/>
  <c r="M44" i="10"/>
  <c r="N44" i="10" s="1"/>
  <c r="M15" i="10"/>
  <c r="Q15" i="10" s="1"/>
  <c r="AD15" i="10" s="1"/>
  <c r="M72" i="10"/>
  <c r="M14" i="10"/>
  <c r="N14" i="10" s="1"/>
  <c r="M65" i="10"/>
  <c r="N79" i="10"/>
  <c r="M74" i="10"/>
  <c r="M76" i="10"/>
  <c r="M75" i="10"/>
  <c r="M77" i="10"/>
  <c r="M71" i="10"/>
  <c r="M66" i="10"/>
  <c r="L78" i="10"/>
  <c r="M70" i="10"/>
  <c r="M73" i="10"/>
  <c r="M67" i="10"/>
  <c r="M69" i="10"/>
  <c r="M68" i="10"/>
  <c r="M42" i="10"/>
  <c r="H45" i="10"/>
  <c r="M37" i="10"/>
  <c r="N37" i="10" s="1"/>
  <c r="M36" i="10"/>
  <c r="L36" i="10" s="1"/>
  <c r="M38" i="10"/>
  <c r="N38" i="10" s="1"/>
  <c r="H39" i="10"/>
  <c r="H16" i="10"/>
  <c r="J59" i="10"/>
  <c r="M20" i="10"/>
  <c r="L20" i="10" s="1"/>
  <c r="M19" i="10"/>
  <c r="N19" i="10" s="1"/>
  <c r="M21" i="10"/>
  <c r="Q21" i="10" s="1"/>
  <c r="AD21" i="10" s="1"/>
  <c r="M9" i="10"/>
  <c r="Q9" i="10" s="1"/>
  <c r="AD9" i="10" s="1"/>
  <c r="M8" i="10"/>
  <c r="L8" i="10" s="1"/>
  <c r="M7" i="10"/>
  <c r="N7" i="10" s="1"/>
  <c r="G10" i="8"/>
  <c r="G13" i="8" s="1"/>
  <c r="Q132" i="10" l="1"/>
  <c r="AD132" i="10" s="1"/>
  <c r="E24" i="4"/>
  <c r="Q152" i="10"/>
  <c r="AD152" i="10" s="1"/>
  <c r="Q120" i="10"/>
  <c r="AD120" i="10" s="1"/>
  <c r="L145" i="10"/>
  <c r="Q145" i="10"/>
  <c r="AD145" i="10" s="1"/>
  <c r="L43" i="10"/>
  <c r="Q43" i="10"/>
  <c r="AD43" i="10" s="1"/>
  <c r="L71" i="10"/>
  <c r="Q71" i="10"/>
  <c r="AD71" i="10" s="1"/>
  <c r="N72" i="10"/>
  <c r="Q72" i="10"/>
  <c r="AD72" i="10" s="1"/>
  <c r="N127" i="10"/>
  <c r="Q127" i="10"/>
  <c r="AD127" i="10" s="1"/>
  <c r="N144" i="10"/>
  <c r="Q144" i="10"/>
  <c r="AD144" i="10" s="1"/>
  <c r="N147" i="10"/>
  <c r="Q147" i="10"/>
  <c r="N148" i="10"/>
  <c r="Q148" i="10"/>
  <c r="AD148" i="10" s="1"/>
  <c r="L109" i="10"/>
  <c r="Q109" i="10"/>
  <c r="AD109" i="10" s="1"/>
  <c r="N142" i="10"/>
  <c r="Q142" i="10"/>
  <c r="AD142" i="10" s="1"/>
  <c r="L121" i="10"/>
  <c r="Q121" i="10"/>
  <c r="AD121" i="10" s="1"/>
  <c r="L133" i="10"/>
  <c r="Q133" i="10"/>
  <c r="AD133" i="10" s="1"/>
  <c r="L141" i="10"/>
  <c r="Q141" i="10"/>
  <c r="AD141" i="10" s="1"/>
  <c r="K118" i="10"/>
  <c r="E22" i="4" s="1"/>
  <c r="AD101" i="10"/>
  <c r="N68" i="10"/>
  <c r="Q68" i="10"/>
  <c r="AD68" i="10" s="1"/>
  <c r="L123" i="10"/>
  <c r="Q123" i="10"/>
  <c r="AD123" i="10" s="1"/>
  <c r="N75" i="10"/>
  <c r="Q75" i="10"/>
  <c r="AD75" i="10" s="1"/>
  <c r="L67" i="10"/>
  <c r="Q67" i="10"/>
  <c r="AD67" i="10" s="1"/>
  <c r="N76" i="10"/>
  <c r="Q76" i="10"/>
  <c r="AD76" i="10" s="1"/>
  <c r="L107" i="10"/>
  <c r="Q107" i="10"/>
  <c r="AD107" i="10" s="1"/>
  <c r="L129" i="10"/>
  <c r="Q129" i="10"/>
  <c r="AD129" i="10" s="1"/>
  <c r="N128" i="10"/>
  <c r="Q128" i="10"/>
  <c r="AD128" i="10" s="1"/>
  <c r="L134" i="10"/>
  <c r="Q134" i="10"/>
  <c r="L77" i="10"/>
  <c r="Q77" i="10"/>
  <c r="AD77" i="10" s="1"/>
  <c r="L48" i="10"/>
  <c r="Q48" i="10"/>
  <c r="AD48" i="10" s="1"/>
  <c r="L74" i="10"/>
  <c r="Q74" i="10"/>
  <c r="AD74" i="10" s="1"/>
  <c r="N108" i="10"/>
  <c r="Q108" i="10"/>
  <c r="AD108" i="10" s="1"/>
  <c r="L154" i="10"/>
  <c r="Q154" i="10"/>
  <c r="AD154" i="10" s="1"/>
  <c r="N149" i="10"/>
  <c r="Q149" i="10"/>
  <c r="AD149" i="10" s="1"/>
  <c r="L49" i="10"/>
  <c r="Q49" i="10"/>
  <c r="AD49" i="10" s="1"/>
  <c r="N106" i="10"/>
  <c r="Q106" i="10"/>
  <c r="L124" i="10"/>
  <c r="Q124" i="10"/>
  <c r="AD124" i="10" s="1"/>
  <c r="N110" i="10"/>
  <c r="Q110" i="10"/>
  <c r="AD110" i="10" s="1"/>
  <c r="L146" i="10"/>
  <c r="Q146" i="10"/>
  <c r="AD146" i="10" s="1"/>
  <c r="L160" i="10"/>
  <c r="Q160" i="10"/>
  <c r="L73" i="10"/>
  <c r="Q73" i="10"/>
  <c r="AD73" i="10" s="1"/>
  <c r="N70" i="10"/>
  <c r="Q70" i="10"/>
  <c r="AD70" i="10" s="1"/>
  <c r="L65" i="10"/>
  <c r="Q65" i="10"/>
  <c r="AD65" i="10" s="1"/>
  <c r="L103" i="10"/>
  <c r="Q103" i="10"/>
  <c r="AD103" i="10" s="1"/>
  <c r="N126" i="10"/>
  <c r="Q126" i="10"/>
  <c r="AD126" i="10" s="1"/>
  <c r="N125" i="10"/>
  <c r="Q125" i="10"/>
  <c r="AD125" i="10" s="1"/>
  <c r="N159" i="10"/>
  <c r="Q159" i="10"/>
  <c r="AD159" i="10" s="1"/>
  <c r="L69" i="10"/>
  <c r="Q69" i="10"/>
  <c r="AD69" i="10" s="1"/>
  <c r="L42" i="10"/>
  <c r="Q42" i="10"/>
  <c r="AD42" i="10" s="1"/>
  <c r="L66" i="10"/>
  <c r="Q66" i="10"/>
  <c r="AD66" i="10" s="1"/>
  <c r="N104" i="10"/>
  <c r="Q104" i="10"/>
  <c r="AD104" i="10" s="1"/>
  <c r="L122" i="10"/>
  <c r="Q122" i="10"/>
  <c r="L153" i="10"/>
  <c r="Q153" i="10"/>
  <c r="AD153" i="10" s="1"/>
  <c r="N15" i="10"/>
  <c r="Q16" i="10"/>
  <c r="L21" i="10"/>
  <c r="AD22" i="10" s="1"/>
  <c r="Q22" i="10"/>
  <c r="L9" i="10"/>
  <c r="AD10" i="10" s="1"/>
  <c r="Q10" i="10"/>
  <c r="M118" i="10"/>
  <c r="G22" i="4" s="1"/>
  <c r="L102" i="10"/>
  <c r="K166" i="10"/>
  <c r="E26" i="4" s="1"/>
  <c r="K130" i="10"/>
  <c r="E23" i="4" s="1"/>
  <c r="M166" i="10"/>
  <c r="G26" i="4" s="1"/>
  <c r="L148" i="10"/>
  <c r="L158" i="10"/>
  <c r="L147" i="10"/>
  <c r="L156" i="10"/>
  <c r="N157" i="10"/>
  <c r="L149" i="10"/>
  <c r="N155" i="10"/>
  <c r="N154" i="10"/>
  <c r="L159" i="10"/>
  <c r="L161" i="10"/>
  <c r="L110" i="10"/>
  <c r="N145" i="10"/>
  <c r="N152" i="10"/>
  <c r="N160" i="10"/>
  <c r="N153" i="10"/>
  <c r="L152" i="10"/>
  <c r="L125" i="10"/>
  <c r="L140" i="10"/>
  <c r="M150" i="10"/>
  <c r="G25" i="4" s="1"/>
  <c r="N146" i="10"/>
  <c r="N135" i="10"/>
  <c r="N141" i="10"/>
  <c r="L128" i="10"/>
  <c r="L144" i="10"/>
  <c r="L142" i="10"/>
  <c r="N140" i="10"/>
  <c r="L126" i="10"/>
  <c r="N133" i="10"/>
  <c r="N134" i="10"/>
  <c r="L132" i="10"/>
  <c r="G24" i="4"/>
  <c r="N121" i="10"/>
  <c r="L113" i="10"/>
  <c r="N124" i="10"/>
  <c r="N122" i="10"/>
  <c r="N123" i="10"/>
  <c r="M130" i="10"/>
  <c r="G23" i="4" s="1"/>
  <c r="L127" i="10"/>
  <c r="L108" i="10"/>
  <c r="N107" i="10"/>
  <c r="N114" i="10"/>
  <c r="N129" i="10"/>
  <c r="L120" i="10"/>
  <c r="N120" i="10"/>
  <c r="L106" i="10"/>
  <c r="L111" i="10"/>
  <c r="N109" i="10"/>
  <c r="L96" i="10"/>
  <c r="L112" i="10"/>
  <c r="N101" i="10"/>
  <c r="N102" i="10"/>
  <c r="N49" i="10"/>
  <c r="N103" i="10"/>
  <c r="L104" i="10"/>
  <c r="N105" i="10"/>
  <c r="L105" i="10"/>
  <c r="N98" i="10"/>
  <c r="N13" i="10"/>
  <c r="L97" i="10"/>
  <c r="L72" i="10"/>
  <c r="L95" i="10"/>
  <c r="L44" i="10"/>
  <c r="L15" i="10"/>
  <c r="AD16" i="10" s="1"/>
  <c r="L14" i="10"/>
  <c r="N73" i="10"/>
  <c r="L76" i="10"/>
  <c r="H59" i="10"/>
  <c r="N78" i="10"/>
  <c r="L70" i="10"/>
  <c r="N74" i="10"/>
  <c r="L79" i="10"/>
  <c r="N65" i="10"/>
  <c r="L75" i="10"/>
  <c r="N77" i="10"/>
  <c r="N71" i="10"/>
  <c r="L68" i="10"/>
  <c r="N66" i="10"/>
  <c r="N67" i="10"/>
  <c r="N69" i="10"/>
  <c r="L38" i="10"/>
  <c r="N48" i="10"/>
  <c r="N43" i="10"/>
  <c r="N42" i="10"/>
  <c r="N36" i="10"/>
  <c r="L37" i="10"/>
  <c r="N21" i="10"/>
  <c r="L19" i="10"/>
  <c r="N20" i="10"/>
  <c r="N9" i="10"/>
  <c r="N8" i="10"/>
  <c r="L7" i="10"/>
  <c r="N138" i="10" l="1"/>
  <c r="H24" i="4" s="1"/>
  <c r="L138" i="10"/>
  <c r="F24" i="4" s="1"/>
  <c r="N118" i="10"/>
  <c r="H22" i="4" s="1"/>
  <c r="Q118" i="10"/>
  <c r="Q166" i="10"/>
  <c r="AD160" i="10"/>
  <c r="AD166" i="10" s="1"/>
  <c r="Q138" i="10"/>
  <c r="AD134" i="10"/>
  <c r="AD138" i="10" s="1"/>
  <c r="AD106" i="10"/>
  <c r="AD118" i="10" s="1"/>
  <c r="Q150" i="10"/>
  <c r="AD147" i="10"/>
  <c r="AD150" i="10" s="1"/>
  <c r="Q130" i="10"/>
  <c r="AD122" i="10"/>
  <c r="AD130" i="10" s="1"/>
  <c r="L118" i="10"/>
  <c r="F22" i="4" s="1"/>
  <c r="L166" i="10"/>
  <c r="F26" i="4" s="1"/>
  <c r="N166" i="10"/>
  <c r="H26" i="4" s="1"/>
  <c r="N150" i="10"/>
  <c r="H25" i="4" s="1"/>
  <c r="L150" i="10"/>
  <c r="F25" i="4" s="1"/>
  <c r="N130" i="10"/>
  <c r="H23" i="4" s="1"/>
  <c r="L130" i="10"/>
  <c r="F23" i="4" s="1"/>
  <c r="G94" i="10" l="1"/>
  <c r="G90" i="10"/>
  <c r="G91" i="10"/>
  <c r="M91" i="10" s="1"/>
  <c r="G84" i="10"/>
  <c r="G85" i="10"/>
  <c r="M85" i="10" s="1"/>
  <c r="G86" i="10"/>
  <c r="I94" i="10"/>
  <c r="I99" i="10" s="1"/>
  <c r="I90" i="10"/>
  <c r="I91" i="10"/>
  <c r="K91" i="10" s="1"/>
  <c r="I84" i="10"/>
  <c r="I85" i="10"/>
  <c r="K85" i="10" s="1"/>
  <c r="I86" i="10"/>
  <c r="K86" i="10" s="1"/>
  <c r="I64" i="10"/>
  <c r="I82" i="10" s="1"/>
  <c r="G47" i="10"/>
  <c r="G57" i="10" s="1"/>
  <c r="G41" i="10"/>
  <c r="G35" i="10"/>
  <c r="M35" i="10" s="1"/>
  <c r="I24" i="10"/>
  <c r="K24" i="10" s="1"/>
  <c r="G25" i="10"/>
  <c r="G26" i="10"/>
  <c r="G27" i="10"/>
  <c r="G18" i="10"/>
  <c r="G22" i="10" s="1"/>
  <c r="D7" i="4" s="1"/>
  <c r="G12" i="10"/>
  <c r="G16" i="10" s="1"/>
  <c r="D6" i="4" s="1"/>
  <c r="H64" i="10"/>
  <c r="H82" i="10" s="1"/>
  <c r="H94" i="10"/>
  <c r="H99" i="10" s="1"/>
  <c r="C18" i="4"/>
  <c r="C21" i="4"/>
  <c r="F92" i="10"/>
  <c r="C7" i="4"/>
  <c r="C6" i="4"/>
  <c r="C5" i="4"/>
  <c r="C12" i="4"/>
  <c r="C13" i="4"/>
  <c r="C14" i="4"/>
  <c r="H22" i="10"/>
  <c r="I25" i="10"/>
  <c r="K25" i="10" s="1"/>
  <c r="I26" i="10"/>
  <c r="K26" i="10" s="1"/>
  <c r="I27" i="10"/>
  <c r="K27" i="10" s="1"/>
  <c r="I18" i="10"/>
  <c r="I12" i="10"/>
  <c r="I6" i="10"/>
  <c r="I35" i="10"/>
  <c r="I41" i="10"/>
  <c r="I47" i="10"/>
  <c r="I57" i="10" s="1"/>
  <c r="G24" i="10"/>
  <c r="G6" i="10"/>
  <c r="G10" i="10" s="1"/>
  <c r="D5" i="4" s="1"/>
  <c r="J28" i="10"/>
  <c r="J30" i="10" s="1"/>
  <c r="J173" i="10" s="1"/>
  <c r="E29" i="13"/>
  <c r="B21" i="4"/>
  <c r="B20" i="4"/>
  <c r="B19" i="4"/>
  <c r="B18" i="4"/>
  <c r="B13" i="4"/>
  <c r="B12" i="4"/>
  <c r="B8" i="4"/>
  <c r="B14" i="4"/>
  <c r="B23" i="11"/>
  <c r="B20" i="11"/>
  <c r="B19" i="11"/>
  <c r="B7" i="4"/>
  <c r="B6" i="4"/>
  <c r="B5" i="4"/>
  <c r="B17" i="4"/>
  <c r="B11" i="4"/>
  <c r="B4" i="4"/>
  <c r="M90" i="10" l="1"/>
  <c r="L90" i="10" s="1"/>
  <c r="M94" i="10"/>
  <c r="L94" i="10" s="1"/>
  <c r="Q91" i="10"/>
  <c r="AD91" i="10" s="1"/>
  <c r="M47" i="10"/>
  <c r="M41" i="10"/>
  <c r="C20" i="4"/>
  <c r="F168" i="10"/>
  <c r="G99" i="10"/>
  <c r="I88" i="10"/>
  <c r="M84" i="10"/>
  <c r="G88" i="10"/>
  <c r="D19" i="4" s="1"/>
  <c r="C15" i="4"/>
  <c r="C20" i="11" s="1"/>
  <c r="C19" i="4"/>
  <c r="H168" i="10"/>
  <c r="G92" i="10"/>
  <c r="D20" i="4" s="1"/>
  <c r="K90" i="10"/>
  <c r="K92" i="10" s="1"/>
  <c r="E20" i="4" s="1"/>
  <c r="I92" i="10"/>
  <c r="K64" i="10"/>
  <c r="K82" i="10" s="1"/>
  <c r="D14" i="4"/>
  <c r="K47" i="10"/>
  <c r="K57" i="10" s="1"/>
  <c r="C8" i="4"/>
  <c r="C9" i="4" s="1"/>
  <c r="C19" i="11" s="1"/>
  <c r="F30" i="10"/>
  <c r="K41" i="10"/>
  <c r="K45" i="10" s="1"/>
  <c r="E13" i="4" s="1"/>
  <c r="I45" i="10"/>
  <c r="G45" i="10"/>
  <c r="D13" i="4" s="1"/>
  <c r="G39" i="10"/>
  <c r="D12" i="4" s="1"/>
  <c r="K35" i="10"/>
  <c r="K39" i="10" s="1"/>
  <c r="E12" i="4" s="1"/>
  <c r="I39" i="10"/>
  <c r="K18" i="10"/>
  <c r="K22" i="10" s="1"/>
  <c r="E7" i="4" s="1"/>
  <c r="I22" i="10"/>
  <c r="K12" i="10"/>
  <c r="K16" i="10" s="1"/>
  <c r="E6" i="4" s="1"/>
  <c r="I16" i="10"/>
  <c r="K6" i="10"/>
  <c r="K10" i="10" s="1"/>
  <c r="E5" i="4" s="1"/>
  <c r="I10" i="10"/>
  <c r="M6" i="10"/>
  <c r="L6" i="10" s="1"/>
  <c r="H10" i="10"/>
  <c r="M26" i="10"/>
  <c r="L26" i="10" s="1"/>
  <c r="H28" i="10"/>
  <c r="M18" i="10"/>
  <c r="M27" i="10"/>
  <c r="Q27" i="10" s="1"/>
  <c r="AD27" i="10" s="1"/>
  <c r="G64" i="10"/>
  <c r="G28" i="10"/>
  <c r="M25" i="10"/>
  <c r="N25" i="10" s="1"/>
  <c r="M12" i="10"/>
  <c r="K84" i="10"/>
  <c r="K94" i="10"/>
  <c r="K28" i="10"/>
  <c r="E8" i="4" s="1"/>
  <c r="M24" i="10"/>
  <c r="I28" i="10"/>
  <c r="G82" i="10" l="1"/>
  <c r="G168" i="10" s="1"/>
  <c r="M64" i="10"/>
  <c r="M82" i="10" s="1"/>
  <c r="Q94" i="10"/>
  <c r="AD94" i="10" s="1"/>
  <c r="AD99" i="10" s="1"/>
  <c r="L91" i="10"/>
  <c r="Q90" i="10"/>
  <c r="AD90" i="10" s="1"/>
  <c r="Q84" i="10"/>
  <c r="AD84" i="10" s="1"/>
  <c r="M45" i="10"/>
  <c r="G13" i="4" s="1"/>
  <c r="Q41" i="10"/>
  <c r="AD41" i="10" s="1"/>
  <c r="AD45" i="10" s="1"/>
  <c r="L85" i="10"/>
  <c r="Q85" i="10"/>
  <c r="N86" i="10"/>
  <c r="Q86" i="10"/>
  <c r="AD86" i="10" s="1"/>
  <c r="M57" i="10"/>
  <c r="G14" i="4" s="1"/>
  <c r="Q47" i="10"/>
  <c r="AD47" i="10" s="1"/>
  <c r="AD57" i="10" s="1"/>
  <c r="L35" i="10"/>
  <c r="L39" i="10" s="1"/>
  <c r="F12" i="4" s="1"/>
  <c r="Q35" i="10"/>
  <c r="AD35" i="10" s="1"/>
  <c r="AD39" i="10" s="1"/>
  <c r="N27" i="10"/>
  <c r="Q28" i="10"/>
  <c r="Q30" i="10" s="1"/>
  <c r="L47" i="10"/>
  <c r="L57" i="10" s="1"/>
  <c r="F14" i="4" s="1"/>
  <c r="E14" i="4"/>
  <c r="E15" i="4" s="1"/>
  <c r="E20" i="11" s="1"/>
  <c r="C27" i="4"/>
  <c r="C21" i="11" s="1"/>
  <c r="C23" i="11" s="1"/>
  <c r="K99" i="10"/>
  <c r="E21" i="4" s="1"/>
  <c r="L86" i="10"/>
  <c r="N91" i="10"/>
  <c r="N85" i="10"/>
  <c r="M88" i="10"/>
  <c r="G19" i="4" s="1"/>
  <c r="D21" i="4"/>
  <c r="K88" i="10"/>
  <c r="E19" i="4" s="1"/>
  <c r="F173" i="10"/>
  <c r="F175" i="10" s="1"/>
  <c r="C24" i="11"/>
  <c r="J5" i="17"/>
  <c r="G5" i="17" s="1"/>
  <c r="I168" i="10"/>
  <c r="E9" i="4"/>
  <c r="E19" i="11" s="1"/>
  <c r="E18" i="4"/>
  <c r="D15" i="4"/>
  <c r="D20" i="11" s="1"/>
  <c r="G30" i="10"/>
  <c r="D8" i="4"/>
  <c r="D9" i="4" s="1"/>
  <c r="D19" i="11" s="1"/>
  <c r="N41" i="10"/>
  <c r="N45" i="10" s="1"/>
  <c r="H13" i="4" s="1"/>
  <c r="M99" i="10"/>
  <c r="G21" i="4" s="1"/>
  <c r="L41" i="10"/>
  <c r="L45" i="10" s="1"/>
  <c r="F13" i="4" s="1"/>
  <c r="N90" i="10"/>
  <c r="M92" i="10"/>
  <c r="G20" i="4" s="1"/>
  <c r="N35" i="10"/>
  <c r="N39" i="10" s="1"/>
  <c r="H12" i="4" s="1"/>
  <c r="N84" i="10"/>
  <c r="G59" i="10"/>
  <c r="I59" i="10"/>
  <c r="K59" i="10"/>
  <c r="N47" i="10"/>
  <c r="N57" i="10" s="1"/>
  <c r="M39" i="10"/>
  <c r="G12" i="4" s="1"/>
  <c r="I30" i="10"/>
  <c r="K30" i="10"/>
  <c r="H30" i="10"/>
  <c r="H173" i="10" s="1"/>
  <c r="N18" i="10"/>
  <c r="N22" i="10" s="1"/>
  <c r="H7" i="4" s="1"/>
  <c r="M22" i="10"/>
  <c r="G7" i="4" s="1"/>
  <c r="N12" i="10"/>
  <c r="M16" i="10"/>
  <c r="G6" i="4" s="1"/>
  <c r="M10" i="10"/>
  <c r="N6" i="10"/>
  <c r="N10" i="10" s="1"/>
  <c r="H5" i="4" s="1"/>
  <c r="L10" i="10"/>
  <c r="F5" i="4" s="1"/>
  <c r="L27" i="10"/>
  <c r="AD28" i="10" s="1"/>
  <c r="AD30" i="10" s="1"/>
  <c r="L18" i="10"/>
  <c r="L22" i="10" s="1"/>
  <c r="F7" i="4" s="1"/>
  <c r="N26" i="10"/>
  <c r="N94" i="10"/>
  <c r="L25" i="10"/>
  <c r="L84" i="10"/>
  <c r="L12" i="10"/>
  <c r="M28" i="10"/>
  <c r="G8" i="4" s="1"/>
  <c r="L24" i="10"/>
  <c r="N24" i="10"/>
  <c r="Q99" i="10" l="1"/>
  <c r="AD92" i="10"/>
  <c r="Q92" i="10"/>
  <c r="Q45" i="10"/>
  <c r="Q57" i="10"/>
  <c r="AD59" i="10"/>
  <c r="Q39" i="10"/>
  <c r="Q88" i="10"/>
  <c r="AD85" i="10"/>
  <c r="AD88" i="10" s="1"/>
  <c r="K168" i="10"/>
  <c r="K173" i="10" s="1"/>
  <c r="M168" i="10"/>
  <c r="Q64" i="10"/>
  <c r="C29" i="4"/>
  <c r="L88" i="10"/>
  <c r="F19" i="4" s="1"/>
  <c r="N92" i="10"/>
  <c r="H20" i="4" s="1"/>
  <c r="G5" i="4"/>
  <c r="G9" i="4" s="1"/>
  <c r="G19" i="11" s="1"/>
  <c r="M30" i="10"/>
  <c r="E27" i="4"/>
  <c r="E21" i="11" s="1"/>
  <c r="E23" i="11" s="1"/>
  <c r="E25" i="11" s="1"/>
  <c r="G14" i="8" s="1"/>
  <c r="N88" i="10"/>
  <c r="H19" i="4" s="1"/>
  <c r="G6" i="17"/>
  <c r="G9" i="17" s="1"/>
  <c r="C25" i="11"/>
  <c r="C13" i="11" s="1"/>
  <c r="I173" i="10"/>
  <c r="G15" i="4"/>
  <c r="G20" i="11" s="1"/>
  <c r="D18" i="4"/>
  <c r="D27" i="4" s="1"/>
  <c r="G173" i="10"/>
  <c r="F15" i="4"/>
  <c r="F20" i="11" s="1"/>
  <c r="N99" i="10"/>
  <c r="H21" i="4" s="1"/>
  <c r="L99" i="10"/>
  <c r="F21" i="4" s="1"/>
  <c r="L92" i="10"/>
  <c r="F20" i="4" s="1"/>
  <c r="L64" i="10"/>
  <c r="L82" i="10" s="1"/>
  <c r="N64" i="10"/>
  <c r="N82" i="10" s="1"/>
  <c r="M59" i="10"/>
  <c r="L59" i="10"/>
  <c r="H14" i="4"/>
  <c r="H15" i="4" s="1"/>
  <c r="H20" i="11" s="1"/>
  <c r="L16" i="10"/>
  <c r="F6" i="4" s="1"/>
  <c r="N16" i="10"/>
  <c r="H6" i="4" s="1"/>
  <c r="N28" i="10"/>
  <c r="H8" i="4" s="1"/>
  <c r="L28" i="10"/>
  <c r="F8" i="4" s="1"/>
  <c r="G18" i="4" l="1"/>
  <c r="G27" i="4" s="1"/>
  <c r="G21" i="11" s="1"/>
  <c r="G23" i="11" s="1"/>
  <c r="Q59" i="10"/>
  <c r="Q82" i="10"/>
  <c r="Q168" i="10" s="1"/>
  <c r="AD64" i="10"/>
  <c r="AD82" i="10" s="1"/>
  <c r="AD168" i="10" s="1"/>
  <c r="AD173" i="10" s="1"/>
  <c r="N168" i="10"/>
  <c r="L168" i="10"/>
  <c r="M173" i="10"/>
  <c r="E29" i="4"/>
  <c r="E31" i="4" s="1"/>
  <c r="D29" i="4"/>
  <c r="D31" i="4" s="1"/>
  <c r="D21" i="11"/>
  <c r="D23" i="11" s="1"/>
  <c r="D25" i="11" s="1"/>
  <c r="G10" i="3" s="1"/>
  <c r="F9" i="4"/>
  <c r="F19" i="11" s="1"/>
  <c r="H18" i="4"/>
  <c r="H27" i="4" s="1"/>
  <c r="H21" i="11" s="1"/>
  <c r="H9" i="4"/>
  <c r="F18" i="4"/>
  <c r="F27" i="4" s="1"/>
  <c r="F21" i="11" s="1"/>
  <c r="N59" i="10"/>
  <c r="N30" i="10"/>
  <c r="L30" i="10"/>
  <c r="G15" i="5" s="1"/>
  <c r="C31" i="4"/>
  <c r="G29" i="4" l="1"/>
  <c r="Q173" i="10"/>
  <c r="N173" i="10"/>
  <c r="H19" i="11"/>
  <c r="H23" i="11" s="1"/>
  <c r="H29" i="4"/>
  <c r="L173" i="10"/>
  <c r="F23" i="11"/>
  <c r="F29" i="4"/>
  <c r="D29" i="11" l="1"/>
  <c r="Q177" i="10" l="1"/>
  <c r="F24" i="11" l="1"/>
  <c r="F25" i="11" s="1"/>
  <c r="G19" i="5"/>
  <c r="G23" i="5" s="1"/>
  <c r="D31" i="11" s="1"/>
  <c r="G24" i="11"/>
  <c r="H24" i="11" s="1"/>
  <c r="H25" i="11" s="1"/>
  <c r="F30" i="4"/>
  <c r="F31" i="4" s="1"/>
  <c r="G30" i="4"/>
  <c r="G31" i="4" s="1"/>
  <c r="AD177" i="10"/>
  <c r="AD180" i="10" s="1"/>
  <c r="Q180" i="10"/>
  <c r="G25" i="11" l="1"/>
  <c r="D32" i="11" s="1"/>
  <c r="G21" i="5"/>
  <c r="H30" i="4"/>
  <c r="H31" i="4" s="1"/>
  <c r="D30" i="11"/>
</calcChain>
</file>

<file path=xl/sharedStrings.xml><?xml version="1.0" encoding="utf-8"?>
<sst xmlns="http://schemas.openxmlformats.org/spreadsheetml/2006/main" count="1710" uniqueCount="1043">
  <si>
    <t>Description</t>
  </si>
  <si>
    <t>Contingency</t>
  </si>
  <si>
    <t>Notes</t>
  </si>
  <si>
    <t>Change Orders</t>
  </si>
  <si>
    <t>Executed Date</t>
  </si>
  <si>
    <t>Vendor</t>
  </si>
  <si>
    <t xml:space="preserve"> Contract Value </t>
  </si>
  <si>
    <t>Total Commitments</t>
  </si>
  <si>
    <t>P.O. Number</t>
  </si>
  <si>
    <t>Project Name:</t>
  </si>
  <si>
    <t>Project Number:</t>
  </si>
  <si>
    <t>Budget:</t>
  </si>
  <si>
    <t>Project Manager:</t>
  </si>
  <si>
    <t>Low</t>
  </si>
  <si>
    <t>Budget</t>
  </si>
  <si>
    <t>Invoice Date</t>
  </si>
  <si>
    <t>Cost Code</t>
  </si>
  <si>
    <t>Invoice Amount</t>
  </si>
  <si>
    <t>Budget vs EFC Variance</t>
  </si>
  <si>
    <t>Requestor</t>
  </si>
  <si>
    <t>Address:</t>
  </si>
  <si>
    <t xml:space="preserve">Description </t>
  </si>
  <si>
    <t>Invoice #</t>
  </si>
  <si>
    <t>Costs to Date</t>
  </si>
  <si>
    <t>Location:</t>
  </si>
  <si>
    <t>FF&amp;E Costs</t>
  </si>
  <si>
    <t>Committed Costs</t>
  </si>
  <si>
    <t>Operations</t>
  </si>
  <si>
    <t>Bicycle Rack</t>
  </si>
  <si>
    <t>Ladders</t>
  </si>
  <si>
    <t>Production</t>
  </si>
  <si>
    <t>Total</t>
  </si>
  <si>
    <t>TOTALS</t>
  </si>
  <si>
    <t>Sub-Total</t>
  </si>
  <si>
    <t>Date</t>
  </si>
  <si>
    <t>Item</t>
  </si>
  <si>
    <t>Amount</t>
  </si>
  <si>
    <t>Remaining Balance</t>
  </si>
  <si>
    <t>101-1</t>
  </si>
  <si>
    <t>102-1</t>
  </si>
  <si>
    <t>103-1</t>
  </si>
  <si>
    <t>103-2</t>
  </si>
  <si>
    <t>104-1</t>
  </si>
  <si>
    <t>Date Issued</t>
  </si>
  <si>
    <t>C.O. Number</t>
  </si>
  <si>
    <t>201-1</t>
  </si>
  <si>
    <t>202-1</t>
  </si>
  <si>
    <t>203-1</t>
  </si>
  <si>
    <t>GL Period</t>
  </si>
  <si>
    <t>High</t>
  </si>
  <si>
    <t>Expected                 Settlement Value</t>
  </si>
  <si>
    <t>Amount Applied</t>
  </si>
  <si>
    <t>Remaining Estimate</t>
  </si>
  <si>
    <t>Estimated Final Cost</t>
  </si>
  <si>
    <t>Total Change Orders</t>
  </si>
  <si>
    <t>Retention</t>
  </si>
  <si>
    <t>INVOICES GRAND TOTAL</t>
  </si>
  <si>
    <t>Costs to Date (Gross)</t>
  </si>
  <si>
    <t>Code</t>
  </si>
  <si>
    <t xml:space="preserve">Costs to Date </t>
  </si>
  <si>
    <t>Concessions</t>
  </si>
  <si>
    <t>301-1</t>
  </si>
  <si>
    <t>301-2</t>
  </si>
  <si>
    <t>301-3</t>
  </si>
  <si>
    <t>301-4</t>
  </si>
  <si>
    <t>301-5</t>
  </si>
  <si>
    <t>301-6</t>
  </si>
  <si>
    <t>301-7</t>
  </si>
  <si>
    <t>301-8</t>
  </si>
  <si>
    <t>301-9</t>
  </si>
  <si>
    <t>301-10</t>
  </si>
  <si>
    <t>301-11</t>
  </si>
  <si>
    <t>301-12</t>
  </si>
  <si>
    <t>301-13</t>
  </si>
  <si>
    <t>301-14</t>
  </si>
  <si>
    <t>301-15</t>
  </si>
  <si>
    <t>301-16</t>
  </si>
  <si>
    <t>302-1</t>
  </si>
  <si>
    <t>302-2</t>
  </si>
  <si>
    <t>302-3</t>
  </si>
  <si>
    <t>Reimbursable Expenses</t>
  </si>
  <si>
    <t>Office Furniture</t>
  </si>
  <si>
    <t>Total Office Furniture</t>
  </si>
  <si>
    <t>Administration</t>
  </si>
  <si>
    <t>Total Administration</t>
  </si>
  <si>
    <t>Cost Report Date:</t>
  </si>
  <si>
    <t>First Show Date:</t>
  </si>
  <si>
    <t>Venue Capacity:</t>
  </si>
  <si>
    <t>Project Completion Date:</t>
  </si>
  <si>
    <t>104-2</t>
  </si>
  <si>
    <t>104-3</t>
  </si>
  <si>
    <t>104-4</t>
  </si>
  <si>
    <t>March Invoices Total</t>
  </si>
  <si>
    <t>CONTINGENCY TOTALS</t>
  </si>
  <si>
    <t>March Contingency Totals</t>
  </si>
  <si>
    <t>Trimark</t>
  </si>
  <si>
    <t>TriMark</t>
  </si>
  <si>
    <t>K2</t>
  </si>
  <si>
    <t>Total Contingency</t>
  </si>
  <si>
    <t>GRAND TOTAL</t>
  </si>
  <si>
    <t>Seating</t>
  </si>
  <si>
    <t>Remaining Contingency</t>
  </si>
  <si>
    <t>Risk Report Total</t>
  </si>
  <si>
    <t>Building Costs</t>
  </si>
  <si>
    <t>102-2</t>
  </si>
  <si>
    <t>102-3</t>
  </si>
  <si>
    <t>102-4</t>
  </si>
  <si>
    <t>101-2</t>
  </si>
  <si>
    <t>101-3</t>
  </si>
  <si>
    <t>101-4</t>
  </si>
  <si>
    <t>103-3</t>
  </si>
  <si>
    <t>103-4</t>
  </si>
  <si>
    <t>TOTAL BUILDING COSTS</t>
  </si>
  <si>
    <t>Soft Costs</t>
  </si>
  <si>
    <t>201-2</t>
  </si>
  <si>
    <t>201-3</t>
  </si>
  <si>
    <t>201-4</t>
  </si>
  <si>
    <t>202-2</t>
  </si>
  <si>
    <t>202-3</t>
  </si>
  <si>
    <t>202-4</t>
  </si>
  <si>
    <t>203-2</t>
  </si>
  <si>
    <t>203-3</t>
  </si>
  <si>
    <t>Kitchen Design</t>
  </si>
  <si>
    <t>Lighting Design</t>
  </si>
  <si>
    <t>Total Seating</t>
  </si>
  <si>
    <t>Chairs - Gasser Bar Stools</t>
  </si>
  <si>
    <t>Chairs - Gasser</t>
  </si>
  <si>
    <t>Ottoman - Boxes</t>
  </si>
  <si>
    <t>Side Tables - Boxes</t>
  </si>
  <si>
    <t>VIP - Cocktail Table</t>
  </si>
  <si>
    <t>VIP - Stools</t>
  </si>
  <si>
    <t>VIP - Coffee Tables</t>
  </si>
  <si>
    <t>VIP - Hightop</t>
  </si>
  <si>
    <t>VIP - Sofa</t>
  </si>
  <si>
    <t>VIP - Banquet</t>
  </si>
  <si>
    <t>Artist Lounge</t>
  </si>
  <si>
    <t>Dressing Room</t>
  </si>
  <si>
    <t>Rugs</t>
  </si>
  <si>
    <t>Catering Room Chairs</t>
  </si>
  <si>
    <t>Catering Room Tables</t>
  </si>
  <si>
    <t>Total Concession</t>
  </si>
  <si>
    <t>Kitchen and Bars</t>
  </si>
  <si>
    <t>303-1</t>
  </si>
  <si>
    <t>303-2</t>
  </si>
  <si>
    <t>304-1</t>
  </si>
  <si>
    <t>304-2</t>
  </si>
  <si>
    <t>304-3</t>
  </si>
  <si>
    <t>304-4</t>
  </si>
  <si>
    <t>304-5</t>
  </si>
  <si>
    <t>305-1</t>
  </si>
  <si>
    <t>305-2</t>
  </si>
  <si>
    <t>305-3</t>
  </si>
  <si>
    <t>305-4</t>
  </si>
  <si>
    <t>305-5</t>
  </si>
  <si>
    <t>Phone &amp; Data Systems</t>
  </si>
  <si>
    <t>Total Phone &amp; Data</t>
  </si>
  <si>
    <t>Desks-Production</t>
  </si>
  <si>
    <t>File Cabinets-Production</t>
  </si>
  <si>
    <t>Desk Chairs-Production</t>
  </si>
  <si>
    <t>305-6</t>
  </si>
  <si>
    <t>Signage/Graphics</t>
  </si>
  <si>
    <t>Total Signage/Graphics</t>
  </si>
  <si>
    <t>305-7</t>
  </si>
  <si>
    <t>305-8</t>
  </si>
  <si>
    <t>305-9</t>
  </si>
  <si>
    <t>305-10</t>
  </si>
  <si>
    <t>305-11</t>
  </si>
  <si>
    <t>305-12</t>
  </si>
  <si>
    <t>305-13</t>
  </si>
  <si>
    <t>305-14</t>
  </si>
  <si>
    <t>306-1</t>
  </si>
  <si>
    <t>306-3</t>
  </si>
  <si>
    <t>306-2</t>
  </si>
  <si>
    <t>306-4</t>
  </si>
  <si>
    <t>306-5</t>
  </si>
  <si>
    <t>306-6</t>
  </si>
  <si>
    <t>306-7</t>
  </si>
  <si>
    <t>306-8</t>
  </si>
  <si>
    <t>306-10</t>
  </si>
  <si>
    <t>306-11</t>
  </si>
  <si>
    <t>Safe-Box Office</t>
  </si>
  <si>
    <t>Safe-Concessions</t>
  </si>
  <si>
    <t>307-1</t>
  </si>
  <si>
    <t>307-2</t>
  </si>
  <si>
    <t>307-3</t>
  </si>
  <si>
    <t>307-4</t>
  </si>
  <si>
    <t>Facility</t>
  </si>
  <si>
    <t>Total Facility</t>
  </si>
  <si>
    <t>308-10</t>
  </si>
  <si>
    <t>308-1</t>
  </si>
  <si>
    <t>308-2</t>
  </si>
  <si>
    <t>308-3</t>
  </si>
  <si>
    <t>308-4</t>
  </si>
  <si>
    <t>Janitor Carts</t>
  </si>
  <si>
    <t>Scissor Lift</t>
  </si>
  <si>
    <t>Metal Detectors</t>
  </si>
  <si>
    <t>Total Operations</t>
  </si>
  <si>
    <t>308-5</t>
  </si>
  <si>
    <t>308-6</t>
  </si>
  <si>
    <t>308-7</t>
  </si>
  <si>
    <t>308-8</t>
  </si>
  <si>
    <t>308-9</t>
  </si>
  <si>
    <t>309-1</t>
  </si>
  <si>
    <t>309-2</t>
  </si>
  <si>
    <t>309-3</t>
  </si>
  <si>
    <t>309-4</t>
  </si>
  <si>
    <t>309-5</t>
  </si>
  <si>
    <t>309-6</t>
  </si>
  <si>
    <t>309-7</t>
  </si>
  <si>
    <t>309-8</t>
  </si>
  <si>
    <t>309-9</t>
  </si>
  <si>
    <t>309-10</t>
  </si>
  <si>
    <t>Total Production</t>
  </si>
  <si>
    <t>TOTAL FF&amp;E COSTS</t>
  </si>
  <si>
    <t xml:space="preserve"> Building Costs Total</t>
  </si>
  <si>
    <t>Soft Costs Total</t>
  </si>
  <si>
    <t>FF&amp;E Costs Total</t>
  </si>
  <si>
    <t>March 2020 Contingency</t>
  </si>
  <si>
    <t>TOTAL</t>
  </si>
  <si>
    <t>Risk Summary</t>
  </si>
  <si>
    <t>309-11</t>
  </si>
  <si>
    <t>Fixed Seating</t>
  </si>
  <si>
    <t>Certificate of Occupancy:</t>
  </si>
  <si>
    <t>Landlord Work Start Date:</t>
  </si>
  <si>
    <t>LNE Work Start Date:</t>
  </si>
  <si>
    <t>Exposure</t>
  </si>
  <si>
    <t xml:space="preserve"> *Sources reflect over budget items pending resolution.</t>
  </si>
  <si>
    <t>N/A</t>
  </si>
  <si>
    <t>TBD</t>
  </si>
  <si>
    <t>Bandit Lites</t>
  </si>
  <si>
    <t>Project Management</t>
  </si>
  <si>
    <t>Total Project Management</t>
  </si>
  <si>
    <t>TOTAL SOFT COSTS</t>
  </si>
  <si>
    <t>Project Team</t>
  </si>
  <si>
    <t>Estimated Final Cost (Including Risk Items)</t>
  </si>
  <si>
    <t>Multiple Vendors</t>
  </si>
  <si>
    <t>Venue EVP:</t>
  </si>
  <si>
    <t>CCTV</t>
  </si>
  <si>
    <t xml:space="preserve">LNE </t>
  </si>
  <si>
    <t>Payment Status</t>
  </si>
  <si>
    <t>Administration Refrigerator</t>
  </si>
  <si>
    <t>Miscellaneous Equipment (POS)</t>
  </si>
  <si>
    <t>Contingency Balance</t>
  </si>
  <si>
    <t>Initial Contingency Amount</t>
  </si>
  <si>
    <t>309-12</t>
  </si>
  <si>
    <t>305-15</t>
  </si>
  <si>
    <t>301-17</t>
  </si>
  <si>
    <t>Office Furniture (From Furniture Tracker)</t>
  </si>
  <si>
    <t>302-4</t>
  </si>
  <si>
    <t>Portable Bars</t>
  </si>
  <si>
    <t>309-13</t>
  </si>
  <si>
    <t>309-14</t>
  </si>
  <si>
    <t>Remaining to Invoice</t>
  </si>
  <si>
    <t>Remaining to Allocate</t>
  </si>
  <si>
    <t>Pivot / YE Co.</t>
  </si>
  <si>
    <t>305-16</t>
  </si>
  <si>
    <t>Committed Costs     Total</t>
  </si>
  <si>
    <t>Costs to Date           Total</t>
  </si>
  <si>
    <t>Entisys, Insight, Multi-Link</t>
  </si>
  <si>
    <t>203-4</t>
  </si>
  <si>
    <t>GRAND TOTALS</t>
  </si>
  <si>
    <t>305-17</t>
  </si>
  <si>
    <t>P11-21                     (Fcst)</t>
  </si>
  <si>
    <t>P01-22          (Fcst)</t>
  </si>
  <si>
    <t>P02-22          (Fcst)</t>
  </si>
  <si>
    <t>P03-22          (Fcst)</t>
  </si>
  <si>
    <t>Q4-21 TOTAL              (Fcst)</t>
  </si>
  <si>
    <t>Q1-22  TOTAL      (Fcst)</t>
  </si>
  <si>
    <t>Q4-21/Q1-22 TOTAL</t>
  </si>
  <si>
    <t>Remaining Contingency Balance</t>
  </si>
  <si>
    <t>P12-21                (Fcst)</t>
  </si>
  <si>
    <t>307-5</t>
  </si>
  <si>
    <t>307-6</t>
  </si>
  <si>
    <t>301-18</t>
  </si>
  <si>
    <t>2022 Invoices</t>
  </si>
  <si>
    <t>Secondary Contractors</t>
  </si>
  <si>
    <t>Miscellaneous</t>
  </si>
  <si>
    <t>Total Secondary Contractors</t>
  </si>
  <si>
    <t>Total Mics.</t>
  </si>
  <si>
    <t>Invoices</t>
  </si>
  <si>
    <t>Risk Report</t>
  </si>
  <si>
    <t>Current Sources  (as of 01/31/2023)</t>
  </si>
  <si>
    <t>Venue</t>
  </si>
  <si>
    <t>SF</t>
  </si>
  <si>
    <t>Expected Frist Show:</t>
  </si>
  <si>
    <t xml:space="preserve">Project Completion: </t>
  </si>
  <si>
    <t>Budget Total</t>
  </si>
  <si>
    <t>Building &amp; Fit-Out Costs</t>
  </si>
  <si>
    <t>Trade Costs</t>
  </si>
  <si>
    <t>General Conditions and General Requirements</t>
  </si>
  <si>
    <t>Branding</t>
  </si>
  <si>
    <t>Site &amp; Civil</t>
  </si>
  <si>
    <t>Project Management (Live Nation)</t>
  </si>
  <si>
    <t>Project Management (3rd Party)</t>
  </si>
  <si>
    <t>Kitchen Equipment Design (TriMark)</t>
  </si>
  <si>
    <t>Signage / Wayfinding Design</t>
  </si>
  <si>
    <t>Zoning/Permit Fees</t>
  </si>
  <si>
    <t>Testing / Quality Control</t>
  </si>
  <si>
    <t>Box &amp; VIP Seats</t>
  </si>
  <si>
    <t>Kitchen &amp; Bar Equipment</t>
  </si>
  <si>
    <t>POS</t>
  </si>
  <si>
    <t>Data (Wifi &amp; Network) Systems</t>
  </si>
  <si>
    <t>Exterior Signage / Wayfinding</t>
  </si>
  <si>
    <t>Interior Art &amp; Décor "Warehouse Scope"</t>
  </si>
  <si>
    <t>Production - FF&amp;E</t>
  </si>
  <si>
    <t>Production - Soft Goods</t>
  </si>
  <si>
    <t>Total Capital</t>
  </si>
  <si>
    <t>$ PER SF</t>
  </si>
  <si>
    <t>CSI #</t>
  </si>
  <si>
    <t>TRADE</t>
  </si>
  <si>
    <t>COST/SF</t>
  </si>
  <si>
    <t>013000</t>
  </si>
  <si>
    <t>PROJECT REQUIREMENTS</t>
  </si>
  <si>
    <t xml:space="preserve">015800 </t>
  </si>
  <si>
    <t xml:space="preserve">SCAFFOLDING &amp; STAGING </t>
  </si>
  <si>
    <t>024100</t>
  </si>
  <si>
    <t>DEMOLITION</t>
  </si>
  <si>
    <t>033000</t>
  </si>
  <si>
    <t>CONCRETE</t>
  </si>
  <si>
    <t>042000</t>
  </si>
  <si>
    <t>MASONRY</t>
  </si>
  <si>
    <t>044000</t>
  </si>
  <si>
    <t>STONE &amp; CERAMICS</t>
  </si>
  <si>
    <t>055100</t>
  </si>
  <si>
    <t>061000</t>
  </si>
  <si>
    <t>ROUGH CARPENTRY</t>
  </si>
  <si>
    <t>064000</t>
  </si>
  <si>
    <t>MILLWORK AND FURNITURE INSTALL</t>
  </si>
  <si>
    <t>075000</t>
  </si>
  <si>
    <t>ROOFING</t>
  </si>
  <si>
    <t>078100</t>
  </si>
  <si>
    <t>FIREPROOFING</t>
  </si>
  <si>
    <t>081000</t>
  </si>
  <si>
    <t>DOORS, FRAMES &amp; HARDWARE</t>
  </si>
  <si>
    <t>083000</t>
  </si>
  <si>
    <t>SPECIAL DOORS</t>
  </si>
  <si>
    <t>084100</t>
  </si>
  <si>
    <t>STOREFRONT</t>
  </si>
  <si>
    <t>088000</t>
  </si>
  <si>
    <t>GLASS/GLAZING</t>
  </si>
  <si>
    <t>092000</t>
  </si>
  <si>
    <t xml:space="preserve">DRYWALL </t>
  </si>
  <si>
    <t>092300</t>
  </si>
  <si>
    <t>TILE/BRICK TILE</t>
  </si>
  <si>
    <t>096000</t>
  </si>
  <si>
    <t>CARPET/RESILIENT FLOORING</t>
  </si>
  <si>
    <t>096050</t>
  </si>
  <si>
    <t>FLOOR PREPARATION</t>
  </si>
  <si>
    <t>096400</t>
  </si>
  <si>
    <t>WOOD FLOORING</t>
  </si>
  <si>
    <t>099000</t>
  </si>
  <si>
    <t>PAINTING/PLASTER</t>
  </si>
  <si>
    <t>100000</t>
  </si>
  <si>
    <t>SPECIALITIES</t>
  </si>
  <si>
    <t>100500</t>
  </si>
  <si>
    <t>ACOUSTICAL PANELS/K13</t>
  </si>
  <si>
    <t>SIGNAGE</t>
  </si>
  <si>
    <t>120000</t>
  </si>
  <si>
    <t xml:space="preserve"> </t>
  </si>
  <si>
    <t>114000</t>
  </si>
  <si>
    <t>FOOD SERVICE  AND BAR EQUIPMENT</t>
  </si>
  <si>
    <t>142000</t>
  </si>
  <si>
    <t>ELEVATOR</t>
  </si>
  <si>
    <t>210000</t>
  </si>
  <si>
    <t>FIRE PROTECTION</t>
  </si>
  <si>
    <t>220000</t>
  </si>
  <si>
    <t>PLUMBING</t>
  </si>
  <si>
    <t>230000</t>
  </si>
  <si>
    <t>HVAC</t>
  </si>
  <si>
    <t>260000</t>
  </si>
  <si>
    <t>ELECTRIC</t>
  </si>
  <si>
    <t>270000</t>
  </si>
  <si>
    <t>LOW VOLTAGE CABLING</t>
  </si>
  <si>
    <t>265000</t>
  </si>
  <si>
    <t>LIGHTING</t>
  </si>
  <si>
    <t>283100</t>
  </si>
  <si>
    <t>FIRE ALARM</t>
  </si>
  <si>
    <t>320000</t>
  </si>
  <si>
    <t>001000</t>
  </si>
  <si>
    <t>PRECONSTRUCTION</t>
  </si>
  <si>
    <t>010000</t>
  </si>
  <si>
    <t>GENERAL CONDITIONS</t>
  </si>
  <si>
    <t>BONDS</t>
  </si>
  <si>
    <t>SUB TOTAL</t>
  </si>
  <si>
    <t>500005</t>
  </si>
  <si>
    <t>G.L. INSURANCE</t>
  </si>
  <si>
    <t>500006</t>
  </si>
  <si>
    <t>BUILDERS RISK INSURANCE</t>
  </si>
  <si>
    <t>C.M. OVERHEAD &amp; FEE</t>
  </si>
  <si>
    <t>500010</t>
  </si>
  <si>
    <t>STATE/PROJECT TAX (IF APPLICABLE)</t>
  </si>
  <si>
    <t>700002</t>
  </si>
  <si>
    <t xml:space="preserve">DESIGN CONTINGENCY </t>
  </si>
  <si>
    <t>700003</t>
  </si>
  <si>
    <t>CONSTRUCTION CONTINGENCY</t>
  </si>
  <si>
    <t>700004</t>
  </si>
  <si>
    <t>EXPEDITING/OVERTIME CONTINGENCY</t>
  </si>
  <si>
    <t xml:space="preserve">TOTAL </t>
  </si>
  <si>
    <t>010001</t>
  </si>
  <si>
    <t>STRUCTURAL STEEL &amp; MISC METALS</t>
  </si>
  <si>
    <t>101400</t>
  </si>
  <si>
    <t>Capacity:</t>
  </si>
  <si>
    <t>SF:</t>
  </si>
  <si>
    <t>Date:</t>
  </si>
  <si>
    <t xml:space="preserve">Version: </t>
  </si>
  <si>
    <t>Scope :</t>
  </si>
  <si>
    <t>Scope:</t>
  </si>
  <si>
    <t>Architect:</t>
  </si>
  <si>
    <t>ITEM</t>
  </si>
  <si>
    <t>QTY</t>
  </si>
  <si>
    <t>PRICE</t>
  </si>
  <si>
    <t>Project Rubbish Removals</t>
  </si>
  <si>
    <t>LS</t>
  </si>
  <si>
    <t>Portable Toilets</t>
  </si>
  <si>
    <t>Clean up Materials</t>
  </si>
  <si>
    <t>Protection Materials</t>
  </si>
  <si>
    <t>Final Clean</t>
  </si>
  <si>
    <t>Sub Total</t>
  </si>
  <si>
    <t>015800</t>
  </si>
  <si>
    <t>Site safety During Erection</t>
  </si>
  <si>
    <t>Allow for Floor trenching for MEPS</t>
  </si>
  <si>
    <t>Demo floor for Recessed floor - Include Excavation</t>
  </si>
  <si>
    <t>Included Above</t>
  </si>
  <si>
    <t>Misc Façade Demo Along Johnson Ave (Doors, Roll-ups, Windows, etc.)</t>
  </si>
  <si>
    <t>Excavation related to New Columns at Music hall</t>
  </si>
  <si>
    <t>Based on Footprint of New Roof</t>
  </si>
  <si>
    <t>CMU wall footing excavation allow 2' deep for new Load bearing wall at Music hall-  East wall</t>
  </si>
  <si>
    <t>LF</t>
  </si>
  <si>
    <t>Concrete at New footings</t>
  </si>
  <si>
    <t>EA</t>
  </si>
  <si>
    <t>Concrete at CMU footing</t>
  </si>
  <si>
    <t>Patch slab due to New footing</t>
  </si>
  <si>
    <t>Patch conc. At Trenching for MEPS</t>
  </si>
  <si>
    <t>New slab Pour-back at Excavated Areas</t>
  </si>
  <si>
    <t>New slab at Recessed floor</t>
  </si>
  <si>
    <t>Concrete on Deck for Mezz of Music Hall with Platforms</t>
  </si>
  <si>
    <t>Concrete In-fill on New Pan Stairs</t>
  </si>
  <si>
    <t>(2) Feature Stairs, (2) BOH Stairs</t>
  </si>
  <si>
    <t>Grouting at Steel Trusses &amp; Column Base Plates</t>
  </si>
  <si>
    <t>Polished concrete</t>
  </si>
  <si>
    <t>Patch sidewalk</t>
  </si>
  <si>
    <t>Misc. Equipment Pads</t>
  </si>
  <si>
    <t>Concrete at Stage Platform 4'6" H on Styrofoam</t>
  </si>
  <si>
    <t>F&amp;I  CMU  at back wall of music hall</t>
  </si>
  <si>
    <t>F&amp;I Brick façade at music hall bump up</t>
  </si>
  <si>
    <t>CMU and Brick infills at old windows and door opening</t>
  </si>
  <si>
    <t xml:space="preserve">Repair/ cleaning and minor repointing of existing brick facade </t>
  </si>
  <si>
    <t>Misc. Patching allow at penetrations</t>
  </si>
  <si>
    <t>044200</t>
  </si>
  <si>
    <t>Disconnect roof framing for Demo &amp; Shore at select areas</t>
  </si>
  <si>
    <t>F&amp;I new Roof Trusses, girders, Columns at Music Hall area</t>
  </si>
  <si>
    <t>TONS</t>
  </si>
  <si>
    <t>F&amp;I Roof deck</t>
  </si>
  <si>
    <t>Steel Framing at Mezz area - Including Elevated Standing &amp; Box Seating</t>
  </si>
  <si>
    <t>Steel Framing at upper balcony - incluing balcony seating</t>
  </si>
  <si>
    <t xml:space="preserve">Stage Lighting &amp; AV support structure </t>
  </si>
  <si>
    <t>LBS</t>
  </si>
  <si>
    <t>Small stair to access Stage</t>
  </si>
  <si>
    <t>Roof Dunnage for HVAC Equipment's</t>
  </si>
  <si>
    <t>LOC</t>
  </si>
  <si>
    <t>Roof Penetrations framing for Toilet exhaust &amp; Kitchen exhaust</t>
  </si>
  <si>
    <t xml:space="preserve">Stairs </t>
  </si>
  <si>
    <t>FL</t>
  </si>
  <si>
    <t>Allow for Unistrut at select area of stage</t>
  </si>
  <si>
    <t>Railing at Roof Deck</t>
  </si>
  <si>
    <t>Railing at Theatre</t>
  </si>
  <si>
    <t>Misc. Lintels</t>
  </si>
  <si>
    <t>Allow for access Ladders at Stage Overhead lighting grid area</t>
  </si>
  <si>
    <t>062000</t>
  </si>
  <si>
    <t>Rough Carpentry/OSHA Protection</t>
  </si>
  <si>
    <t>Safety Protection at Roof cut out</t>
  </si>
  <si>
    <t>Safety Protection at Footings trenches</t>
  </si>
  <si>
    <t>Entry Barricade</t>
  </si>
  <si>
    <t>Safety at New Mezz Build outs</t>
  </si>
  <si>
    <t>Rough Carpentry work at Stage area</t>
  </si>
  <si>
    <t>MILLWORK</t>
  </si>
  <si>
    <t>Lobby Bar/Back Bar - Complete</t>
  </si>
  <si>
    <t>VIP Bar/Back Bar - Complete</t>
  </si>
  <si>
    <t>Music Hall GA Bar/Back Bars - Complete</t>
  </si>
  <si>
    <t>Mezzanine Bar/Back Bars - Complete</t>
  </si>
  <si>
    <t>Balcony bar/back bar- complete</t>
  </si>
  <si>
    <t>Upper lounge bar/back bar- complete</t>
  </si>
  <si>
    <t>Lower lounge bar/back bar- complete</t>
  </si>
  <si>
    <t>Foundry bar/back bar- complete</t>
  </si>
  <si>
    <t>Decorative Features Above Each Back Bar</t>
  </si>
  <si>
    <t>Green room Bathrooms &amp; Counter tops</t>
  </si>
  <si>
    <t>Public Bathroom Counter top</t>
  </si>
  <si>
    <t>Millwork at Merchandise</t>
  </si>
  <si>
    <t>Pantry at Office Area</t>
  </si>
  <si>
    <t>Millwork shelf &amp; Pole at Coat closet area</t>
  </si>
  <si>
    <t>Install Furniture</t>
  </si>
  <si>
    <t>Additional millwork in public areas</t>
  </si>
  <si>
    <t>Decorative Millwork at Proscenium</t>
  </si>
  <si>
    <t>Millwork at BOX Office</t>
  </si>
  <si>
    <t>Patch roofing at Misc. Penetrations</t>
  </si>
  <si>
    <t xml:space="preserve">FIREPROOFING </t>
  </si>
  <si>
    <t>Allow for fireproofing at New steel at Roof</t>
  </si>
  <si>
    <t>Allow for fireproofing at New steel at Mezzanine</t>
  </si>
  <si>
    <t>Add fireproofing to existing roof steel</t>
  </si>
  <si>
    <t>Single Hollow Metal Doors - Non-Acoustical</t>
  </si>
  <si>
    <t>Double Hollow Metal Doors - Non-Acoustical</t>
  </si>
  <si>
    <t>Acoustical doors at Music Hall</t>
  </si>
  <si>
    <t>Acoustical double doors at Music Hall</t>
  </si>
  <si>
    <t>PAIR</t>
  </si>
  <si>
    <t>Eliason doors</t>
  </si>
  <si>
    <t>F&amp;I New Storefront with Doors</t>
  </si>
  <si>
    <t>F&amp;I New Storefront with doors to roof deck</t>
  </si>
  <si>
    <t>Storefront double door to roof deck</t>
  </si>
  <si>
    <t>PAIRS</t>
  </si>
  <si>
    <t>Interior Storefront at VIP Lounge</t>
  </si>
  <si>
    <t xml:space="preserve">Interior Storefront  at  foundry </t>
  </si>
  <si>
    <t>Interior double door at VIP Lounge</t>
  </si>
  <si>
    <t>GLAZING</t>
  </si>
  <si>
    <t>Mirror at Bathrooms- Public</t>
  </si>
  <si>
    <t>Mirror at Green room</t>
  </si>
  <si>
    <t>Mirror behind bars</t>
  </si>
  <si>
    <t>LOT</t>
  </si>
  <si>
    <t>Ballistic Box office window</t>
  </si>
  <si>
    <t>DRYWALL</t>
  </si>
  <si>
    <t>Perimeter wall furring/sheathing at new  Music Hall bump up</t>
  </si>
  <si>
    <t>Interior Sound/Fire rated walls at music hall, stair ways and elevator shafts</t>
  </si>
  <si>
    <t>Interior Non Sound walls</t>
  </si>
  <si>
    <t>Drywall ceilings</t>
  </si>
  <si>
    <t>Acoustical Ceilngs</t>
  </si>
  <si>
    <t>Install Doors/Frames/Hardware</t>
  </si>
  <si>
    <t>Blocking</t>
  </si>
  <si>
    <t>FRP Kitchen walls</t>
  </si>
  <si>
    <t>Diamond wall plates at Loading dock area for wall protection</t>
  </si>
  <si>
    <t>Install Items Furnished By Others</t>
  </si>
  <si>
    <t>TILE</t>
  </si>
  <si>
    <t>Tile at Restroom/Shower Floors</t>
  </si>
  <si>
    <t>Tile at Restroom Walls</t>
  </si>
  <si>
    <t>Faux brick at Lobby</t>
  </si>
  <si>
    <t>Tile at Bar Floors</t>
  </si>
  <si>
    <t>Tile &amp; Base at Kitchen</t>
  </si>
  <si>
    <t>Carpete tile at office and production</t>
  </si>
  <si>
    <t>LVT Flooring at Green room areas and Dresssing rooms</t>
  </si>
  <si>
    <t>VCT in coat room/box office</t>
  </si>
  <si>
    <t>F&amp;I Vinyl Base</t>
  </si>
  <si>
    <t>Minor Prep floor</t>
  </si>
  <si>
    <t>Entry Mats</t>
  </si>
  <si>
    <t>Stair Treads</t>
  </si>
  <si>
    <t>F&amp;I T&amp;G Wood floor at Stage</t>
  </si>
  <si>
    <t>Paint all Walls &amp; Doors &amp; Ceilings</t>
  </si>
  <si>
    <t>Upgrade finishes at walls in Green room area</t>
  </si>
  <si>
    <t>SPECIALTIES</t>
  </si>
  <si>
    <t>Toilet Acc</t>
  </si>
  <si>
    <t>SET</t>
  </si>
  <si>
    <t>Toilet Partitions</t>
  </si>
  <si>
    <t>Appliances at Pantry</t>
  </si>
  <si>
    <t>ACOUSTICAL PANELS/ K13</t>
  </si>
  <si>
    <t>Allow for interior Door signs</t>
  </si>
  <si>
    <t>Allow for Directional signage</t>
  </si>
  <si>
    <t>Install misc signage allowance</t>
  </si>
  <si>
    <t>FOOD SERVICE EQUIPMENT - BY OWNER</t>
  </si>
  <si>
    <t>F&amp;I Food service equipment</t>
  </si>
  <si>
    <t>Hood Fire Protection system</t>
  </si>
  <si>
    <t>F&amp;I Kitchen exhaust hood</t>
  </si>
  <si>
    <t>STOPS</t>
  </si>
  <si>
    <t>Showers</t>
  </si>
  <si>
    <t>Green room sinks</t>
  </si>
  <si>
    <t>Pantry sinks</t>
  </si>
  <si>
    <t>Floor Drains &amp; Sinks</t>
  </si>
  <si>
    <t>Water Heater- Electrical</t>
  </si>
  <si>
    <t>F&amp;I Bar roughing</t>
  </si>
  <si>
    <t>Lobby Bar</t>
  </si>
  <si>
    <t>VIP Bars</t>
  </si>
  <si>
    <t>Music Bars</t>
  </si>
  <si>
    <t>F&amp;I Kitchen roughing</t>
  </si>
  <si>
    <t>F&amp;I Roof Drains</t>
  </si>
  <si>
    <t>Demo. Disconnects</t>
  </si>
  <si>
    <t>Misc Equipment</t>
  </si>
  <si>
    <t>Firestopping</t>
  </si>
  <si>
    <t xml:space="preserve">Lighting </t>
  </si>
  <si>
    <t xml:space="preserve">F/I Emergency lighting package </t>
  </si>
  <si>
    <t>I/O lighting package throughout provided by others</t>
  </si>
  <si>
    <t>Power Wiring &amp; Devices</t>
  </si>
  <si>
    <t>F/I general power throughout - duplex, quadraplex, floor boxes, J boxes, ceiling outlets</t>
  </si>
  <si>
    <t xml:space="preserve">F/I dedicated circuits at all Kitchen equipment </t>
  </si>
  <si>
    <t xml:space="preserve">F/I dedicated power to stage equipment </t>
  </si>
  <si>
    <t xml:space="preserve">Mechanical Power </t>
  </si>
  <si>
    <t>F/I power to Mechanical Equipment</t>
  </si>
  <si>
    <t>F/I power to VAV's</t>
  </si>
  <si>
    <t>F/I power to Exhaust Fans</t>
  </si>
  <si>
    <t>Combine Existing Services</t>
  </si>
  <si>
    <t>Panels and Secondary distribution</t>
  </si>
  <si>
    <t xml:space="preserve">Misc. </t>
  </si>
  <si>
    <t>F/I firestopping at cores &amp; penetrations</t>
  </si>
  <si>
    <t>LOW VOLTAGE</t>
  </si>
  <si>
    <t>Wiring for security Camera</t>
  </si>
  <si>
    <t>Door intrusion entry/exit security</t>
  </si>
  <si>
    <t>A/V wiring only</t>
  </si>
  <si>
    <t>Phone/Data wiring</t>
  </si>
  <si>
    <t>LIGHTING AND CONTROLS - BY OWNER</t>
  </si>
  <si>
    <t>Stage Lighting</t>
  </si>
  <si>
    <t>Bar Lighting</t>
  </si>
  <si>
    <t>Specialty Fixtures</t>
  </si>
  <si>
    <t>Dimming Control PKG</t>
  </si>
  <si>
    <t>Inverter PKG</t>
  </si>
  <si>
    <t>F&amp;I Fire alarm system</t>
  </si>
  <si>
    <t>32000</t>
  </si>
  <si>
    <t>SITEWORK</t>
  </si>
  <si>
    <t>DESCRIPTION</t>
  </si>
  <si>
    <t>NOTES</t>
  </si>
  <si>
    <t>#</t>
  </si>
  <si>
    <t>BUDGET</t>
  </si>
  <si>
    <t>Feasibility Study</t>
  </si>
  <si>
    <t>Total Feasibility Study</t>
  </si>
  <si>
    <t>Architectural Fees</t>
  </si>
  <si>
    <t>Lighting Design (Bandit)</t>
  </si>
  <si>
    <t>Reimbursables</t>
  </si>
  <si>
    <t>Total Architectural Fees</t>
  </si>
  <si>
    <t>Civil Engineering</t>
  </si>
  <si>
    <t>Total Civil Engineering</t>
  </si>
  <si>
    <t>Traffic Engineering</t>
  </si>
  <si>
    <t>Total Traffic Engineering</t>
  </si>
  <si>
    <t>Acoustical Engineering</t>
  </si>
  <si>
    <t>Sound and Vibration Testing</t>
  </si>
  <si>
    <t>Total Acoustical Engineering</t>
  </si>
  <si>
    <t>Geotechnical Engineering</t>
  </si>
  <si>
    <t>Total Geotechnical Engineering</t>
  </si>
  <si>
    <t>Environmental Studies</t>
  </si>
  <si>
    <t>Total Environmental Studies</t>
  </si>
  <si>
    <t>Zoning / Permit Fees</t>
  </si>
  <si>
    <t>Permit fees &amp; plan review fees</t>
  </si>
  <si>
    <t>MEP and misc. permit fees</t>
  </si>
  <si>
    <t>Expeditor (allowance for Addt'l services)</t>
  </si>
  <si>
    <t>Total Zoning / Permit Fees</t>
  </si>
  <si>
    <t>Utility Connection Fees</t>
  </si>
  <si>
    <t>Total Utility Connection Fees</t>
  </si>
  <si>
    <t>Attorney Fees</t>
  </si>
  <si>
    <t>Total Attorney Fees</t>
  </si>
  <si>
    <t>Controlled inspections</t>
  </si>
  <si>
    <t>Total Testing / Quality Control</t>
  </si>
  <si>
    <t>Total Miscellaneous</t>
  </si>
  <si>
    <t>UNIT PRICE</t>
  </si>
  <si>
    <t>FF&amp;E COSTS</t>
  </si>
  <si>
    <t>SOFT COSTS</t>
  </si>
  <si>
    <t>BUILDING &amp; FIT-OUT COSTS</t>
  </si>
  <si>
    <t>VENDOR</t>
  </si>
  <si>
    <t>Seating and Accessories</t>
  </si>
  <si>
    <t>Artist &amp; Crew Furniture</t>
  </si>
  <si>
    <t>Total Seating/Accessories</t>
  </si>
  <si>
    <t>BAR &amp; KITCHEN EQUIPMENT</t>
  </si>
  <si>
    <t>Bar Equipment</t>
  </si>
  <si>
    <t>Kitchen Equipment</t>
  </si>
  <si>
    <t>Lobby Bar Equipment</t>
  </si>
  <si>
    <t>Total Concessions</t>
  </si>
  <si>
    <t>SUB-TOTAL CONCESSIONS</t>
  </si>
  <si>
    <t>DATA SYSTEMS / IT / CCTV</t>
  </si>
  <si>
    <t>Data Systems / IT / CCTV</t>
  </si>
  <si>
    <t>Data Cabling</t>
  </si>
  <si>
    <t>CCTV - Security Cameras</t>
  </si>
  <si>
    <t>Total Data Systems</t>
  </si>
  <si>
    <t>SUB-TOTAL DATA SYSTEMS</t>
  </si>
  <si>
    <t>OFFICE FURNITURE</t>
  </si>
  <si>
    <t>Office Furniture/Accessories</t>
  </si>
  <si>
    <t>Administration Furniture</t>
  </si>
  <si>
    <t>Admin.Appliances</t>
  </si>
  <si>
    <t>Total Office Furniture/Access.</t>
  </si>
  <si>
    <t>SUB-TOTAL OFFICE FURNITURE</t>
  </si>
  <si>
    <t>SIGNAGE / SCENIC</t>
  </si>
  <si>
    <t>Exterior Builidng Signage</t>
  </si>
  <si>
    <t>Exterior Signage</t>
  </si>
  <si>
    <t>Total Exterior Builidng Signage</t>
  </si>
  <si>
    <t>Wayfinding</t>
  </si>
  <si>
    <t>Interior Wayfinding and ADA Signage</t>
  </si>
  <si>
    <t>Total Wayfinding</t>
  </si>
  <si>
    <t>Art</t>
  </si>
  <si>
    <t>Interior Art and Décor</t>
  </si>
  <si>
    <t>Total Art</t>
  </si>
  <si>
    <t>SUB-TOTAL SIGNAGE / SCENIC</t>
  </si>
  <si>
    <t>ADMINISTRATION</t>
  </si>
  <si>
    <t>Office Equipment</t>
  </si>
  <si>
    <t>Safe-Accounting</t>
  </si>
  <si>
    <t>Total Office Equipment</t>
  </si>
  <si>
    <t>SUB-TOTAL ADMINISTRATION</t>
  </si>
  <si>
    <t>FACILITY</t>
  </si>
  <si>
    <t>Administration/Main Entrance</t>
  </si>
  <si>
    <t>Total Admin/Main Entrance</t>
  </si>
  <si>
    <t>Landscape Furniture</t>
  </si>
  <si>
    <t>Total Landscape Furniture</t>
  </si>
  <si>
    <t>Lighting/Sound/Video-Other</t>
  </si>
  <si>
    <t>Total Lighting/Sound/Video</t>
  </si>
  <si>
    <t>SUB-TOTAL FACILITY</t>
  </si>
  <si>
    <t>OPERATIONS</t>
  </si>
  <si>
    <t>Custodial Equipment</t>
  </si>
  <si>
    <t>Venue Trash Cans</t>
  </si>
  <si>
    <t>Decorative Trash Cans</t>
  </si>
  <si>
    <t>Total Custodial Equipment</t>
  </si>
  <si>
    <t>Landscape Equipment</t>
  </si>
  <si>
    <t>Total Landscape Equipment</t>
  </si>
  <si>
    <t>Miscellaneous Equipment</t>
  </si>
  <si>
    <t>Total Misc. Equipment</t>
  </si>
  <si>
    <t>Security/Police/Traffic</t>
  </si>
  <si>
    <t>Total Sec/Police/Traffic</t>
  </si>
  <si>
    <t>Shop Equipment</t>
  </si>
  <si>
    <t>Hand Tools-Miscellaneous</t>
  </si>
  <si>
    <t>Shelving / Cabinets</t>
  </si>
  <si>
    <t>Total Shop Equipment</t>
  </si>
  <si>
    <t>SUB-TOTAL OPERATIONS</t>
  </si>
  <si>
    <t>PRODUCTION</t>
  </si>
  <si>
    <t>Production FF&amp;E</t>
  </si>
  <si>
    <t>AVS - Test</t>
  </si>
  <si>
    <t>Stage Barricade</t>
  </si>
  <si>
    <t>Portable Stage</t>
  </si>
  <si>
    <t>Washer &amp; Dryer</t>
  </si>
  <si>
    <t>Risers</t>
  </si>
  <si>
    <t>Hand Cart &amp; Dollies</t>
  </si>
  <si>
    <t>Storage Shelving</t>
  </si>
  <si>
    <t>Tools</t>
  </si>
  <si>
    <t>Soft Goods</t>
  </si>
  <si>
    <t>All soft goods</t>
  </si>
  <si>
    <t>Video System</t>
  </si>
  <si>
    <t>Displays &amp; Distribution</t>
  </si>
  <si>
    <t>Total Video System</t>
  </si>
  <si>
    <t>Audio System</t>
  </si>
  <si>
    <t xml:space="preserve">House Sound System </t>
  </si>
  <si>
    <t>Total Audio System</t>
  </si>
  <si>
    <t>Production Lighting</t>
  </si>
  <si>
    <t>Performance Lighting</t>
  </si>
  <si>
    <t>Performance Lighting VIP</t>
  </si>
  <si>
    <t>SUB-TOTAL PRODUCTION</t>
  </si>
  <si>
    <t>Misc. Equipment $60K, Soft Goods $725k, Video  $236k, Audio $690k, Performance Lighting $450k</t>
  </si>
  <si>
    <t>ARCHITECTURAL LIGHTING</t>
  </si>
  <si>
    <t>Architectural Lighting</t>
  </si>
  <si>
    <t>BUDGET TOTAL</t>
  </si>
  <si>
    <t>Total Reimbursable Expenses</t>
  </si>
  <si>
    <t>Total Metal Detectors</t>
  </si>
  <si>
    <t>Production - Audio &amp; Video System</t>
  </si>
  <si>
    <t>General Contractor</t>
  </si>
  <si>
    <t>Total Building &amp; Fit-Out Costs</t>
  </si>
  <si>
    <t>203-5</t>
  </si>
  <si>
    <t>203-6</t>
  </si>
  <si>
    <t>203-7</t>
  </si>
  <si>
    <t>203-8</t>
  </si>
  <si>
    <t>203-9</t>
  </si>
  <si>
    <t>203-10</t>
  </si>
  <si>
    <t>Design, Engineering &amp; Misc.</t>
  </si>
  <si>
    <t>Total Design, Engineering &amp; Misc.</t>
  </si>
  <si>
    <t xml:space="preserve">AV/LV Design </t>
  </si>
  <si>
    <t>K2 / Metro Acoustics</t>
  </si>
  <si>
    <t xml:space="preserve">Acoustic Design </t>
  </si>
  <si>
    <t>Zoning &amp; Permit Fees</t>
  </si>
  <si>
    <t>Data /Wifi Systems</t>
  </si>
  <si>
    <t xml:space="preserve">Administration   </t>
  </si>
  <si>
    <t xml:space="preserve">FF&amp;E </t>
  </si>
  <si>
    <t>Audio &amp; Video System</t>
  </si>
  <si>
    <t>Test (Must be True)</t>
  </si>
  <si>
    <t>Escalation (Calculated at 5%)</t>
  </si>
  <si>
    <t>Architectural / Engineering / Consultant Fees</t>
  </si>
  <si>
    <t>Acousticsl Engineering</t>
  </si>
  <si>
    <t>Enviromental Studies</t>
  </si>
  <si>
    <t>##</t>
  </si>
  <si>
    <t>Interior Design</t>
  </si>
  <si>
    <t>Architecture &amp; Engineering</t>
  </si>
  <si>
    <t>Architecture</t>
  </si>
  <si>
    <t>MEP Engineering</t>
  </si>
  <si>
    <t>Structural Engineering</t>
  </si>
  <si>
    <t xml:space="preserve">LV/AV Design </t>
  </si>
  <si>
    <t>Renderings</t>
  </si>
  <si>
    <t xml:space="preserve">Civil Engineering </t>
  </si>
  <si>
    <t>Due Diligence &amp; Feasibility Study</t>
  </si>
  <si>
    <t>Signage &amp; Way Finding Design</t>
  </si>
  <si>
    <t>Carried in line #3</t>
  </si>
  <si>
    <t>MEP Consultant</t>
  </si>
  <si>
    <t>Exterior work: New Sidewalks, Street Work</t>
  </si>
  <si>
    <t>Verify w/ Traffic Consultant Report</t>
  </si>
  <si>
    <t>Sound &amp; Vibration Testing / Design Documentation &amp; Consulting</t>
  </si>
  <si>
    <t>13 Borings 50' deep required for ST Permit</t>
  </si>
  <si>
    <t>Carried in Feasibility Study</t>
  </si>
  <si>
    <t>Fire Safety &amp; Emergency Action Plan</t>
  </si>
  <si>
    <t>Fire Protection Plan &amp; Filing with FDNY</t>
  </si>
  <si>
    <t>FA Consultant &amp; Expediting Services</t>
  </si>
  <si>
    <t>Consulting/ Filing/ FA Inspection Filing &amp; Inspection Scheduling/ TCO Affidavit/ FDNY NOD</t>
  </si>
  <si>
    <t>Electrical Service Upgrade</t>
  </si>
  <si>
    <t>Service upgrade required. Vault located in street, new conduit and feeders from vault into MPOE electrical room. Only Con Ed costs carried.</t>
  </si>
  <si>
    <t>SLA Legal Fees carried in Feasibility DD</t>
  </si>
  <si>
    <t>165 Randolph St. Brooklyn NY</t>
  </si>
  <si>
    <t>Version #: 1</t>
  </si>
  <si>
    <t>VIP Lounge</t>
  </si>
  <si>
    <t>Theater GA Standing: 7,440</t>
  </si>
  <si>
    <t>Theater GA Seated: 5,954</t>
  </si>
  <si>
    <t>Eating &amp; Drinking : 769</t>
  </si>
  <si>
    <t>Conceptual &amp; Brand Development</t>
  </si>
  <si>
    <t>Estimating Services</t>
  </si>
  <si>
    <t>165 Randolph St Brooklyn NY</t>
  </si>
  <si>
    <t xml:space="preserve">Warehouse Conversion / Add Second Level &amp; Roof Decks							</t>
  </si>
  <si>
    <t>Mezzanine Level Box Chairs</t>
  </si>
  <si>
    <t>SEATING &amp; FURNITURE</t>
  </si>
  <si>
    <t>SUB-TOTAL FURNITURE</t>
  </si>
  <si>
    <t>Mezzanine Level Elevated Chairs</t>
  </si>
  <si>
    <t>Mezzanine Level Elevated Couches</t>
  </si>
  <si>
    <t>Mezzanine Level Elevated Coffee Tables</t>
  </si>
  <si>
    <t>Stage R&amp;L Viewing Boxes</t>
  </si>
  <si>
    <t>VIP Lounge Furniture</t>
  </si>
  <si>
    <t>Restaurant Furniture</t>
  </si>
  <si>
    <t>Roof Terrace Furniture</t>
  </si>
  <si>
    <t>VIP Lounge Roof Terrace Furniture</t>
  </si>
  <si>
    <t>Dressing Room Furniture</t>
  </si>
  <si>
    <t>2nd Fl / 3rd Fl</t>
  </si>
  <si>
    <t>Crew &amp; Artist Lounge Area</t>
  </si>
  <si>
    <t>Restaurant Terrace Furniture</t>
  </si>
  <si>
    <t>Roof Lounge Furniture</t>
  </si>
  <si>
    <t>Carried Construction Costs</t>
  </si>
  <si>
    <t>VoIP Phones / Data Switch / WiFi</t>
  </si>
  <si>
    <t>Install sidewalk bridge and scaffolding around building</t>
  </si>
  <si>
    <t>Music Hall House Left Bar</t>
  </si>
  <si>
    <t>Music Hall House Right Bar</t>
  </si>
  <si>
    <t>Music Hall Rear Bar</t>
  </si>
  <si>
    <t>Mezz. House Right Bar</t>
  </si>
  <si>
    <t>Mezz. House Left Bar</t>
  </si>
  <si>
    <t>VIP Lounge Bar including Roof</t>
  </si>
  <si>
    <t>Restaurant Bar</t>
  </si>
  <si>
    <t>Roof Lobby Bar</t>
  </si>
  <si>
    <t xml:space="preserve">Ice Machines </t>
  </si>
  <si>
    <t>Walk-In Coolers</t>
  </si>
  <si>
    <t>Freight &amp; Installation</t>
  </si>
  <si>
    <t>* BPT: 26 POS / Prep Kitchen / 1 Walk-in Cooler $837K</t>
  </si>
  <si>
    <t>Seating &amp; Furniture</t>
  </si>
  <si>
    <t>Elevator Lobby</t>
  </si>
  <si>
    <t>Elevator Stage</t>
  </si>
  <si>
    <t>Perimeter wall partition at existing exterior wall</t>
  </si>
  <si>
    <t>Perimeter wall partition at new exterior wall</t>
  </si>
  <si>
    <t>FIRST FLOOR</t>
  </si>
  <si>
    <t xml:space="preserve">Patch &amp; Repair Existing Masonry Wall </t>
  </si>
  <si>
    <t>2HR Fire Rated Wall Reat Stage - 20' High</t>
  </si>
  <si>
    <t>2HR Fire Rated Wall Rear Music Hall - 20' High</t>
  </si>
  <si>
    <t>Architectural &amp; Exterior Lighting</t>
  </si>
  <si>
    <t>Total Soft Goods</t>
  </si>
  <si>
    <t>Abatement</t>
  </si>
  <si>
    <t>F/I 2" Insulation above 8' AFF Floor to 38'AFF</t>
  </si>
  <si>
    <t>F/I Plywood 8'AFF at Stage Walls</t>
  </si>
  <si>
    <t xml:space="preserve">Excavate &amp; Install New Footings at Stage </t>
  </si>
  <si>
    <t>F&amp;I Steel for Stage Support</t>
  </si>
  <si>
    <t>F/I metal decking Stage</t>
  </si>
  <si>
    <t>F/I Proscenium Wall</t>
  </si>
  <si>
    <t>OFF SITE COSTS</t>
  </si>
  <si>
    <t>Special Projects Program</t>
  </si>
  <si>
    <t>Inerior Scenic Work &amp; Exterior Building Murals</t>
  </si>
  <si>
    <t>SUB-TOTAL ARCHITECTURAL LIGHTING</t>
  </si>
  <si>
    <t>Total Production FF&amp;E</t>
  </si>
  <si>
    <t>Production - Performance Lighting</t>
  </si>
  <si>
    <t>Fork Lift</t>
  </si>
  <si>
    <t>Radios</t>
  </si>
  <si>
    <t>Police Barricades</t>
  </si>
  <si>
    <t>Dock Plates/Ramps/Hand Carts &amp; Dollies</t>
  </si>
  <si>
    <t>Includes Theater / VIP / Restaurant &amp; Roof Area</t>
  </si>
  <si>
    <t>Stage / Perimeter Walls Music Hall - CUTDOWN DRAPE @ MEZZ EDGE Not Included</t>
  </si>
  <si>
    <t>WK</t>
  </si>
  <si>
    <t>Plans / Reprographics</t>
  </si>
  <si>
    <t>Site Office &amp; Equipment</t>
  </si>
  <si>
    <t>Construction Signage</t>
  </si>
  <si>
    <t>Site Security</t>
  </si>
  <si>
    <t xml:space="preserve">LS </t>
  </si>
  <si>
    <t>SCAFFOLDING &amp; HOARDING</t>
  </si>
  <si>
    <t xml:space="preserve">Project Labor </t>
  </si>
  <si>
    <t>Site Safety Plan / First Aid / TPP / FE's / Safety Inspector</t>
  </si>
  <si>
    <t>Field Techonology</t>
  </si>
  <si>
    <t>BIM Set Up &amp; Coordination</t>
  </si>
  <si>
    <t>PM</t>
  </si>
  <si>
    <t xml:space="preserve">APM </t>
  </si>
  <si>
    <t>Engineer</t>
  </si>
  <si>
    <t>Exec</t>
  </si>
  <si>
    <t>Accoutnant</t>
  </si>
  <si>
    <t>Super</t>
  </si>
  <si>
    <t>General Super</t>
  </si>
  <si>
    <t>Overhead, Profit &amp; Insurance (9% Combined)</t>
  </si>
  <si>
    <t>Contractor Contingency 10%</t>
  </si>
  <si>
    <t>000</t>
  </si>
  <si>
    <t>Wake</t>
  </si>
  <si>
    <t>Parking Garage - 260/spaces</t>
  </si>
  <si>
    <t>2nd Floor concrete pavers on pedestals</t>
  </si>
  <si>
    <t>2nd Floor Terrace Roof Membrane</t>
  </si>
  <si>
    <t>3rd Floor Terrace Roof Membrane VIP</t>
  </si>
  <si>
    <t xml:space="preserve">3rd Floor Terrace Roof Membrane Restaurant </t>
  </si>
  <si>
    <t>3rd Floor Terrace concrete pavers on pedestals VIP</t>
  </si>
  <si>
    <t>F/I Vesda System Music Hall</t>
  </si>
  <si>
    <t>Exit Signs / BOH fixtures</t>
  </si>
  <si>
    <t>Safe Off / Disconnect</t>
  </si>
  <si>
    <t xml:space="preserve">First Floor Rework Existing Fire Protection System First </t>
  </si>
  <si>
    <t>Hydraulic Lift 12'x6'</t>
  </si>
  <si>
    <t>1st Floor Raised Slab - Concrete on Styrofoam 24"</t>
  </si>
  <si>
    <t>CY</t>
  </si>
  <si>
    <t>Demo existing exterior roll up doors</t>
  </si>
  <si>
    <t>Demo existing exterior doors</t>
  </si>
  <si>
    <t>Merch Cases</t>
  </si>
  <si>
    <t>Music Hall Projector</t>
  </si>
  <si>
    <t>Upstage Video Wall</t>
  </si>
  <si>
    <t>Overhead Video Wall</t>
  </si>
  <si>
    <t>VIP Lounge Projector</t>
  </si>
  <si>
    <t>$1,400/SF</t>
  </si>
  <si>
    <t>Total Performance Lighting</t>
  </si>
  <si>
    <t xml:space="preserve">SF: </t>
  </si>
  <si>
    <t>135, 953</t>
  </si>
  <si>
    <t>Demo existing windows 1'x10'</t>
  </si>
  <si>
    <t>New Masonry Wall at Entry Lobby Area</t>
  </si>
  <si>
    <t>Patch masonry at new exterior doors</t>
  </si>
  <si>
    <t>F&amp;I CMU wall vestibule stair tower 2 1st Fl</t>
  </si>
  <si>
    <t>F&amp;I CMU wall vestibule stair tower 2 2nd FL</t>
  </si>
  <si>
    <t>F&amp;I CMU wall vestibule stair tower 2 3rd Fl</t>
  </si>
  <si>
    <t>F&amp;I CMU wall vestibule stair tower 1 3rd Fl</t>
  </si>
  <si>
    <t>F&amp;I CMU wall vestibule stair tower 1 2nd FL</t>
  </si>
  <si>
    <t>F&amp;I CMU wall vestibule stair tower 1 1st FL</t>
  </si>
  <si>
    <t>Patch Masonry at louver openings</t>
  </si>
  <si>
    <t>CMU and Brick façade at removed doors</t>
  </si>
  <si>
    <t>CMU and Brick façade at removed rolling grilles</t>
  </si>
  <si>
    <t>CMU and Brick façade at removed windows</t>
  </si>
  <si>
    <t>F&amp;I CMU elevator tower entrance</t>
  </si>
  <si>
    <t>F&amp;I CMU elevator tower Stage</t>
  </si>
  <si>
    <t>Concrete ramp stage</t>
  </si>
  <si>
    <t>Demo Pre-cast concrete roof</t>
  </si>
  <si>
    <t>Abatement by others</t>
  </si>
  <si>
    <t>Demo ceiling mount steam heaters and associated piping</t>
  </si>
  <si>
    <t>Demo 5,250MBH boiler and piping (15'x6'x7' 13,000lbs)</t>
  </si>
  <si>
    <t>Concrete  4'6" H on Styrofoam</t>
  </si>
  <si>
    <t>Roof Abatement</t>
  </si>
  <si>
    <t>Total Abatement</t>
  </si>
  <si>
    <t>Theater Ground Floor GA Cushioned Folding Chairs</t>
  </si>
  <si>
    <t>Lease POS terminals / lease costs carried under operating costs</t>
  </si>
  <si>
    <t>UNIT
PRICE</t>
  </si>
  <si>
    <t xml:space="preserve">UNIT    </t>
  </si>
  <si>
    <t>F/I new foundation wall / perimeter grade beam</t>
  </si>
  <si>
    <t>20,314 SF (Includes two ramps down to GA)</t>
  </si>
  <si>
    <t>Demo dock levelers</t>
  </si>
  <si>
    <t>F/I new retaining wall at load-in area excavate slab 4' tall</t>
  </si>
  <si>
    <t>877 SF</t>
  </si>
  <si>
    <t>Trench slab for new grade beams at new façade</t>
  </si>
  <si>
    <t>Demo / excavate 6" slab 4' tall at load-in area</t>
  </si>
  <si>
    <t>Demo existing CMU/masonry walls at new Entry/Lobby area</t>
  </si>
  <si>
    <t>Demo 8" CMU interior wall 20' tall</t>
  </si>
  <si>
    <t>Demo 8" CMU interior wall 12' tall</t>
  </si>
  <si>
    <t>Demo office area partitions, ceilings, doors, flooring MEP's, (CMU walls line above)</t>
  </si>
  <si>
    <t>Demo misc. piping, lighting, electrical panels / switchgear / appurtenances throughout space</t>
  </si>
  <si>
    <t>Demo slab at load-in ramp plan west</t>
  </si>
  <si>
    <t>Demo / excavate elevator pits</t>
  </si>
  <si>
    <t>Trench slab for below grade sanitary line for bars and bathrooms</t>
  </si>
  <si>
    <t>F&amp;I new 6" C.W service with RPZ with water meter</t>
  </si>
  <si>
    <t xml:space="preserve">F&amp;I </t>
  </si>
  <si>
    <t>Pipe Insulation Abatement</t>
  </si>
  <si>
    <t>Warehouse Conversion / Add Second Level &amp; Roof Deck</t>
  </si>
  <si>
    <t>Interior scaffolding</t>
  </si>
  <si>
    <t>500/LF bridge</t>
  </si>
  <si>
    <t>$75/SF for scaffolding</t>
  </si>
  <si>
    <t>Barricades</t>
  </si>
  <si>
    <t>$2,500/cy</t>
  </si>
  <si>
    <t>New Elvator 4' pit $50K excavate and concrete</t>
  </si>
  <si>
    <t>Trenching $150/LF Pour back $50K/LF</t>
  </si>
  <si>
    <t>Shoring Demo of Steel</t>
  </si>
  <si>
    <t>$10/SF</t>
  </si>
  <si>
    <t>Demo Steel Columns / Roof Steel</t>
  </si>
  <si>
    <t>$750/CY</t>
  </si>
  <si>
    <t>$100/CY</t>
  </si>
  <si>
    <t>Storefront double door</t>
  </si>
  <si>
    <t>F/I HM Double Door &amp; hardware</t>
  </si>
  <si>
    <t>Rolling Grille</t>
  </si>
  <si>
    <t>SECOND FLOOR</t>
  </si>
  <si>
    <t>THIRD FLOOR</t>
  </si>
  <si>
    <t>2nd Floor Extend Sprinkler Mains / New Fire Protection &amp; Stand Pipe</t>
  </si>
  <si>
    <t>3rd Floor Extend Sprinkler Mains / New Fire Protection &amp; Stand Pipe</t>
  </si>
  <si>
    <t>New Diesel Fire Pump 1,00 GPM 65PSI 75HP motor</t>
  </si>
  <si>
    <t xml:space="preserve">Requires dedicated 2/hr rated room, </t>
  </si>
  <si>
    <t>Water piping</t>
  </si>
  <si>
    <t>Gas Pipe</t>
  </si>
  <si>
    <t>Grease Traps Bars</t>
  </si>
  <si>
    <t>Grease Trap Restaurant</t>
  </si>
  <si>
    <t>Concrete pads</t>
  </si>
  <si>
    <t xml:space="preserve">Stand Pipe Water Booster Pump Wiring </t>
  </si>
  <si>
    <t>3rd Floor Terrace concrete pavers on pedestals Restaurant</t>
  </si>
  <si>
    <t>Music Hall low roof</t>
  </si>
  <si>
    <t>Music Hall Upper level</t>
  </si>
  <si>
    <t>3rd Floor Roof</t>
  </si>
  <si>
    <t>Fire Stopping</t>
  </si>
  <si>
    <t>FF&amp;E INSTALL</t>
  </si>
  <si>
    <t>HVAC System including BMS</t>
  </si>
  <si>
    <t>Allow</t>
  </si>
  <si>
    <t>K13 at Underside Music Hall Ceilings</t>
  </si>
  <si>
    <t>W/C 1st Fl</t>
  </si>
  <si>
    <t>W/C 2nd Fl</t>
  </si>
  <si>
    <t>W/C Roof</t>
  </si>
  <si>
    <t>Lavs 1st Fl</t>
  </si>
  <si>
    <t>Lavs 2nd Fl</t>
  </si>
  <si>
    <t>Lavs 3rd Fl</t>
  </si>
  <si>
    <t>Urinals 2nd Fl</t>
  </si>
  <si>
    <t>Urinals Roof</t>
  </si>
  <si>
    <t>Urinals 1st Fl</t>
  </si>
  <si>
    <t>Vent piping</t>
  </si>
  <si>
    <t>F/I new storm water detention tank</t>
  </si>
  <si>
    <t>New storm drainage piping</t>
  </si>
  <si>
    <t xml:space="preserve">  F/I new 6" sanitary service</t>
  </si>
  <si>
    <t>By owner vendor</t>
  </si>
  <si>
    <t>Dispose of owner vendor packaging &amp; misc. scope</t>
  </si>
  <si>
    <t>FF&amp;E Install</t>
  </si>
  <si>
    <t>Uncrate / dispose owner vendor FF&amp;E</t>
  </si>
  <si>
    <t>Fire extinguishers &amp; cabinets</t>
  </si>
  <si>
    <t>Allowance for wall mount acoustic panels, decorative acoustic integrations</t>
  </si>
  <si>
    <t>Water fountains</t>
  </si>
  <si>
    <t>Urinal screens</t>
  </si>
  <si>
    <t>Bathroom Mirrors</t>
  </si>
  <si>
    <t>Hand dryers and paper towel dispensers</t>
  </si>
  <si>
    <t>Music Hall shot blasting &amp; MVB</t>
  </si>
  <si>
    <t>Music Hall cement overlay and top coat</t>
  </si>
  <si>
    <t>Music Hall sealed concrete at new concrete areas</t>
  </si>
  <si>
    <t>F/I 80KW Generator</t>
  </si>
  <si>
    <t xml:space="preserve"> Demo &amp; remove existing 400A service</t>
  </si>
  <si>
    <t>F/I 4,000A Service End Boxes</t>
  </si>
  <si>
    <t>F/I 4,000A CT Cabinets</t>
  </si>
  <si>
    <t>F/I 4000A 208Y/120V Switchboard w/ main Circuit Breaker</t>
  </si>
  <si>
    <t>Secondary service conductors, service end box to CT cabinet to Switchboard</t>
  </si>
  <si>
    <t>Con Edison customer contribution / excess distribution facilities charges</t>
  </si>
  <si>
    <t>Switch Gear &amp; Emergency Power</t>
  </si>
  <si>
    <t>F/I Stage power Clean Switches</t>
  </si>
  <si>
    <t xml:space="preserve">Install architectural dimming control system, F/I wiring </t>
  </si>
  <si>
    <t>NYC electrical plan review drawings, short circuit / coordination / arch flas study and DOB electrical filing</t>
  </si>
  <si>
    <t xml:space="preserve"> Temp Lighting &amp; Power</t>
  </si>
  <si>
    <t xml:space="preserve"> Demo &amp; Disconnects</t>
  </si>
  <si>
    <t>Patch / Repair / Install new sidewalks around building</t>
  </si>
  <si>
    <t>8,295sf of existing sidewalk around building</t>
  </si>
  <si>
    <t>Trees</t>
  </si>
  <si>
    <t xml:space="preserve">Fencing </t>
  </si>
  <si>
    <t>Construction Duration: 20 Months</t>
  </si>
  <si>
    <t>Expected Certificate of Occupancy: TBD</t>
  </si>
  <si>
    <t>Soft Costs &amp; FFE Contingency 10%</t>
  </si>
  <si>
    <t>\</t>
  </si>
  <si>
    <t>Carried in budget summary</t>
  </si>
  <si>
    <t>NIC</t>
  </si>
  <si>
    <t>Coat Check Lockers</t>
  </si>
  <si>
    <t>Wall Covering VIP / Restaurant</t>
  </si>
  <si>
    <t xml:space="preserve">Plaster </t>
  </si>
  <si>
    <t>Misc scope not covered by OV</t>
  </si>
  <si>
    <t>333LF</t>
  </si>
  <si>
    <t>Fie escape egress music hall Grid F to Col. 7-17 (10' wide w/ railing)</t>
  </si>
  <si>
    <t>LVT Music Hall and egress stair landings</t>
  </si>
  <si>
    <t>LVT Coatcheck</t>
  </si>
  <si>
    <t>Lobby stone flooring</t>
  </si>
  <si>
    <t>VIP Lounge Stone Floorin</t>
  </si>
  <si>
    <t>Roof Lobby Stone Flooring</t>
  </si>
  <si>
    <t>Wood Flooring Restaurant</t>
  </si>
  <si>
    <t>Sealed concrete stage load-in / 1st Fl BOH</t>
  </si>
  <si>
    <t>Courtyard Stone Pavers</t>
  </si>
  <si>
    <t>90 wks</t>
  </si>
  <si>
    <t>1.3% Trade Costs</t>
  </si>
  <si>
    <t>Trade Costs To Be Priced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</si>
</sst>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[$-409]mmm\-yy;@"/>
    <numFmt numFmtId="166" formatCode="0.0%"/>
    <numFmt numFmtId="167" formatCode="m/d/yy;@"/>
    <numFmt numFmtId="168" formatCode="&quot;$&quot;#,##0"/>
    <numFmt numFmtId="169" formatCode="_(* #,##0_);_(* \(#,##0\);_(* &quot;-&quot;??_);_(@_)"/>
    <numFmt numFmtId="170" formatCode="#,##0.0000"/>
    <numFmt numFmtId="171" formatCode="&quot;$&quot;#,##0.00"/>
  </numFmts>
  <fonts count="7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6"/>
      <color theme="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Live Nation Regular"/>
    </font>
    <font>
      <sz val="12"/>
      <color theme="1"/>
      <name val="Live Nation Regular"/>
    </font>
    <font>
      <sz val="10"/>
      <color theme="1"/>
      <name val="Live Nation Regular"/>
    </font>
    <font>
      <b/>
      <sz val="12"/>
      <color theme="1"/>
      <name val="Live Nation Regular"/>
    </font>
    <font>
      <b/>
      <sz val="11"/>
      <color theme="1"/>
      <name val="Live Nation Regular"/>
    </font>
    <font>
      <b/>
      <sz val="10"/>
      <color theme="1"/>
      <name val="Live Nation Regular"/>
    </font>
    <font>
      <sz val="10"/>
      <name val="Live Nation Regular"/>
    </font>
    <font>
      <b/>
      <sz val="10"/>
      <name val="Live Nation Regular"/>
    </font>
    <font>
      <sz val="11"/>
      <color theme="1"/>
      <name val="Live Nation Regular"/>
    </font>
    <font>
      <b/>
      <sz val="11"/>
      <name val="Live Nation Regular"/>
    </font>
    <font>
      <sz val="11"/>
      <name val="Live Nation Regular"/>
    </font>
    <font>
      <sz val="10"/>
      <name val="Arial"/>
      <family val="2"/>
    </font>
    <font>
      <sz val="12"/>
      <name val="Times New Roman"/>
      <family val="1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name val="Helv"/>
    </font>
    <font>
      <b/>
      <sz val="11"/>
      <name val="Times"/>
      <family val="1"/>
    </font>
    <font>
      <sz val="11"/>
      <name val="Times"/>
      <family val="1"/>
    </font>
    <font>
      <i/>
      <sz val="11"/>
      <name val="Times"/>
      <family val="1"/>
    </font>
    <font>
      <b/>
      <sz val="11"/>
      <color rgb="FFFF0000"/>
      <name val="Times"/>
      <family val="1"/>
    </font>
    <font>
      <b/>
      <sz val="11"/>
      <color theme="0"/>
      <name val="Times"/>
      <family val="1"/>
    </font>
    <font>
      <b/>
      <sz val="11"/>
      <color theme="0"/>
      <name val="Times"/>
    </font>
    <font>
      <b/>
      <sz val="10"/>
      <color theme="0"/>
      <name val="Live Nation Regular"/>
    </font>
    <font>
      <b/>
      <sz val="8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11"/>
      <color theme="0"/>
      <name val="Live Nation Regular"/>
    </font>
    <font>
      <i/>
      <sz val="11"/>
      <color rgb="FFFF5050"/>
      <name val="Calibri"/>
      <family val="2"/>
      <scheme val="minor"/>
    </font>
    <font>
      <b/>
      <sz val="12"/>
      <color theme="0"/>
      <name val="Live Nation Regular"/>
    </font>
    <font>
      <sz val="11"/>
      <color theme="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12"/>
      <color rgb="FFFF0000"/>
      <name val="Live Nation Regular"/>
    </font>
    <font>
      <b/>
      <sz val="11"/>
      <name val="Times"/>
    </font>
    <font>
      <sz val="11"/>
      <name val="Times"/>
    </font>
    <font>
      <sz val="11"/>
      <color indexed="8"/>
      <name val="Arial"/>
      <family val="2"/>
    </font>
    <font>
      <b/>
      <i/>
      <sz val="10"/>
      <name val="Live Nation Regula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9"/>
      </patternFill>
    </fill>
    <fill>
      <patternFill patternType="solid">
        <fgColor rgb="FFFF0000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9"/>
      </patternFill>
    </fill>
    <fill>
      <patternFill patternType="solid">
        <fgColor theme="9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/>
      <bottom/>
      <diagonal/>
    </border>
  </borders>
  <cellStyleXfs count="13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41" fillId="0" borderId="0"/>
    <xf numFmtId="0" fontId="42" fillId="0" borderId="0"/>
    <xf numFmtId="37" fontId="46" fillId="0" borderId="0"/>
    <xf numFmtId="0" fontId="41" fillId="0" borderId="0"/>
  </cellStyleXfs>
  <cellXfs count="80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164" fontId="5" fillId="2" borderId="0" xfId="2" applyNumberFormat="1" applyFont="1" applyFill="1" applyBorder="1" applyAlignment="1"/>
    <xf numFmtId="164" fontId="5" fillId="2" borderId="0" xfId="2" applyNumberFormat="1" applyFont="1" applyFill="1" applyBorder="1"/>
    <xf numFmtId="0" fontId="5" fillId="2" borderId="0" xfId="0" applyFont="1" applyFill="1"/>
    <xf numFmtId="164" fontId="0" fillId="0" borderId="8" xfId="2" applyNumberFormat="1" applyFont="1" applyFill="1" applyBorder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164" fontId="6" fillId="2" borderId="0" xfId="2" applyNumberFormat="1" applyFont="1" applyFill="1"/>
    <xf numFmtId="164" fontId="0" fillId="2" borderId="0" xfId="0" applyNumberFormat="1" applyFill="1" applyAlignment="1">
      <alignment horizontal="center"/>
    </xf>
    <xf numFmtId="164" fontId="6" fillId="2" borderId="0" xfId="2" applyNumberFormat="1" applyFont="1" applyFill="1" applyBorder="1"/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5" xfId="0" applyFont="1" applyFill="1" applyBorder="1"/>
    <xf numFmtId="0" fontId="0" fillId="2" borderId="15" xfId="0" applyFill="1" applyBorder="1"/>
    <xf numFmtId="0" fontId="0" fillId="2" borderId="18" xfId="0" applyFill="1" applyBorder="1"/>
    <xf numFmtId="0" fontId="0" fillId="2" borderId="18" xfId="0" applyFill="1" applyBorder="1" applyAlignment="1">
      <alignment shrinkToFit="1"/>
    </xf>
    <xf numFmtId="0" fontId="0" fillId="2" borderId="15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3" fillId="2" borderId="15" xfId="0" applyFont="1" applyFill="1" applyBorder="1"/>
    <xf numFmtId="0" fontId="5" fillId="2" borderId="9" xfId="0" applyFont="1" applyFill="1" applyBorder="1" applyAlignment="1">
      <alignment horizontal="right"/>
    </xf>
    <xf numFmtId="0" fontId="3" fillId="2" borderId="22" xfId="0" applyFont="1" applyFill="1" applyBorder="1"/>
    <xf numFmtId="0" fontId="3" fillId="2" borderId="25" xfId="0" applyFont="1" applyFill="1" applyBorder="1"/>
    <xf numFmtId="0" fontId="9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14" fillId="2" borderId="0" xfId="0" applyFont="1" applyFill="1" applyAlignment="1">
      <alignment horizontal="right"/>
    </xf>
    <xf numFmtId="164" fontId="0" fillId="2" borderId="16" xfId="2" applyNumberFormat="1" applyFont="1" applyFill="1" applyBorder="1"/>
    <xf numFmtId="164" fontId="0" fillId="2" borderId="17" xfId="2" applyNumberFormat="1" applyFont="1" applyFill="1" applyBorder="1"/>
    <xf numFmtId="164" fontId="0" fillId="2" borderId="1" xfId="2" applyNumberFormat="1" applyFont="1" applyFill="1" applyBorder="1"/>
    <xf numFmtId="164" fontId="0" fillId="2" borderId="0" xfId="0" applyNumberFormat="1" applyFill="1"/>
    <xf numFmtId="164" fontId="0" fillId="2" borderId="23" xfId="2" applyNumberFormat="1" applyFont="1" applyFill="1" applyBorder="1"/>
    <xf numFmtId="164" fontId="0" fillId="2" borderId="24" xfId="2" applyNumberFormat="1" applyFont="1" applyFill="1" applyBorder="1"/>
    <xf numFmtId="164" fontId="5" fillId="2" borderId="11" xfId="2" applyNumberFormat="1" applyFont="1" applyFill="1" applyBorder="1"/>
    <xf numFmtId="164" fontId="6" fillId="2" borderId="16" xfId="2" applyNumberFormat="1" applyFont="1" applyFill="1" applyBorder="1" applyAlignment="1">
      <alignment horizontal="center"/>
    </xf>
    <xf numFmtId="164" fontId="6" fillId="2" borderId="1" xfId="2" applyNumberFormat="1" applyFont="1" applyFill="1" applyBorder="1" applyAlignment="1">
      <alignment horizontal="center"/>
    </xf>
    <xf numFmtId="164" fontId="6" fillId="2" borderId="1" xfId="2" applyNumberFormat="1" applyFont="1" applyFill="1" applyBorder="1"/>
    <xf numFmtId="164" fontId="5" fillId="2" borderId="10" xfId="2" applyNumberFormat="1" applyFont="1" applyFill="1" applyBorder="1"/>
    <xf numFmtId="164" fontId="6" fillId="2" borderId="16" xfId="2" applyNumberFormat="1" applyFont="1" applyFill="1" applyBorder="1"/>
    <xf numFmtId="0" fontId="9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2" fontId="0" fillId="2" borderId="0" xfId="0" applyNumberFormat="1" applyFill="1"/>
    <xf numFmtId="0" fontId="7" fillId="2" borderId="0" xfId="0" applyFont="1" applyFill="1"/>
    <xf numFmtId="42" fontId="7" fillId="2" borderId="0" xfId="0" applyNumberFormat="1" applyFont="1" applyFill="1"/>
    <xf numFmtId="42" fontId="0" fillId="2" borderId="2" xfId="0" applyNumberFormat="1" applyFill="1" applyBorder="1"/>
    <xf numFmtId="164" fontId="3" fillId="2" borderId="2" xfId="0" applyNumberFormat="1" applyFont="1" applyFill="1" applyBorder="1"/>
    <xf numFmtId="9" fontId="0" fillId="2" borderId="0" xfId="3" applyFont="1" applyFill="1"/>
    <xf numFmtId="164" fontId="0" fillId="2" borderId="27" xfId="2" applyNumberFormat="1" applyFont="1" applyFill="1" applyBorder="1"/>
    <xf numFmtId="0" fontId="7" fillId="2" borderId="0" xfId="0" applyFont="1" applyFill="1" applyAlignment="1">
      <alignment horizontal="right"/>
    </xf>
    <xf numFmtId="164" fontId="5" fillId="2" borderId="0" xfId="2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right"/>
    </xf>
    <xf numFmtId="0" fontId="3" fillId="2" borderId="0" xfId="0" applyFont="1" applyFill="1" applyAlignment="1">
      <alignment horizontal="center"/>
    </xf>
    <xf numFmtId="164" fontId="7" fillId="2" borderId="2" xfId="0" applyNumberFormat="1" applyFont="1" applyFill="1" applyBorder="1"/>
    <xf numFmtId="44" fontId="0" fillId="2" borderId="0" xfId="2" applyFont="1" applyFill="1"/>
    <xf numFmtId="165" fontId="0" fillId="2" borderId="1" xfId="2" applyNumberFormat="1" applyFont="1" applyFill="1" applyBorder="1" applyAlignment="1">
      <alignment horizontal="center"/>
    </xf>
    <xf numFmtId="14" fontId="0" fillId="2" borderId="1" xfId="0" applyNumberFormat="1" applyFill="1" applyBorder="1"/>
    <xf numFmtId="0" fontId="15" fillId="4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44" fontId="15" fillId="4" borderId="1" xfId="2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2" fillId="2" borderId="0" xfId="0" applyFont="1" applyFill="1" applyAlignment="1">
      <alignment horizontal="left" indent="1"/>
    </xf>
    <xf numFmtId="49" fontId="12" fillId="2" borderId="0" xfId="0" applyNumberFormat="1" applyFont="1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11" fillId="2" borderId="7" xfId="0" applyFont="1" applyFill="1" applyBorder="1" applyAlignment="1">
      <alignment horizontal="left" indent="1"/>
    </xf>
    <xf numFmtId="43" fontId="0" fillId="2" borderId="0" xfId="1" applyFont="1" applyFill="1"/>
    <xf numFmtId="43" fontId="15" fillId="4" borderId="1" xfId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15" fillId="4" borderId="1" xfId="0" applyFont="1" applyFill="1" applyBorder="1" applyAlignment="1">
      <alignment horizontal="center" vertical="top"/>
    </xf>
    <xf numFmtId="0" fontId="0" fillId="2" borderId="0" xfId="0" applyFill="1" applyAlignment="1">
      <alignment vertical="top"/>
    </xf>
    <xf numFmtId="43" fontId="0" fillId="2" borderId="0" xfId="1" applyFont="1" applyFill="1" applyBorder="1"/>
    <xf numFmtId="43" fontId="15" fillId="4" borderId="1" xfId="1" applyFont="1" applyFill="1" applyBorder="1" applyAlignment="1">
      <alignment horizontal="center" vertical="top"/>
    </xf>
    <xf numFmtId="43" fontId="7" fillId="2" borderId="2" xfId="1" applyFont="1" applyFill="1" applyBorder="1"/>
    <xf numFmtId="43" fontId="0" fillId="2" borderId="1" xfId="1" applyFont="1" applyFill="1" applyBorder="1"/>
    <xf numFmtId="43" fontId="3" fillId="2" borderId="0" xfId="1" applyFont="1" applyFill="1" applyBorder="1"/>
    <xf numFmtId="0" fontId="9" fillId="2" borderId="1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wrapText="1"/>
    </xf>
    <xf numFmtId="0" fontId="11" fillId="0" borderId="0" xfId="0" applyFont="1" applyAlignment="1">
      <alignment horizontal="right"/>
    </xf>
    <xf numFmtId="0" fontId="0" fillId="2" borderId="1" xfId="0" applyFill="1" applyBorder="1" applyAlignment="1">
      <alignment horizontal="left" indent="1"/>
    </xf>
    <xf numFmtId="0" fontId="5" fillId="2" borderId="0" xfId="0" applyFont="1" applyFill="1" applyAlignment="1">
      <alignment horizontal="left" indent="1"/>
    </xf>
    <xf numFmtId="164" fontId="0" fillId="2" borderId="1" xfId="2" applyNumberFormat="1" applyFont="1" applyFill="1" applyBorder="1" applyAlignment="1">
      <alignment horizontal="center"/>
    </xf>
    <xf numFmtId="164" fontId="11" fillId="2" borderId="1" xfId="2" applyNumberFormat="1" applyFont="1" applyFill="1" applyBorder="1"/>
    <xf numFmtId="165" fontId="0" fillId="2" borderId="0" xfId="2" applyNumberFormat="1" applyFont="1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14" fontId="0" fillId="2" borderId="0" xfId="0" applyNumberFormat="1" applyFill="1" applyAlignment="1">
      <alignment horizontal="center"/>
    </xf>
    <xf numFmtId="164" fontId="3" fillId="2" borderId="0" xfId="2" applyNumberFormat="1" applyFont="1" applyFill="1" applyBorder="1"/>
    <xf numFmtId="0" fontId="3" fillId="2" borderId="0" xfId="0" applyFont="1" applyFill="1" applyAlignment="1">
      <alignment horizontal="right" indent="1"/>
    </xf>
    <xf numFmtId="164" fontId="17" fillId="2" borderId="0" xfId="2" applyNumberFormat="1" applyFont="1" applyFill="1" applyBorder="1"/>
    <xf numFmtId="43" fontId="0" fillId="0" borderId="1" xfId="1" applyFont="1" applyFill="1" applyBorder="1"/>
    <xf numFmtId="44" fontId="0" fillId="2" borderId="0" xfId="0" applyNumberFormat="1" applyFill="1"/>
    <xf numFmtId="0" fontId="0" fillId="2" borderId="1" xfId="0" quotePrefix="1" applyFill="1" applyBorder="1" applyAlignment="1">
      <alignment horizontal="center"/>
    </xf>
    <xf numFmtId="14" fontId="0" fillId="2" borderId="0" xfId="0" applyNumberFormat="1" applyFill="1"/>
    <xf numFmtId="14" fontId="0" fillId="2" borderId="0" xfId="0" applyNumberFormat="1" applyFill="1" applyAlignment="1">
      <alignment horizontal="left"/>
    </xf>
    <xf numFmtId="42" fontId="3" fillId="2" borderId="0" xfId="0" applyNumberFormat="1" applyFont="1" applyFill="1"/>
    <xf numFmtId="42" fontId="3" fillId="2" borderId="3" xfId="0" applyNumberFormat="1" applyFont="1" applyFill="1" applyBorder="1"/>
    <xf numFmtId="0" fontId="0" fillId="0" borderId="1" xfId="0" applyBorder="1"/>
    <xf numFmtId="42" fontId="8" fillId="2" borderId="0" xfId="0" applyNumberFormat="1" applyFont="1" applyFill="1"/>
    <xf numFmtId="164" fontId="7" fillId="2" borderId="0" xfId="2" applyNumberFormat="1" applyFont="1" applyFill="1" applyBorder="1"/>
    <xf numFmtId="164" fontId="3" fillId="5" borderId="3" xfId="0" applyNumberFormat="1" applyFont="1" applyFill="1" applyBorder="1"/>
    <xf numFmtId="0" fontId="3" fillId="2" borderId="5" xfId="0" applyFont="1" applyFill="1" applyBorder="1"/>
    <xf numFmtId="164" fontId="0" fillId="2" borderId="14" xfId="0" applyNumberFormat="1" applyFill="1" applyBorder="1"/>
    <xf numFmtId="164" fontId="0" fillId="2" borderId="11" xfId="0" applyNumberFormat="1" applyFill="1" applyBorder="1"/>
    <xf numFmtId="0" fontId="15" fillId="4" borderId="9" xfId="0" applyFont="1" applyFill="1" applyBorder="1" applyAlignment="1">
      <alignment vertical="center"/>
    </xf>
    <xf numFmtId="164" fontId="0" fillId="0" borderId="1" xfId="2" applyNumberFormat="1" applyFont="1" applyFill="1" applyBorder="1"/>
    <xf numFmtId="43" fontId="0" fillId="2" borderId="0" xfId="0" applyNumberFormat="1" applyFill="1"/>
    <xf numFmtId="0" fontId="0" fillId="0" borderId="0" xfId="0" quotePrefix="1" applyAlignment="1">
      <alignment horizontal="center"/>
    </xf>
    <xf numFmtId="14" fontId="0" fillId="2" borderId="0" xfId="0" applyNumberFormat="1" applyFill="1" applyAlignment="1">
      <alignment horizontal="right"/>
    </xf>
    <xf numFmtId="43" fontId="0" fillId="0" borderId="0" xfId="1" applyFont="1" applyFill="1" applyBorder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164" fontId="3" fillId="2" borderId="16" xfId="2" applyNumberFormat="1" applyFont="1" applyFill="1" applyBorder="1"/>
    <xf numFmtId="164" fontId="0" fillId="2" borderId="33" xfId="0" applyNumberFormat="1" applyFill="1" applyBorder="1" applyAlignment="1">
      <alignment horizontal="center"/>
    </xf>
    <xf numFmtId="164" fontId="0" fillId="2" borderId="19" xfId="2" applyNumberFormat="1" applyFont="1" applyFill="1" applyBorder="1"/>
    <xf numFmtId="0" fontId="15" fillId="4" borderId="1" xfId="0" applyFont="1" applyFill="1" applyBorder="1"/>
    <xf numFmtId="0" fontId="3" fillId="2" borderId="18" xfId="0" applyFont="1" applyFill="1" applyBorder="1"/>
    <xf numFmtId="14" fontId="12" fillId="2" borderId="0" xfId="0" applyNumberFormat="1" applyFont="1" applyFill="1" applyAlignment="1">
      <alignment horizontal="left" indent="1"/>
    </xf>
    <xf numFmtId="164" fontId="12" fillId="2" borderId="0" xfId="2" applyNumberFormat="1" applyFont="1" applyFill="1" applyAlignment="1">
      <alignment horizontal="left"/>
    </xf>
    <xf numFmtId="43" fontId="22" fillId="2" borderId="0" xfId="1" applyFont="1" applyFill="1"/>
    <xf numFmtId="43" fontId="23" fillId="2" borderId="0" xfId="1" applyFont="1" applyFill="1" applyBorder="1"/>
    <xf numFmtId="164" fontId="10" fillId="2" borderId="34" xfId="0" applyNumberFormat="1" applyFont="1" applyFill="1" applyBorder="1"/>
    <xf numFmtId="164" fontId="5" fillId="2" borderId="35" xfId="2" applyNumberFormat="1" applyFont="1" applyFill="1" applyBorder="1"/>
    <xf numFmtId="0" fontId="10" fillId="2" borderId="36" xfId="0" applyFont="1" applyFill="1" applyBorder="1" applyAlignment="1">
      <alignment horizontal="left"/>
    </xf>
    <xf numFmtId="164" fontId="3" fillId="2" borderId="17" xfId="2" applyNumberFormat="1" applyFont="1" applyFill="1" applyBorder="1"/>
    <xf numFmtId="0" fontId="4" fillId="2" borderId="37" xfId="0" applyFont="1" applyFill="1" applyBorder="1"/>
    <xf numFmtId="164" fontId="0" fillId="2" borderId="38" xfId="2" applyNumberFormat="1" applyFont="1" applyFill="1" applyBorder="1"/>
    <xf numFmtId="164" fontId="0" fillId="2" borderId="38" xfId="0" applyNumberFormat="1" applyFill="1" applyBorder="1"/>
    <xf numFmtId="164" fontId="0" fillId="2" borderId="39" xfId="0" applyNumberFormat="1" applyFill="1" applyBorder="1"/>
    <xf numFmtId="164" fontId="9" fillId="2" borderId="0" xfId="0" applyNumberFormat="1" applyFont="1" applyFill="1"/>
    <xf numFmtId="164" fontId="9" fillId="2" borderId="28" xfId="0" applyNumberFormat="1" applyFont="1" applyFill="1" applyBorder="1"/>
    <xf numFmtId="17" fontId="11" fillId="2" borderId="0" xfId="1" quotePrefix="1" applyNumberFormat="1" applyFont="1" applyFill="1" applyBorder="1" applyAlignment="1">
      <alignment horizontal="left"/>
    </xf>
    <xf numFmtId="0" fontId="15" fillId="2" borderId="0" xfId="0" applyFont="1" applyFill="1" applyAlignment="1">
      <alignment horizontal="center"/>
    </xf>
    <xf numFmtId="164" fontId="15" fillId="2" borderId="0" xfId="2" applyNumberFormat="1" applyFont="1" applyFill="1" applyBorder="1" applyAlignment="1">
      <alignment horizontal="left" indent="1"/>
    </xf>
    <xf numFmtId="0" fontId="9" fillId="2" borderId="0" xfId="0" applyFont="1" applyFill="1" applyAlignment="1">
      <alignment horizontal="right" indent="1"/>
    </xf>
    <xf numFmtId="0" fontId="15" fillId="4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indent="1"/>
    </xf>
    <xf numFmtId="164" fontId="0" fillId="2" borderId="0" xfId="2" applyNumberFormat="1" applyFont="1" applyFill="1" applyBorder="1"/>
    <xf numFmtId="0" fontId="3" fillId="2" borderId="36" xfId="0" applyFont="1" applyFill="1" applyBorder="1"/>
    <xf numFmtId="164" fontId="0" fillId="2" borderId="34" xfId="2" applyNumberFormat="1" applyFont="1" applyFill="1" applyBorder="1"/>
    <xf numFmtId="164" fontId="0" fillId="2" borderId="35" xfId="2" applyNumberFormat="1" applyFont="1" applyFill="1" applyBorder="1"/>
    <xf numFmtId="0" fontId="4" fillId="2" borderId="1" xfId="0" applyFont="1" applyFill="1" applyBorder="1" applyAlignment="1">
      <alignment horizontal="center"/>
    </xf>
    <xf numFmtId="44" fontId="0" fillId="2" borderId="1" xfId="2" applyFont="1" applyFill="1" applyBorder="1"/>
    <xf numFmtId="164" fontId="0" fillId="2" borderId="0" xfId="2" applyNumberFormat="1" applyFont="1" applyFill="1" applyBorder="1" applyAlignment="1">
      <alignment horizontal="center"/>
    </xf>
    <xf numFmtId="14" fontId="11" fillId="2" borderId="1" xfId="0" applyNumberFormat="1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43" fontId="11" fillId="2" borderId="1" xfId="1" applyFont="1" applyFill="1" applyBorder="1"/>
    <xf numFmtId="42" fontId="7" fillId="2" borderId="0" xfId="0" applyNumberFormat="1" applyFont="1" applyFill="1" applyAlignment="1">
      <alignment horizontal="right"/>
    </xf>
    <xf numFmtId="42" fontId="3" fillId="2" borderId="2" xfId="0" applyNumberFormat="1" applyFont="1" applyFill="1" applyBorder="1"/>
    <xf numFmtId="0" fontId="15" fillId="4" borderId="1" xfId="0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3" fillId="2" borderId="0" xfId="0" applyFont="1" applyFill="1" applyAlignment="1">
      <alignment horizontal="left" indent="1"/>
    </xf>
    <xf numFmtId="0" fontId="16" fillId="4" borderId="9" xfId="0" applyFont="1" applyFill="1" applyBorder="1" applyAlignment="1">
      <alignment horizontal="center" vertical="top"/>
    </xf>
    <xf numFmtId="0" fontId="16" fillId="4" borderId="26" xfId="0" applyFont="1" applyFill="1" applyBorder="1" applyAlignment="1">
      <alignment horizontal="center" vertical="top"/>
    </xf>
    <xf numFmtId="0" fontId="16" fillId="4" borderId="10" xfId="0" applyFont="1" applyFill="1" applyBorder="1" applyAlignment="1">
      <alignment horizontal="center" vertical="top"/>
    </xf>
    <xf numFmtId="0" fontId="16" fillId="4" borderId="10" xfId="0" applyFont="1" applyFill="1" applyBorder="1" applyAlignment="1">
      <alignment horizontal="center" vertical="top" wrapText="1"/>
    </xf>
    <xf numFmtId="0" fontId="16" fillId="4" borderId="11" xfId="0" applyFont="1" applyFill="1" applyBorder="1" applyAlignment="1">
      <alignment horizontal="center" vertical="top"/>
    </xf>
    <xf numFmtId="164" fontId="0" fillId="2" borderId="4" xfId="2" applyNumberFormat="1" applyFont="1" applyFill="1" applyBorder="1" applyAlignment="1">
      <alignment horizontal="center"/>
    </xf>
    <xf numFmtId="0" fontId="15" fillId="4" borderId="29" xfId="0" applyFont="1" applyFill="1" applyBorder="1"/>
    <xf numFmtId="0" fontId="15" fillId="4" borderId="30" xfId="0" applyFont="1" applyFill="1" applyBorder="1"/>
    <xf numFmtId="0" fontId="15" fillId="4" borderId="31" xfId="0" applyFont="1" applyFill="1" applyBorder="1"/>
    <xf numFmtId="43" fontId="0" fillId="2" borderId="0" xfId="0" applyNumberFormat="1" applyFill="1" applyAlignment="1">
      <alignment horizontal="left" indent="1"/>
    </xf>
    <xf numFmtId="0" fontId="5" fillId="2" borderId="30" xfId="0" applyFont="1" applyFill="1" applyBorder="1" applyAlignment="1">
      <alignment horizontal="left" indent="1"/>
    </xf>
    <xf numFmtId="0" fontId="5" fillId="2" borderId="30" xfId="0" applyFont="1" applyFill="1" applyBorder="1"/>
    <xf numFmtId="0" fontId="5" fillId="2" borderId="29" xfId="0" applyFont="1" applyFill="1" applyBorder="1"/>
    <xf numFmtId="0" fontId="7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64" fontId="0" fillId="0" borderId="1" xfId="2" applyNumberFormat="1" applyFont="1" applyFill="1" applyBorder="1" applyAlignment="1"/>
    <xf numFmtId="0" fontId="5" fillId="2" borderId="1" xfId="0" applyFont="1" applyFill="1" applyBorder="1" applyAlignment="1">
      <alignment horizontal="right"/>
    </xf>
    <xf numFmtId="164" fontId="5" fillId="0" borderId="1" xfId="2" applyNumberFormat="1" applyFont="1" applyFill="1" applyBorder="1" applyAlignment="1"/>
    <xf numFmtId="164" fontId="5" fillId="2" borderId="1" xfId="2" applyNumberFormat="1" applyFont="1" applyFill="1" applyBorder="1" applyAlignment="1"/>
    <xf numFmtId="0" fontId="0" fillId="2" borderId="1" xfId="0" applyFill="1" applyBorder="1" applyAlignment="1">
      <alignment horizontal="left" indent="1" shrinkToFit="1"/>
    </xf>
    <xf numFmtId="164" fontId="0" fillId="2" borderId="1" xfId="2" applyNumberFormat="1" applyFont="1" applyFill="1" applyBorder="1" applyAlignment="1"/>
    <xf numFmtId="44" fontId="0" fillId="0" borderId="1" xfId="2" applyFont="1" applyFill="1" applyBorder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right" indent="1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left" indent="1"/>
    </xf>
    <xf numFmtId="164" fontId="0" fillId="0" borderId="1" xfId="2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indent="1"/>
    </xf>
    <xf numFmtId="164" fontId="11" fillId="0" borderId="1" xfId="2" applyNumberFormat="1" applyFont="1" applyFill="1" applyBorder="1"/>
    <xf numFmtId="164" fontId="5" fillId="2" borderId="1" xfId="2" applyNumberFormat="1" applyFont="1" applyFill="1" applyBorder="1" applyAlignment="1">
      <alignment horizontal="center"/>
    </xf>
    <xf numFmtId="164" fontId="0" fillId="2" borderId="1" xfId="0" applyNumberFormat="1" applyFill="1" applyBorder="1"/>
    <xf numFmtId="0" fontId="9" fillId="2" borderId="29" xfId="0" applyFont="1" applyFill="1" applyBorder="1" applyAlignment="1">
      <alignment horizontal="left" vertical="center" indent="1"/>
    </xf>
    <xf numFmtId="0" fontId="9" fillId="2" borderId="30" xfId="0" applyFont="1" applyFill="1" applyBorder="1" applyAlignment="1">
      <alignment vertical="center"/>
    </xf>
    <xf numFmtId="0" fontId="9" fillId="2" borderId="31" xfId="0" applyFont="1" applyFill="1" applyBorder="1" applyAlignment="1">
      <alignment vertical="center"/>
    </xf>
    <xf numFmtId="164" fontId="0" fillId="0" borderId="13" xfId="2" applyNumberFormat="1" applyFont="1" applyFill="1" applyBorder="1"/>
    <xf numFmtId="0" fontId="0" fillId="3" borderId="25" xfId="0" applyFill="1" applyBorder="1"/>
    <xf numFmtId="0" fontId="0" fillId="3" borderId="0" xfId="0" applyFill="1"/>
    <xf numFmtId="0" fontId="0" fillId="3" borderId="0" xfId="0" applyFill="1" applyAlignment="1">
      <alignment horizontal="left" indent="1"/>
    </xf>
    <xf numFmtId="0" fontId="0" fillId="3" borderId="40" xfId="0" applyFill="1" applyBorder="1"/>
    <xf numFmtId="0" fontId="5" fillId="2" borderId="31" xfId="0" applyFont="1" applyFill="1" applyBorder="1" applyAlignment="1">
      <alignment horizontal="right" indent="1"/>
    </xf>
    <xf numFmtId="0" fontId="15" fillId="4" borderId="41" xfId="0" applyFont="1" applyFill="1" applyBorder="1" applyAlignment="1">
      <alignment horizontal="left" indent="1"/>
    </xf>
    <xf numFmtId="0" fontId="15" fillId="4" borderId="30" xfId="0" applyFont="1" applyFill="1" applyBorder="1" applyAlignment="1">
      <alignment horizontal="center"/>
    </xf>
    <xf numFmtId="164" fontId="5" fillId="2" borderId="3" xfId="2" applyNumberFormat="1" applyFont="1" applyFill="1" applyBorder="1" applyAlignment="1">
      <alignment horizontal="center"/>
    </xf>
    <xf numFmtId="0" fontId="15" fillId="4" borderId="23" xfId="0" applyFont="1" applyFill="1" applyBorder="1" applyAlignment="1">
      <alignment horizontal="center"/>
    </xf>
    <xf numFmtId="0" fontId="15" fillId="4" borderId="33" xfId="0" applyFont="1" applyFill="1" applyBorder="1" applyAlignment="1">
      <alignment horizontal="center"/>
    </xf>
    <xf numFmtId="0" fontId="15" fillId="4" borderId="42" xfId="0" applyFont="1" applyFill="1" applyBorder="1" applyAlignment="1">
      <alignment horizontal="left" indent="1"/>
    </xf>
    <xf numFmtId="0" fontId="15" fillId="4" borderId="32" xfId="0" applyFont="1" applyFill="1" applyBorder="1"/>
    <xf numFmtId="0" fontId="15" fillId="4" borderId="43" xfId="0" applyFont="1" applyFill="1" applyBorder="1"/>
    <xf numFmtId="0" fontId="4" fillId="2" borderId="1" xfId="0" applyFont="1" applyFill="1" applyBorder="1" applyAlignment="1">
      <alignment horizontal="left"/>
    </xf>
    <xf numFmtId="0" fontId="15" fillId="4" borderId="44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5" fillId="4" borderId="45" xfId="0" applyFont="1" applyFill="1" applyBorder="1" applyAlignment="1">
      <alignment horizontal="left" indent="1"/>
    </xf>
    <xf numFmtId="0" fontId="15" fillId="4" borderId="0" xfId="0" applyFont="1" applyFill="1"/>
    <xf numFmtId="0" fontId="15" fillId="4" borderId="46" xfId="0" applyFont="1" applyFill="1" applyBorder="1"/>
    <xf numFmtId="0" fontId="9" fillId="2" borderId="29" xfId="0" applyFont="1" applyFill="1" applyBorder="1" applyAlignment="1">
      <alignment horizontal="left" vertical="center" indent="2"/>
    </xf>
    <xf numFmtId="44" fontId="3" fillId="2" borderId="30" xfId="0" applyNumberFormat="1" applyFont="1" applyFill="1" applyBorder="1" applyAlignment="1">
      <alignment vertical="center"/>
    </xf>
    <xf numFmtId="0" fontId="15" fillId="4" borderId="47" xfId="0" applyFont="1" applyFill="1" applyBorder="1"/>
    <xf numFmtId="0" fontId="9" fillId="2" borderId="30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vertical="center"/>
    </xf>
    <xf numFmtId="164" fontId="9" fillId="2" borderId="28" xfId="0" applyNumberFormat="1" applyFont="1" applyFill="1" applyBorder="1" applyAlignment="1">
      <alignment shrinkToFit="1"/>
    </xf>
    <xf numFmtId="164" fontId="6" fillId="0" borderId="1" xfId="2" applyNumberFormat="1" applyFont="1" applyFill="1" applyBorder="1"/>
    <xf numFmtId="43" fontId="3" fillId="2" borderId="0" xfId="0" applyNumberFormat="1" applyFont="1" applyFill="1"/>
    <xf numFmtId="0" fontId="0" fillId="2" borderId="0" xfId="0" applyFill="1" applyAlignment="1">
      <alignment horizontal="right"/>
    </xf>
    <xf numFmtId="0" fontId="15" fillId="4" borderId="29" xfId="0" applyFont="1" applyFill="1" applyBorder="1" applyAlignment="1">
      <alignment horizontal="left" indent="1"/>
    </xf>
    <xf numFmtId="0" fontId="26" fillId="2" borderId="0" xfId="0" applyFont="1" applyFill="1"/>
    <xf numFmtId="0" fontId="16" fillId="4" borderId="3" xfId="0" applyFont="1" applyFill="1" applyBorder="1" applyAlignment="1">
      <alignment horizontal="center" vertical="top" wrapText="1"/>
    </xf>
    <xf numFmtId="0" fontId="16" fillId="2" borderId="0" xfId="0" applyFont="1" applyFill="1" applyAlignment="1">
      <alignment horizontal="right"/>
    </xf>
    <xf numFmtId="0" fontId="28" fillId="2" borderId="0" xfId="0" applyFont="1" applyFill="1"/>
    <xf numFmtId="164" fontId="3" fillId="2" borderId="0" xfId="0" applyNumberFormat="1" applyFont="1" applyFill="1"/>
    <xf numFmtId="164" fontId="6" fillId="2" borderId="0" xfId="2" applyNumberFormat="1" applyFont="1" applyFill="1" applyBorder="1" applyAlignment="1">
      <alignment horizontal="center"/>
    </xf>
    <xf numFmtId="164" fontId="6" fillId="2" borderId="4" xfId="2" applyNumberFormat="1" applyFont="1" applyFill="1" applyBorder="1" applyAlignment="1">
      <alignment horizontal="center"/>
    </xf>
    <xf numFmtId="43" fontId="3" fillId="2" borderId="0" xfId="1" applyFont="1" applyFill="1"/>
    <xf numFmtId="0" fontId="15" fillId="4" borderId="3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left" indent="1"/>
    </xf>
    <xf numFmtId="164" fontId="0" fillId="2" borderId="1" xfId="0" applyNumberFormat="1" applyFill="1" applyBorder="1" applyAlignment="1">
      <alignment horizontal="left" indent="1" shrinkToFit="1"/>
    </xf>
    <xf numFmtId="0" fontId="31" fillId="2" borderId="0" xfId="0" applyFont="1" applyFill="1"/>
    <xf numFmtId="0" fontId="31" fillId="2" borderId="0" xfId="0" applyFont="1" applyFill="1" applyAlignment="1">
      <alignment horizontal="center" vertical="center" wrapText="1"/>
    </xf>
    <xf numFmtId="15" fontId="33" fillId="2" borderId="0" xfId="0" applyNumberFormat="1" applyFont="1" applyFill="1" applyAlignment="1">
      <alignment horizontal="center"/>
    </xf>
    <xf numFmtId="0" fontId="32" fillId="2" borderId="0" xfId="0" applyFont="1" applyFill="1"/>
    <xf numFmtId="0" fontId="32" fillId="2" borderId="0" xfId="0" applyFont="1" applyFill="1" applyAlignment="1">
      <alignment horizontal="center"/>
    </xf>
    <xf numFmtId="0" fontId="34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4" fillId="2" borderId="0" xfId="0" applyFont="1" applyFill="1" applyAlignment="1">
      <alignment horizontal="center"/>
    </xf>
    <xf numFmtId="0" fontId="34" fillId="2" borderId="0" xfId="0" applyFont="1" applyFill="1"/>
    <xf numFmtId="3" fontId="32" fillId="2" borderId="0" xfId="0" applyNumberFormat="1" applyFont="1" applyFill="1"/>
    <xf numFmtId="0" fontId="6" fillId="2" borderId="0" xfId="0" applyFont="1" applyFill="1"/>
    <xf numFmtId="0" fontId="36" fillId="2" borderId="0" xfId="0" applyFont="1" applyFill="1"/>
    <xf numFmtId="0" fontId="37" fillId="2" borderId="0" xfId="0" applyFont="1" applyFill="1"/>
    <xf numFmtId="42" fontId="32" fillId="2" borderId="0" xfId="0" applyNumberFormat="1" applyFont="1" applyFill="1"/>
    <xf numFmtId="0" fontId="38" fillId="2" borderId="0" xfId="0" applyFont="1" applyFill="1"/>
    <xf numFmtId="3" fontId="6" fillId="2" borderId="0" xfId="0" applyNumberFormat="1" applyFont="1" applyFill="1"/>
    <xf numFmtId="0" fontId="39" fillId="2" borderId="0" xfId="0" applyFont="1" applyFill="1"/>
    <xf numFmtId="42" fontId="36" fillId="2" borderId="0" xfId="0" applyNumberFormat="1" applyFont="1" applyFill="1"/>
    <xf numFmtId="42" fontId="35" fillId="2" borderId="0" xfId="0" applyNumberFormat="1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/>
    <xf numFmtId="44" fontId="6" fillId="2" borderId="0" xfId="0" applyNumberFormat="1" applyFont="1" applyFill="1"/>
    <xf numFmtId="166" fontId="35" fillId="2" borderId="0" xfId="0" applyNumberFormat="1" applyFont="1" applyFill="1"/>
    <xf numFmtId="0" fontId="40" fillId="2" borderId="0" xfId="0" applyFont="1" applyFill="1"/>
    <xf numFmtId="0" fontId="11" fillId="2" borderId="0" xfId="0" applyFont="1" applyFill="1"/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43" fillId="8" borderId="48" xfId="10" quotePrefix="1" applyFont="1" applyFill="1" applyBorder="1" applyAlignment="1">
      <alignment horizontal="center" vertical="center"/>
    </xf>
    <xf numFmtId="5" fontId="43" fillId="8" borderId="56" xfId="10" applyNumberFormat="1" applyFont="1" applyFill="1" applyBorder="1" applyAlignment="1">
      <alignment horizontal="center" vertical="center"/>
    </xf>
    <xf numFmtId="0" fontId="43" fillId="2" borderId="49" xfId="10" applyFont="1" applyFill="1" applyBorder="1" applyAlignment="1">
      <alignment vertical="center"/>
    </xf>
    <xf numFmtId="5" fontId="43" fillId="8" borderId="57" xfId="10" applyNumberFormat="1" applyFont="1" applyFill="1" applyBorder="1" applyAlignment="1">
      <alignment horizontal="center" vertical="center"/>
    </xf>
    <xf numFmtId="5" fontId="43" fillId="8" borderId="53" xfId="10" applyNumberFormat="1" applyFont="1" applyFill="1" applyBorder="1" applyAlignment="1">
      <alignment horizontal="center" vertical="center"/>
    </xf>
    <xf numFmtId="37" fontId="43" fillId="7" borderId="4" xfId="9" quotePrefix="1" applyNumberFormat="1" applyFont="1" applyFill="1" applyBorder="1" applyAlignment="1" applyProtection="1">
      <alignment horizontal="center" vertical="center"/>
      <protection locked="0"/>
    </xf>
    <xf numFmtId="0" fontId="43" fillId="8" borderId="0" xfId="10" applyFont="1" applyFill="1" applyAlignment="1">
      <alignment vertical="center"/>
    </xf>
    <xf numFmtId="37" fontId="44" fillId="2" borderId="4" xfId="9" applyNumberFormat="1" applyFont="1" applyFill="1" applyBorder="1" applyAlignment="1" applyProtection="1">
      <alignment horizontal="center" vertical="center"/>
      <protection locked="0"/>
    </xf>
    <xf numFmtId="37" fontId="44" fillId="2" borderId="25" xfId="9" applyNumberFormat="1" applyFont="1" applyFill="1" applyBorder="1" applyAlignment="1" applyProtection="1">
      <alignment horizontal="left" vertical="center"/>
      <protection locked="0"/>
    </xf>
    <xf numFmtId="0" fontId="31" fillId="2" borderId="0" xfId="0" applyFont="1" applyFill="1" applyAlignment="1">
      <alignment horizontal="right" vertical="center"/>
    </xf>
    <xf numFmtId="0" fontId="44" fillId="2" borderId="50" xfId="9" applyFont="1" applyFill="1" applyBorder="1" applyAlignment="1" applyProtection="1">
      <alignment horizontal="center" vertical="center"/>
      <protection locked="0"/>
    </xf>
    <xf numFmtId="37" fontId="43" fillId="7" borderId="60" xfId="9" quotePrefix="1" applyNumberFormat="1" applyFont="1" applyFill="1" applyBorder="1" applyAlignment="1" applyProtection="1">
      <alignment horizontal="center" vertical="center"/>
      <protection locked="0"/>
    </xf>
    <xf numFmtId="0" fontId="43" fillId="8" borderId="2" xfId="10" applyFont="1" applyFill="1" applyBorder="1" applyAlignment="1">
      <alignment vertical="center"/>
    </xf>
    <xf numFmtId="5" fontId="43" fillId="8" borderId="61" xfId="10" applyNumberFormat="1" applyFont="1" applyFill="1" applyBorder="1" applyAlignment="1">
      <alignment horizontal="center" vertical="center"/>
    </xf>
    <xf numFmtId="37" fontId="43" fillId="7" borderId="60" xfId="9" applyNumberFormat="1" applyFont="1" applyFill="1" applyBorder="1" applyAlignment="1" applyProtection="1">
      <alignment horizontal="center" vertical="center"/>
      <protection locked="0"/>
    </xf>
    <xf numFmtId="0" fontId="43" fillId="8" borderId="62" xfId="10" applyFont="1" applyFill="1" applyBorder="1" applyAlignment="1">
      <alignment vertical="center"/>
    </xf>
    <xf numFmtId="5" fontId="43" fillId="8" borderId="63" xfId="10" applyNumberFormat="1" applyFont="1" applyFill="1" applyBorder="1" applyAlignment="1">
      <alignment horizontal="center" vertical="center"/>
    </xf>
    <xf numFmtId="37" fontId="43" fillId="7" borderId="20" xfId="9" quotePrefix="1" applyNumberFormat="1" applyFont="1" applyFill="1" applyBorder="1" applyAlignment="1" applyProtection="1">
      <alignment horizontal="center" vertical="center"/>
      <protection locked="0"/>
    </xf>
    <xf numFmtId="37" fontId="44" fillId="2" borderId="64" xfId="9" applyNumberFormat="1" applyFont="1" applyFill="1" applyBorder="1" applyAlignment="1" applyProtection="1">
      <alignment horizontal="left" vertical="center"/>
      <protection locked="0"/>
    </xf>
    <xf numFmtId="37" fontId="43" fillId="7" borderId="52" xfId="9" quotePrefix="1" applyNumberFormat="1" applyFont="1" applyFill="1" applyBorder="1" applyAlignment="1" applyProtection="1">
      <alignment horizontal="center" vertical="center"/>
      <protection locked="0"/>
    </xf>
    <xf numFmtId="37" fontId="44" fillId="2" borderId="41" xfId="9" applyNumberFormat="1" applyFont="1" applyFill="1" applyBorder="1" applyAlignment="1" applyProtection="1">
      <alignment horizontal="left" vertical="center"/>
      <protection locked="0"/>
    </xf>
    <xf numFmtId="5" fontId="43" fillId="8" borderId="65" xfId="10" applyNumberFormat="1" applyFont="1" applyFill="1" applyBorder="1" applyAlignment="1">
      <alignment horizontal="center" vertical="center"/>
    </xf>
    <xf numFmtId="37" fontId="45" fillId="9" borderId="3" xfId="9" applyNumberFormat="1" applyFont="1" applyFill="1" applyBorder="1" applyAlignment="1" applyProtection="1">
      <alignment horizontal="left" vertical="center"/>
      <protection locked="0"/>
    </xf>
    <xf numFmtId="5" fontId="45" fillId="9" borderId="3" xfId="9" applyNumberFormat="1" applyFont="1" applyFill="1" applyBorder="1" applyAlignment="1" applyProtection="1">
      <alignment horizontal="center" vertical="center"/>
      <protection locked="0"/>
    </xf>
    <xf numFmtId="0" fontId="45" fillId="4" borderId="3" xfId="9" applyFont="1" applyFill="1" applyBorder="1" applyAlignment="1" applyProtection="1">
      <alignment horizontal="center" vertical="center"/>
      <protection locked="0"/>
    </xf>
    <xf numFmtId="37" fontId="45" fillId="9" borderId="5" xfId="9" applyNumberFormat="1" applyFont="1" applyFill="1" applyBorder="1" applyAlignment="1" applyProtection="1">
      <alignment horizontal="right" vertical="center"/>
      <protection locked="0"/>
    </xf>
    <xf numFmtId="37" fontId="45" fillId="9" borderId="3" xfId="9" applyNumberFormat="1" applyFont="1" applyFill="1" applyBorder="1" applyAlignment="1">
      <alignment horizontal="center" vertical="center"/>
    </xf>
    <xf numFmtId="37" fontId="45" fillId="9" borderId="5" xfId="9" applyNumberFormat="1" applyFont="1" applyFill="1" applyBorder="1" applyAlignment="1">
      <alignment horizontal="center" vertical="center"/>
    </xf>
    <xf numFmtId="5" fontId="45" fillId="9" borderId="5" xfId="9" applyNumberFormat="1" applyFont="1" applyFill="1" applyBorder="1" applyAlignment="1">
      <alignment horizontal="center" vertical="center"/>
    </xf>
    <xf numFmtId="37" fontId="45" fillId="9" borderId="11" xfId="9" applyNumberFormat="1" applyFont="1" applyFill="1" applyBorder="1" applyAlignment="1">
      <alignment horizontal="center" vertical="center"/>
    </xf>
    <xf numFmtId="5" fontId="45" fillId="9" borderId="3" xfId="9" applyNumberFormat="1" applyFont="1" applyFill="1" applyBorder="1" applyAlignment="1">
      <alignment horizontal="center" vertical="center"/>
    </xf>
    <xf numFmtId="0" fontId="0" fillId="2" borderId="28" xfId="0" applyFill="1" applyBorder="1"/>
    <xf numFmtId="37" fontId="51" fillId="9" borderId="3" xfId="11" applyFont="1" applyFill="1" applyBorder="1" applyAlignment="1">
      <alignment horizontal="center" vertical="top"/>
    </xf>
    <xf numFmtId="167" fontId="51" fillId="9" borderId="3" xfId="8" applyNumberFormat="1" applyFont="1" applyFill="1" applyBorder="1" applyAlignment="1" applyProtection="1">
      <alignment horizontal="center" vertical="top"/>
    </xf>
    <xf numFmtId="5" fontId="48" fillId="2" borderId="40" xfId="11" applyNumberFormat="1" applyFont="1" applyFill="1" applyBorder="1" applyAlignment="1">
      <alignment horizontal="left" vertical="center"/>
    </xf>
    <xf numFmtId="5" fontId="47" fillId="7" borderId="40" xfId="11" applyNumberFormat="1" applyFont="1" applyFill="1" applyBorder="1" applyAlignment="1">
      <alignment horizontal="left" vertical="center"/>
    </xf>
    <xf numFmtId="37" fontId="48" fillId="2" borderId="54" xfId="11" applyFont="1" applyFill="1" applyBorder="1" applyAlignment="1" applyProtection="1">
      <alignment vertical="center"/>
      <protection locked="0"/>
    </xf>
    <xf numFmtId="37" fontId="47" fillId="2" borderId="4" xfId="11" quotePrefix="1" applyFont="1" applyFill="1" applyBorder="1" applyAlignment="1" applyProtection="1">
      <alignment vertical="center"/>
      <protection locked="0"/>
    </xf>
    <xf numFmtId="37" fontId="48" fillId="2" borderId="4" xfId="11" applyFont="1" applyFill="1" applyBorder="1" applyAlignment="1" applyProtection="1">
      <alignment vertical="center"/>
      <protection locked="0"/>
    </xf>
    <xf numFmtId="37" fontId="48" fillId="2" borderId="4" xfId="11" applyFont="1" applyFill="1" applyBorder="1" applyAlignment="1" applyProtection="1">
      <alignment vertical="top"/>
      <protection locked="0"/>
    </xf>
    <xf numFmtId="37" fontId="47" fillId="2" borderId="4" xfId="11" quotePrefix="1" applyFont="1" applyFill="1" applyBorder="1" applyAlignment="1" applyProtection="1">
      <alignment vertical="top"/>
      <protection locked="0"/>
    </xf>
    <xf numFmtId="37" fontId="47" fillId="2" borderId="4" xfId="11" quotePrefix="1" applyFont="1" applyFill="1" applyBorder="1" applyAlignment="1" applyProtection="1">
      <alignment horizontal="left" vertical="center"/>
      <protection locked="0"/>
    </xf>
    <xf numFmtId="37" fontId="48" fillId="7" borderId="4" xfId="11" applyFont="1" applyFill="1" applyBorder="1" applyAlignment="1" applyProtection="1">
      <alignment vertical="center"/>
      <protection locked="0"/>
    </xf>
    <xf numFmtId="37" fontId="47" fillId="7" borderId="4" xfId="11" quotePrefix="1" applyFont="1" applyFill="1" applyBorder="1" applyAlignment="1" applyProtection="1">
      <alignment vertical="center"/>
      <protection locked="0"/>
    </xf>
    <xf numFmtId="37" fontId="47" fillId="2" borderId="4" xfId="11" applyFont="1" applyFill="1" applyBorder="1" applyAlignment="1" applyProtection="1">
      <alignment vertical="center"/>
      <protection locked="0"/>
    </xf>
    <xf numFmtId="37" fontId="47" fillId="2" borderId="4" xfId="11" applyFont="1" applyFill="1" applyBorder="1" applyAlignment="1" applyProtection="1">
      <alignment vertical="top"/>
      <protection locked="0"/>
    </xf>
    <xf numFmtId="37" fontId="47" fillId="7" borderId="4" xfId="11" applyFont="1" applyFill="1" applyBorder="1" applyAlignment="1" applyProtection="1">
      <alignment vertical="center"/>
      <protection locked="0"/>
    </xf>
    <xf numFmtId="37" fontId="48" fillId="2" borderId="4" xfId="11" applyFont="1" applyFill="1" applyBorder="1" applyAlignment="1" applyProtection="1">
      <alignment horizontal="left" vertical="center" wrapText="1"/>
      <protection locked="0"/>
    </xf>
    <xf numFmtId="37" fontId="47" fillId="2" borderId="4" xfId="11" applyFont="1" applyFill="1" applyBorder="1" applyAlignment="1" applyProtection="1">
      <alignment horizontal="left" vertical="center" wrapText="1"/>
      <protection locked="0"/>
    </xf>
    <xf numFmtId="37" fontId="48" fillId="2" borderId="4" xfId="11" applyFont="1" applyFill="1" applyBorder="1"/>
    <xf numFmtId="37" fontId="50" fillId="7" borderId="4" xfId="11" applyFont="1" applyFill="1" applyBorder="1" applyAlignment="1" applyProtection="1">
      <alignment vertical="center"/>
      <protection locked="0"/>
    </xf>
    <xf numFmtId="37" fontId="51" fillId="9" borderId="3" xfId="11" applyFont="1" applyFill="1" applyBorder="1" applyAlignment="1">
      <alignment horizontal="center" vertical="top" wrapText="1"/>
    </xf>
    <xf numFmtId="37" fontId="48" fillId="2" borderId="4" xfId="11" applyFont="1" applyFill="1" applyBorder="1" applyAlignment="1" applyProtection="1">
      <alignment horizontal="center" vertical="center"/>
      <protection locked="0"/>
    </xf>
    <xf numFmtId="37" fontId="48" fillId="2" borderId="4" xfId="11" applyFont="1" applyFill="1" applyBorder="1" applyAlignment="1" applyProtection="1">
      <alignment horizontal="center" vertical="top"/>
      <protection locked="0"/>
    </xf>
    <xf numFmtId="37" fontId="47" fillId="7" borderId="4" xfId="11" applyFont="1" applyFill="1" applyBorder="1" applyAlignment="1" applyProtection="1">
      <alignment horizontal="center" vertical="center"/>
      <protection locked="0"/>
    </xf>
    <xf numFmtId="44" fontId="48" fillId="2" borderId="4" xfId="8" applyFont="1" applyFill="1" applyBorder="1" applyAlignment="1" applyProtection="1">
      <alignment vertical="center"/>
      <protection locked="0"/>
    </xf>
    <xf numFmtId="44" fontId="48" fillId="2" borderId="4" xfId="8" applyFont="1" applyFill="1" applyBorder="1" applyAlignment="1" applyProtection="1">
      <alignment vertical="center"/>
    </xf>
    <xf numFmtId="44" fontId="48" fillId="2" borderId="4" xfId="8" applyFont="1" applyFill="1" applyBorder="1" applyAlignment="1" applyProtection="1">
      <alignment vertical="top"/>
      <protection locked="0"/>
    </xf>
    <xf numFmtId="44" fontId="47" fillId="7" borderId="4" xfId="8" applyFont="1" applyFill="1" applyBorder="1" applyAlignment="1" applyProtection="1">
      <alignment vertical="center"/>
      <protection locked="0"/>
    </xf>
    <xf numFmtId="44" fontId="48" fillId="2" borderId="4" xfId="2" applyFont="1" applyFill="1" applyBorder="1" applyAlignment="1" applyProtection="1">
      <alignment vertical="center"/>
      <protection locked="0"/>
    </xf>
    <xf numFmtId="44" fontId="50" fillId="7" borderId="4" xfId="8" applyFont="1" applyFill="1" applyBorder="1" applyAlignment="1" applyProtection="1">
      <alignment vertical="center"/>
      <protection locked="0"/>
    </xf>
    <xf numFmtId="37" fontId="51" fillId="9" borderId="6" xfId="11" applyFont="1" applyFill="1" applyBorder="1" applyAlignment="1">
      <alignment horizontal="center" vertical="top"/>
    </xf>
    <xf numFmtId="5" fontId="48" fillId="2" borderId="40" xfId="11" applyNumberFormat="1" applyFont="1" applyFill="1" applyBorder="1" applyAlignment="1">
      <alignment horizontal="left" vertical="center" wrapText="1"/>
    </xf>
    <xf numFmtId="5" fontId="48" fillId="2" borderId="40" xfId="11" applyNumberFormat="1" applyFont="1" applyFill="1" applyBorder="1" applyAlignment="1">
      <alignment horizontal="left" vertical="top"/>
    </xf>
    <xf numFmtId="5" fontId="48" fillId="2" borderId="40" xfId="11" quotePrefix="1" applyNumberFormat="1" applyFont="1" applyFill="1" applyBorder="1" applyAlignment="1">
      <alignment horizontal="left" vertical="center"/>
    </xf>
    <xf numFmtId="5" fontId="49" fillId="2" borderId="40" xfId="11" applyNumberFormat="1" applyFont="1" applyFill="1" applyBorder="1" applyAlignment="1">
      <alignment horizontal="left" vertical="center"/>
    </xf>
    <xf numFmtId="164" fontId="48" fillId="2" borderId="4" xfId="8" applyNumberFormat="1" applyFont="1" applyFill="1" applyBorder="1" applyAlignment="1" applyProtection="1">
      <alignment horizontal="right" vertical="center"/>
    </xf>
    <xf numFmtId="164" fontId="48" fillId="2" borderId="4" xfId="8" applyNumberFormat="1" applyFont="1" applyFill="1" applyBorder="1" applyAlignment="1" applyProtection="1">
      <alignment horizontal="right" vertical="top"/>
    </xf>
    <xf numFmtId="164" fontId="47" fillId="7" borderId="4" xfId="8" applyNumberFormat="1" applyFont="1" applyFill="1" applyBorder="1" applyAlignment="1" applyProtection="1">
      <alignment horizontal="right" vertical="center"/>
    </xf>
    <xf numFmtId="164" fontId="48" fillId="2" borderId="4" xfId="2" applyNumberFormat="1" applyFont="1" applyFill="1" applyBorder="1" applyAlignment="1" applyProtection="1">
      <alignment horizontal="right" vertical="center"/>
    </xf>
    <xf numFmtId="44" fontId="48" fillId="2" borderId="4" xfId="11" applyNumberFormat="1" applyFont="1" applyFill="1" applyBorder="1"/>
    <xf numFmtId="37" fontId="52" fillId="9" borderId="3" xfId="11" applyFont="1" applyFill="1" applyBorder="1" applyAlignment="1" applyProtection="1">
      <alignment vertical="center"/>
      <protection locked="0"/>
    </xf>
    <xf numFmtId="37" fontId="52" fillId="9" borderId="3" xfId="11" applyFont="1" applyFill="1" applyBorder="1" applyAlignment="1" applyProtection="1">
      <alignment horizontal="center" vertical="center"/>
      <protection locked="0"/>
    </xf>
    <xf numFmtId="44" fontId="52" fillId="9" borderId="3" xfId="8" applyFont="1" applyFill="1" applyBorder="1" applyAlignment="1" applyProtection="1">
      <alignment vertical="center"/>
      <protection locked="0"/>
    </xf>
    <xf numFmtId="164" fontId="52" fillId="9" borderId="3" xfId="8" applyNumberFormat="1" applyFont="1" applyFill="1" applyBorder="1" applyAlignment="1" applyProtection="1">
      <alignment horizontal="right" vertical="center"/>
    </xf>
    <xf numFmtId="5" fontId="52" fillId="9" borderId="6" xfId="11" applyNumberFormat="1" applyFont="1" applyFill="1" applyBorder="1" applyAlignment="1">
      <alignment horizontal="left" vertical="center"/>
    </xf>
    <xf numFmtId="37" fontId="48" fillId="2" borderId="4" xfId="11" applyFont="1" applyFill="1" applyBorder="1" applyAlignment="1" applyProtection="1">
      <alignment horizontal="left" vertical="center" indent="1"/>
      <protection locked="0"/>
    </xf>
    <xf numFmtId="37" fontId="48" fillId="2" borderId="4" xfId="11" applyFont="1" applyFill="1" applyBorder="1" applyAlignment="1" applyProtection="1">
      <alignment horizontal="left" vertical="top" wrapText="1" indent="1"/>
      <protection locked="0"/>
    </xf>
    <xf numFmtId="37" fontId="48" fillId="2" borderId="4" xfId="11" applyFont="1" applyFill="1" applyBorder="1" applyAlignment="1" applyProtection="1">
      <alignment horizontal="left" vertical="top" indent="1"/>
      <protection locked="0"/>
    </xf>
    <xf numFmtId="37" fontId="48" fillId="2" borderId="4" xfId="11" applyFont="1" applyFill="1" applyBorder="1" applyAlignment="1" applyProtection="1">
      <alignment horizontal="left" vertical="center" wrapText="1" indent="1"/>
      <protection locked="0"/>
    </xf>
    <xf numFmtId="37" fontId="48" fillId="7" borderId="4" xfId="11" applyFont="1" applyFill="1" applyBorder="1" applyAlignment="1" applyProtection="1">
      <alignment horizontal="left" vertical="center" indent="1"/>
      <protection locked="0"/>
    </xf>
    <xf numFmtId="5" fontId="36" fillId="2" borderId="1" xfId="0" applyNumberFormat="1" applyFont="1" applyFill="1" applyBorder="1" applyAlignment="1">
      <alignment horizontal="right"/>
    </xf>
    <xf numFmtId="5" fontId="36" fillId="2" borderId="38" xfId="0" applyNumberFormat="1" applyFont="1" applyFill="1" applyBorder="1" applyAlignment="1">
      <alignment horizontal="right"/>
    </xf>
    <xf numFmtId="5" fontId="36" fillId="2" borderId="16" xfId="0" applyNumberFormat="1" applyFont="1" applyFill="1" applyBorder="1" applyAlignment="1">
      <alignment horizontal="right"/>
    </xf>
    <xf numFmtId="0" fontId="53" fillId="4" borderId="3" xfId="0" applyFont="1" applyFill="1" applyBorder="1" applyAlignment="1">
      <alignment horizontal="center" vertical="center" wrapText="1"/>
    </xf>
    <xf numFmtId="0" fontId="53" fillId="4" borderId="9" xfId="0" applyFont="1" applyFill="1" applyBorder="1" applyAlignment="1">
      <alignment horizontal="center" vertical="center"/>
    </xf>
    <xf numFmtId="0" fontId="53" fillId="4" borderId="10" xfId="0" applyFont="1" applyFill="1" applyBorder="1" applyAlignment="1">
      <alignment horizontal="center" vertical="center"/>
    </xf>
    <xf numFmtId="0" fontId="53" fillId="4" borderId="11" xfId="0" applyFont="1" applyFill="1" applyBorder="1" applyAlignment="1">
      <alignment horizontal="center" vertical="center"/>
    </xf>
    <xf numFmtId="5" fontId="32" fillId="2" borderId="20" xfId="0" applyNumberFormat="1" applyFont="1" applyFill="1" applyBorder="1"/>
    <xf numFmtId="5" fontId="36" fillId="2" borderId="52" xfId="0" applyNumberFormat="1" applyFont="1" applyFill="1" applyBorder="1" applyAlignment="1">
      <alignment horizontal="right"/>
    </xf>
    <xf numFmtId="5" fontId="36" fillId="2" borderId="21" xfId="0" applyNumberFormat="1" applyFont="1" applyFill="1" applyBorder="1" applyAlignment="1">
      <alignment horizontal="right"/>
    </xf>
    <xf numFmtId="5" fontId="37" fillId="2" borderId="3" xfId="0" applyNumberFormat="1" applyFont="1" applyFill="1" applyBorder="1" applyAlignment="1">
      <alignment horizontal="right"/>
    </xf>
    <xf numFmtId="5" fontId="32" fillId="2" borderId="15" xfId="0" applyNumberFormat="1" applyFont="1" applyFill="1" applyBorder="1"/>
    <xf numFmtId="5" fontId="32" fillId="2" borderId="16" xfId="0" applyNumberFormat="1" applyFont="1" applyFill="1" applyBorder="1"/>
    <xf numFmtId="5" fontId="32" fillId="2" borderId="17" xfId="0" applyNumberFormat="1" applyFont="1" applyFill="1" applyBorder="1"/>
    <xf numFmtId="5" fontId="36" fillId="2" borderId="18" xfId="0" applyNumberFormat="1" applyFont="1" applyFill="1" applyBorder="1" applyAlignment="1">
      <alignment horizontal="right"/>
    </xf>
    <xf numFmtId="5" fontId="36" fillId="2" borderId="19" xfId="0" applyNumberFormat="1" applyFont="1" applyFill="1" applyBorder="1" applyAlignment="1">
      <alignment horizontal="right"/>
    </xf>
    <xf numFmtId="5" fontId="36" fillId="2" borderId="37" xfId="0" applyNumberFormat="1" applyFont="1" applyFill="1" applyBorder="1" applyAlignment="1">
      <alignment horizontal="right"/>
    </xf>
    <xf numFmtId="5" fontId="36" fillId="2" borderId="39" xfId="0" applyNumberFormat="1" applyFont="1" applyFill="1" applyBorder="1" applyAlignment="1">
      <alignment horizontal="right"/>
    </xf>
    <xf numFmtId="5" fontId="37" fillId="2" borderId="9" xfId="0" applyNumberFormat="1" applyFont="1" applyFill="1" applyBorder="1" applyAlignment="1">
      <alignment horizontal="right"/>
    </xf>
    <xf numFmtId="5" fontId="37" fillId="2" borderId="10" xfId="0" applyNumberFormat="1" applyFont="1" applyFill="1" applyBorder="1" applyAlignment="1">
      <alignment horizontal="right"/>
    </xf>
    <xf numFmtId="5" fontId="37" fillId="2" borderId="11" xfId="0" applyNumberFormat="1" applyFont="1" applyFill="1" applyBorder="1" applyAlignment="1">
      <alignment horizontal="right"/>
    </xf>
    <xf numFmtId="5" fontId="36" fillId="2" borderId="20" xfId="0" applyNumberFormat="1" applyFont="1" applyFill="1" applyBorder="1" applyAlignment="1">
      <alignment horizontal="right"/>
    </xf>
    <xf numFmtId="5" fontId="37" fillId="2" borderId="66" xfId="0" applyNumberFormat="1" applyFont="1" applyFill="1" applyBorder="1" applyAlignment="1">
      <alignment horizontal="right"/>
    </xf>
    <xf numFmtId="5" fontId="36" fillId="2" borderId="15" xfId="0" applyNumberFormat="1" applyFont="1" applyFill="1" applyBorder="1" applyAlignment="1">
      <alignment horizontal="right"/>
    </xf>
    <xf numFmtId="5" fontId="36" fillId="2" borderId="17" xfId="0" applyNumberFormat="1" applyFont="1" applyFill="1" applyBorder="1" applyAlignment="1">
      <alignment horizontal="right"/>
    </xf>
    <xf numFmtId="5" fontId="37" fillId="2" borderId="36" xfId="0" applyNumberFormat="1" applyFont="1" applyFill="1" applyBorder="1" applyAlignment="1">
      <alignment horizontal="right"/>
    </xf>
    <xf numFmtId="5" fontId="37" fillId="2" borderId="34" xfId="0" applyNumberFormat="1" applyFont="1" applyFill="1" applyBorder="1" applyAlignment="1">
      <alignment horizontal="right"/>
    </xf>
    <xf numFmtId="5" fontId="37" fillId="2" borderId="35" xfId="0" applyNumberFormat="1" applyFont="1" applyFill="1" applyBorder="1" applyAlignment="1">
      <alignment horizontal="right"/>
    </xf>
    <xf numFmtId="0" fontId="57" fillId="4" borderId="3" xfId="0" applyFont="1" applyFill="1" applyBorder="1" applyAlignment="1">
      <alignment horizontal="center"/>
    </xf>
    <xf numFmtId="0" fontId="29" fillId="4" borderId="12" xfId="0" applyFont="1" applyFill="1" applyBorder="1"/>
    <xf numFmtId="0" fontId="29" fillId="4" borderId="6" xfId="0" applyFont="1" applyFill="1" applyBorder="1"/>
    <xf numFmtId="0" fontId="57" fillId="4" borderId="5" xfId="0" applyFont="1" applyFill="1" applyBorder="1" applyAlignment="1">
      <alignment horizontal="left" indent="1"/>
    </xf>
    <xf numFmtId="0" fontId="55" fillId="2" borderId="0" xfId="12" applyFont="1" applyFill="1"/>
    <xf numFmtId="0" fontId="55" fillId="2" borderId="0" xfId="12" applyFont="1" applyFill="1" applyAlignment="1">
      <alignment horizontal="center"/>
    </xf>
    <xf numFmtId="44" fontId="55" fillId="2" borderId="0" xfId="2" applyFont="1" applyFill="1" applyBorder="1"/>
    <xf numFmtId="0" fontId="56" fillId="4" borderId="66" xfId="12" applyFont="1" applyFill="1" applyBorder="1" applyAlignment="1">
      <alignment horizontal="center"/>
    </xf>
    <xf numFmtId="0" fontId="55" fillId="10" borderId="5" xfId="12" applyFont="1" applyFill="1" applyBorder="1" applyAlignment="1">
      <alignment horizontal="center"/>
    </xf>
    <xf numFmtId="0" fontId="54" fillId="10" borderId="12" xfId="12" applyFont="1" applyFill="1" applyBorder="1"/>
    <xf numFmtId="169" fontId="55" fillId="10" borderId="12" xfId="1" applyNumberFormat="1" applyFont="1" applyFill="1" applyBorder="1" applyAlignment="1">
      <alignment horizontal="center"/>
    </xf>
    <xf numFmtId="44" fontId="55" fillId="10" borderId="12" xfId="2" applyFont="1" applyFill="1" applyBorder="1"/>
    <xf numFmtId="168" fontId="55" fillId="10" borderId="12" xfId="2" applyNumberFormat="1" applyFont="1" applyFill="1" applyBorder="1" applyAlignment="1">
      <alignment horizontal="center"/>
    </xf>
    <xf numFmtId="0" fontId="55" fillId="10" borderId="6" xfId="12" applyFont="1" applyFill="1" applyBorder="1"/>
    <xf numFmtId="0" fontId="34" fillId="2" borderId="0" xfId="0" applyFont="1" applyFill="1" applyAlignment="1">
      <alignment horizontal="right" vertical="center"/>
    </xf>
    <xf numFmtId="0" fontId="20" fillId="4" borderId="12" xfId="12" applyFont="1" applyFill="1" applyBorder="1"/>
    <xf numFmtId="0" fontId="20" fillId="4" borderId="6" xfId="12" applyFont="1" applyFill="1" applyBorder="1"/>
    <xf numFmtId="0" fontId="55" fillId="10" borderId="12" xfId="12" applyFont="1" applyFill="1" applyBorder="1"/>
    <xf numFmtId="5" fontId="36" fillId="2" borderId="67" xfId="0" applyNumberFormat="1" applyFont="1" applyFill="1" applyBorder="1" applyAlignment="1">
      <alignment horizontal="right"/>
    </xf>
    <xf numFmtId="0" fontId="58" fillId="2" borderId="0" xfId="0" applyFont="1" applyFill="1" applyAlignment="1">
      <alignment horizontal="right"/>
    </xf>
    <xf numFmtId="44" fontId="58" fillId="2" borderId="0" xfId="0" applyNumberFormat="1" applyFont="1" applyFill="1"/>
    <xf numFmtId="5" fontId="36" fillId="2" borderId="70" xfId="0" applyNumberFormat="1" applyFont="1" applyFill="1" applyBorder="1" applyAlignment="1">
      <alignment horizontal="right"/>
    </xf>
    <xf numFmtId="5" fontId="36" fillId="2" borderId="27" xfId="0" applyNumberFormat="1" applyFont="1" applyFill="1" applyBorder="1" applyAlignment="1">
      <alignment horizontal="right"/>
    </xf>
    <xf numFmtId="5" fontId="36" fillId="2" borderId="71" xfId="0" applyNumberFormat="1" applyFont="1" applyFill="1" applyBorder="1" applyAlignment="1">
      <alignment horizontal="right"/>
    </xf>
    <xf numFmtId="42" fontId="36" fillId="2" borderId="18" xfId="0" applyNumberFormat="1" applyFont="1" applyFill="1" applyBorder="1" applyAlignment="1">
      <alignment horizontal="right"/>
    </xf>
    <xf numFmtId="168" fontId="36" fillId="2" borderId="20" xfId="0" applyNumberFormat="1" applyFont="1" applyFill="1" applyBorder="1" applyAlignment="1">
      <alignment horizontal="right" indent="1"/>
    </xf>
    <xf numFmtId="168" fontId="36" fillId="2" borderId="60" xfId="0" applyNumberFormat="1" applyFont="1" applyFill="1" applyBorder="1" applyAlignment="1">
      <alignment horizontal="right" indent="1"/>
    </xf>
    <xf numFmtId="168" fontId="36" fillId="2" borderId="52" xfId="0" applyNumberFormat="1" applyFont="1" applyFill="1" applyBorder="1" applyAlignment="1">
      <alignment horizontal="right" indent="1"/>
    </xf>
    <xf numFmtId="168" fontId="36" fillId="2" borderId="21" xfId="0" applyNumberFormat="1" applyFont="1" applyFill="1" applyBorder="1" applyAlignment="1">
      <alignment horizontal="right" indent="1"/>
    </xf>
    <xf numFmtId="0" fontId="31" fillId="2" borderId="0" xfId="0" applyFont="1" applyFill="1" applyAlignment="1">
      <alignment horizontal="left"/>
    </xf>
    <xf numFmtId="14" fontId="31" fillId="2" borderId="0" xfId="0" applyNumberFormat="1" applyFont="1" applyFill="1" applyAlignment="1">
      <alignment horizontal="left"/>
    </xf>
    <xf numFmtId="0" fontId="59" fillId="4" borderId="3" xfId="0" applyFont="1" applyFill="1" applyBorder="1" applyAlignment="1">
      <alignment horizontal="center"/>
    </xf>
    <xf numFmtId="0" fontId="59" fillId="4" borderId="5" xfId="0" applyFont="1" applyFill="1" applyBorder="1" applyAlignment="1">
      <alignment horizontal="left" indent="1"/>
    </xf>
    <xf numFmtId="0" fontId="28" fillId="4" borderId="12" xfId="0" applyFont="1" applyFill="1" applyBorder="1"/>
    <xf numFmtId="0" fontId="28" fillId="4" borderId="6" xfId="0" applyFont="1" applyFill="1" applyBorder="1"/>
    <xf numFmtId="0" fontId="2" fillId="2" borderId="0" xfId="0" applyFont="1" applyFill="1"/>
    <xf numFmtId="0" fontId="45" fillId="4" borderId="3" xfId="12" applyFont="1" applyFill="1" applyBorder="1" applyAlignment="1">
      <alignment horizontal="center" vertical="top"/>
    </xf>
    <xf numFmtId="168" fontId="45" fillId="4" borderId="3" xfId="12" applyNumberFormat="1" applyFont="1" applyFill="1" applyBorder="1" applyAlignment="1">
      <alignment horizontal="center" vertical="top"/>
    </xf>
    <xf numFmtId="0" fontId="6" fillId="2" borderId="0" xfId="0" applyFont="1" applyFill="1" applyAlignment="1">
      <alignment vertical="top"/>
    </xf>
    <xf numFmtId="0" fontId="60" fillId="12" borderId="67" xfId="12" applyFont="1" applyFill="1" applyBorder="1" applyAlignment="1">
      <alignment horizontal="center"/>
    </xf>
    <xf numFmtId="169" fontId="60" fillId="12" borderId="67" xfId="1" applyNumberFormat="1" applyFont="1" applyFill="1" applyBorder="1" applyAlignment="1">
      <alignment horizontal="center"/>
    </xf>
    <xf numFmtId="0" fontId="60" fillId="12" borderId="67" xfId="12" applyFont="1" applyFill="1" applyBorder="1"/>
    <xf numFmtId="44" fontId="41" fillId="0" borderId="60" xfId="2" applyFont="1" applyBorder="1"/>
    <xf numFmtId="0" fontId="41" fillId="0" borderId="60" xfId="12" applyBorder="1"/>
    <xf numFmtId="0" fontId="44" fillId="0" borderId="60" xfId="12" applyFont="1" applyBorder="1" applyAlignment="1">
      <alignment horizontal="center"/>
    </xf>
    <xf numFmtId="0" fontId="44" fillId="0" borderId="60" xfId="12" applyFont="1" applyBorder="1"/>
    <xf numFmtId="0" fontId="62" fillId="0" borderId="60" xfId="12" applyFont="1" applyBorder="1"/>
    <xf numFmtId="0" fontId="44" fillId="6" borderId="46" xfId="0" applyFont="1" applyFill="1" applyBorder="1" applyAlignment="1">
      <alignment vertical="top"/>
    </xf>
    <xf numFmtId="169" fontId="62" fillId="0" borderId="60" xfId="1" applyNumberFormat="1" applyFont="1" applyBorder="1" applyAlignment="1">
      <alignment horizontal="center" vertical="top"/>
    </xf>
    <xf numFmtId="168" fontId="62" fillId="0" borderId="60" xfId="2" applyNumberFormat="1" applyFont="1" applyBorder="1" applyAlignment="1">
      <alignment horizontal="center" vertical="top"/>
    </xf>
    <xf numFmtId="0" fontId="62" fillId="0" borderId="60" xfId="12" applyFont="1" applyBorder="1" applyAlignment="1">
      <alignment vertical="top"/>
    </xf>
    <xf numFmtId="0" fontId="44" fillId="6" borderId="0" xfId="0" applyFont="1" applyFill="1" applyAlignment="1">
      <alignment vertical="top"/>
    </xf>
    <xf numFmtId="169" fontId="62" fillId="0" borderId="20" xfId="1" applyNumberFormat="1" applyFont="1" applyBorder="1" applyAlignment="1">
      <alignment horizontal="center" vertical="top"/>
    </xf>
    <xf numFmtId="0" fontId="44" fillId="0" borderId="60" xfId="12" applyFont="1" applyBorder="1" applyAlignment="1">
      <alignment vertical="top"/>
    </xf>
    <xf numFmtId="0" fontId="29" fillId="12" borderId="0" xfId="0" applyFont="1" applyFill="1"/>
    <xf numFmtId="0" fontId="29" fillId="2" borderId="0" xfId="0" applyFont="1" applyFill="1"/>
    <xf numFmtId="0" fontId="64" fillId="0" borderId="66" xfId="12" applyFont="1" applyBorder="1" applyAlignment="1">
      <alignment horizontal="right"/>
    </xf>
    <xf numFmtId="169" fontId="63" fillId="0" borderId="66" xfId="1" applyNumberFormat="1" applyFont="1" applyBorder="1" applyAlignment="1"/>
    <xf numFmtId="44" fontId="63" fillId="0" borderId="66" xfId="2" applyFont="1" applyBorder="1"/>
    <xf numFmtId="42" fontId="64" fillId="0" borderId="66" xfId="2" applyNumberFormat="1" applyFont="1" applyFill="1" applyBorder="1" applyAlignment="1">
      <alignment horizontal="center"/>
    </xf>
    <xf numFmtId="0" fontId="1" fillId="2" borderId="0" xfId="0" applyFont="1" applyFill="1"/>
    <xf numFmtId="0" fontId="41" fillId="0" borderId="52" xfId="12" applyBorder="1" applyAlignment="1">
      <alignment horizontal="left" indent="1"/>
    </xf>
    <xf numFmtId="169" fontId="41" fillId="0" borderId="52" xfId="1" quotePrefix="1" applyNumberFormat="1" applyFont="1" applyBorder="1" applyAlignment="1">
      <alignment horizontal="center"/>
    </xf>
    <xf numFmtId="0" fontId="41" fillId="0" borderId="52" xfId="12" applyBorder="1"/>
    <xf numFmtId="44" fontId="41" fillId="0" borderId="67" xfId="2" applyFont="1" applyBorder="1"/>
    <xf numFmtId="0" fontId="41" fillId="0" borderId="52" xfId="12" applyBorder="1" applyAlignment="1">
      <alignment horizontal="left" vertical="top"/>
    </xf>
    <xf numFmtId="44" fontId="41" fillId="0" borderId="60" xfId="2" applyFont="1" applyBorder="1" applyAlignment="1">
      <alignment vertical="top"/>
    </xf>
    <xf numFmtId="0" fontId="41" fillId="0" borderId="52" xfId="12" applyBorder="1" applyAlignment="1">
      <alignment vertical="top"/>
    </xf>
    <xf numFmtId="0" fontId="19" fillId="2" borderId="0" xfId="0" applyFont="1" applyFill="1" applyAlignment="1">
      <alignment vertical="top"/>
    </xf>
    <xf numFmtId="44" fontId="41" fillId="0" borderId="67" xfId="2" applyFont="1" applyBorder="1" applyAlignment="1">
      <alignment vertical="top"/>
    </xf>
    <xf numFmtId="169" fontId="60" fillId="12" borderId="21" xfId="1" applyNumberFormat="1" applyFont="1" applyFill="1" applyBorder="1" applyAlignment="1">
      <alignment horizontal="center"/>
    </xf>
    <xf numFmtId="0" fontId="60" fillId="12" borderId="21" xfId="12" applyFont="1" applyFill="1" applyBorder="1"/>
    <xf numFmtId="44" fontId="41" fillId="0" borderId="52" xfId="2" applyFont="1" applyBorder="1"/>
    <xf numFmtId="0" fontId="41" fillId="6" borderId="29" xfId="0" applyFont="1" applyFill="1" applyBorder="1" applyAlignment="1">
      <alignment horizontal="left" indent="1"/>
    </xf>
    <xf numFmtId="0" fontId="41" fillId="0" borderId="41" xfId="12" applyBorder="1" applyAlignment="1">
      <alignment horizontal="left" indent="1"/>
    </xf>
    <xf numFmtId="169" fontId="41" fillId="0" borderId="52" xfId="1" quotePrefix="1" applyNumberFormat="1" applyFont="1" applyFill="1" applyBorder="1" applyAlignment="1">
      <alignment horizontal="center"/>
    </xf>
    <xf numFmtId="169" fontId="41" fillId="0" borderId="60" xfId="1" quotePrefix="1" applyNumberFormat="1" applyFont="1" applyBorder="1" applyAlignment="1">
      <alignment horizontal="center"/>
    </xf>
    <xf numFmtId="0" fontId="41" fillId="0" borderId="68" xfId="12" applyBorder="1"/>
    <xf numFmtId="169" fontId="41" fillId="0" borderId="67" xfId="1" quotePrefix="1" applyNumberFormat="1" applyFont="1" applyBorder="1" applyAlignment="1">
      <alignment horizontal="center"/>
    </xf>
    <xf numFmtId="0" fontId="61" fillId="0" borderId="4" xfId="12" applyFont="1" applyBorder="1" applyAlignment="1">
      <alignment horizontal="left" indent="1"/>
    </xf>
    <xf numFmtId="169" fontId="41" fillId="0" borderId="4" xfId="1" applyNumberFormat="1" applyFont="1" applyBorder="1" applyAlignment="1">
      <alignment horizontal="center"/>
    </xf>
    <xf numFmtId="0" fontId="41" fillId="0" borderId="4" xfId="12" applyBorder="1"/>
    <xf numFmtId="0" fontId="41" fillId="0" borderId="67" xfId="12" applyBorder="1" applyAlignment="1">
      <alignment horizontal="left" indent="1"/>
    </xf>
    <xf numFmtId="0" fontId="41" fillId="0" borderId="52" xfId="12" applyBorder="1" applyAlignment="1">
      <alignment horizontal="left" vertical="top" indent="1"/>
    </xf>
    <xf numFmtId="169" fontId="41" fillId="0" borderId="52" xfId="1" quotePrefix="1" applyNumberFormat="1" applyFont="1" applyFill="1" applyBorder="1" applyAlignment="1">
      <alignment horizontal="center" vertical="top"/>
    </xf>
    <xf numFmtId="0" fontId="41" fillId="0" borderId="52" xfId="12" applyBorder="1" applyAlignment="1">
      <alignment vertical="top" wrapText="1"/>
    </xf>
    <xf numFmtId="0" fontId="18" fillId="0" borderId="52" xfId="12" applyFont="1" applyBorder="1"/>
    <xf numFmtId="0" fontId="18" fillId="0" borderId="60" xfId="12" applyFont="1" applyBorder="1"/>
    <xf numFmtId="0" fontId="41" fillId="6" borderId="30" xfId="0" applyFont="1" applyFill="1" applyBorder="1" applyAlignment="1">
      <alignment horizontal="left" indent="1"/>
    </xf>
    <xf numFmtId="168" fontId="41" fillId="0" borderId="60" xfId="2" applyNumberFormat="1" applyFont="1" applyBorder="1" applyAlignment="1">
      <alignment horizontal="center" vertical="top"/>
    </xf>
    <xf numFmtId="168" fontId="41" fillId="0" borderId="52" xfId="2" applyNumberFormat="1" applyFont="1" applyFill="1" applyBorder="1" applyAlignment="1">
      <alignment horizontal="center" vertical="top"/>
    </xf>
    <xf numFmtId="168" fontId="41" fillId="0" borderId="67" xfId="2" applyNumberFormat="1" applyFont="1" applyBorder="1" applyAlignment="1">
      <alignment horizontal="center" vertical="top"/>
    </xf>
    <xf numFmtId="168" fontId="60" fillId="12" borderId="67" xfId="2" applyNumberFormat="1" applyFont="1" applyFill="1" applyBorder="1" applyAlignment="1">
      <alignment horizontal="center" vertical="top"/>
    </xf>
    <xf numFmtId="168" fontId="45" fillId="12" borderId="67" xfId="2" applyNumberFormat="1" applyFont="1" applyFill="1" applyBorder="1" applyAlignment="1">
      <alignment horizontal="center" vertical="top"/>
    </xf>
    <xf numFmtId="168" fontId="41" fillId="0" borderId="52" xfId="2" applyNumberFormat="1" applyFont="1" applyBorder="1" applyAlignment="1">
      <alignment horizontal="center" vertical="top"/>
    </xf>
    <xf numFmtId="168" fontId="60" fillId="12" borderId="21" xfId="2" applyNumberFormat="1" applyFont="1" applyFill="1" applyBorder="1" applyAlignment="1">
      <alignment horizontal="center" vertical="top"/>
    </xf>
    <xf numFmtId="168" fontId="45" fillId="12" borderId="52" xfId="2" applyNumberFormat="1" applyFont="1" applyFill="1" applyBorder="1" applyAlignment="1">
      <alignment horizontal="center" vertical="top"/>
    </xf>
    <xf numFmtId="168" fontId="62" fillId="0" borderId="52" xfId="2" applyNumberFormat="1" applyFont="1" applyFill="1" applyBorder="1" applyAlignment="1">
      <alignment horizontal="center" vertical="top"/>
    </xf>
    <xf numFmtId="168" fontId="41" fillId="0" borderId="4" xfId="2" applyNumberFormat="1" applyFont="1" applyBorder="1" applyAlignment="1">
      <alignment horizontal="center" vertical="top"/>
    </xf>
    <xf numFmtId="168" fontId="41" fillId="0" borderId="60" xfId="2" applyNumberFormat="1" applyFont="1" applyFill="1" applyBorder="1" applyAlignment="1">
      <alignment horizontal="center" vertical="top"/>
    </xf>
    <xf numFmtId="44" fontId="41" fillId="0" borderId="60" xfId="2" applyFont="1" applyBorder="1" applyAlignment="1">
      <alignment horizontal="center" vertical="top"/>
    </xf>
    <xf numFmtId="164" fontId="41" fillId="0" borderId="52" xfId="2" applyNumberFormat="1" applyFont="1" applyBorder="1" applyAlignment="1">
      <alignment horizontal="center" vertical="top"/>
    </xf>
    <xf numFmtId="1" fontId="41" fillId="0" borderId="52" xfId="1" quotePrefix="1" applyNumberFormat="1" applyFont="1" applyBorder="1" applyAlignment="1">
      <alignment horizontal="center"/>
    </xf>
    <xf numFmtId="1" fontId="62" fillId="0" borderId="60" xfId="1" applyNumberFormat="1" applyFont="1" applyBorder="1" applyAlignment="1">
      <alignment horizontal="center"/>
    </xf>
    <xf numFmtId="1" fontId="41" fillId="0" borderId="52" xfId="1" quotePrefix="1" applyNumberFormat="1" applyFont="1" applyBorder="1" applyAlignment="1">
      <alignment horizontal="center" vertical="top"/>
    </xf>
    <xf numFmtId="0" fontId="45" fillId="12" borderId="67" xfId="12" applyFont="1" applyFill="1" applyBorder="1" applyAlignment="1">
      <alignment horizontal="left"/>
    </xf>
    <xf numFmtId="0" fontId="45" fillId="12" borderId="21" xfId="12" applyFont="1" applyFill="1" applyBorder="1" applyAlignment="1">
      <alignment horizontal="left"/>
    </xf>
    <xf numFmtId="0" fontId="45" fillId="12" borderId="69" xfId="12" applyFont="1" applyFill="1" applyBorder="1" applyAlignment="1">
      <alignment horizontal="left"/>
    </xf>
    <xf numFmtId="0" fontId="41" fillId="0" borderId="67" xfId="12" applyBorder="1"/>
    <xf numFmtId="1" fontId="41" fillId="0" borderId="67" xfId="1" quotePrefix="1" applyNumberFormat="1" applyFont="1" applyBorder="1" applyAlignment="1">
      <alignment horizontal="center"/>
    </xf>
    <xf numFmtId="164" fontId="41" fillId="0" borderId="67" xfId="2" applyNumberFormat="1" applyFont="1" applyBorder="1" applyAlignment="1">
      <alignment horizontal="center" vertical="top"/>
    </xf>
    <xf numFmtId="0" fontId="41" fillId="0" borderId="50" xfId="12" applyBorder="1" applyAlignment="1">
      <alignment horizontal="left" vertical="top"/>
    </xf>
    <xf numFmtId="0" fontId="41" fillId="0" borderId="60" xfId="12" applyBorder="1" applyAlignment="1">
      <alignment vertical="top"/>
    </xf>
    <xf numFmtId="0" fontId="41" fillId="0" borderId="4" xfId="12" applyBorder="1" applyAlignment="1">
      <alignment vertical="top"/>
    </xf>
    <xf numFmtId="44" fontId="41" fillId="0" borderId="52" xfId="2" applyFont="1" applyBorder="1" applyAlignment="1">
      <alignment vertical="top"/>
    </xf>
    <xf numFmtId="0" fontId="61" fillId="0" borderId="4" xfId="12" applyFont="1" applyBorder="1" applyAlignment="1">
      <alignment horizontal="left" vertical="top"/>
    </xf>
    <xf numFmtId="0" fontId="41" fillId="0" borderId="67" xfId="12" applyBorder="1" applyAlignment="1">
      <alignment horizontal="left" vertical="top"/>
    </xf>
    <xf numFmtId="169" fontId="41" fillId="0" borderId="67" xfId="1" quotePrefix="1" applyNumberFormat="1" applyFont="1" applyBorder="1" applyAlignment="1">
      <alignment horizontal="center" vertical="top"/>
    </xf>
    <xf numFmtId="1" fontId="62" fillId="0" borderId="60" xfId="1" applyNumberFormat="1" applyFont="1" applyBorder="1" applyAlignment="1">
      <alignment horizontal="center" vertical="top"/>
    </xf>
    <xf numFmtId="1" fontId="41" fillId="0" borderId="52" xfId="1" quotePrefix="1" applyNumberFormat="1" applyFont="1" applyFill="1" applyBorder="1" applyAlignment="1">
      <alignment horizontal="center" vertical="top"/>
    </xf>
    <xf numFmtId="0" fontId="41" fillId="0" borderId="52" xfId="12" applyBorder="1" applyAlignment="1">
      <alignment horizontal="center" vertical="top"/>
    </xf>
    <xf numFmtId="0" fontId="62" fillId="0" borderId="52" xfId="12" applyFont="1" applyBorder="1" applyAlignment="1">
      <alignment horizontal="center" vertical="top"/>
    </xf>
    <xf numFmtId="0" fontId="41" fillId="0" borderId="52" xfId="12" applyBorder="1" applyAlignment="1">
      <alignment horizontal="center"/>
    </xf>
    <xf numFmtId="0" fontId="60" fillId="12" borderId="52" xfId="12" applyFont="1" applyFill="1" applyBorder="1" applyAlignment="1">
      <alignment horizontal="center"/>
    </xf>
    <xf numFmtId="0" fontId="41" fillId="0" borderId="67" xfId="12" applyBorder="1" applyAlignment="1">
      <alignment horizontal="center" vertical="top"/>
    </xf>
    <xf numFmtId="0" fontId="63" fillId="0" borderId="66" xfId="12" applyFont="1" applyBorder="1" applyAlignment="1">
      <alignment horizontal="center"/>
    </xf>
    <xf numFmtId="0" fontId="0" fillId="0" borderId="0" xfId="0" applyAlignment="1">
      <alignment horizontal="center"/>
    </xf>
    <xf numFmtId="0" fontId="31" fillId="2" borderId="0" xfId="0" applyFont="1" applyFill="1" applyAlignment="1">
      <alignment horizontal="left" vertical="center"/>
    </xf>
    <xf numFmtId="37" fontId="31" fillId="2" borderId="0" xfId="1" applyNumberFormat="1" applyFont="1" applyFill="1" applyAlignment="1">
      <alignment horizontal="left" vertical="top"/>
    </xf>
    <xf numFmtId="14" fontId="31" fillId="2" borderId="0" xfId="0" applyNumberFormat="1" applyFont="1" applyFill="1"/>
    <xf numFmtId="0" fontId="59" fillId="4" borderId="5" xfId="0" applyFont="1" applyFill="1" applyBorder="1" applyAlignment="1">
      <alignment horizontal="center"/>
    </xf>
    <xf numFmtId="0" fontId="1" fillId="4" borderId="6" xfId="0" applyFont="1" applyFill="1" applyBorder="1"/>
    <xf numFmtId="0" fontId="62" fillId="2" borderId="0" xfId="12" applyFont="1" applyFill="1"/>
    <xf numFmtId="0" fontId="41" fillId="2" borderId="0" xfId="12" applyFill="1"/>
    <xf numFmtId="0" fontId="41" fillId="0" borderId="60" xfId="12" applyBorder="1" applyAlignment="1">
      <alignment horizontal="center" vertical="top"/>
    </xf>
    <xf numFmtId="0" fontId="61" fillId="0" borderId="60" xfId="12" applyFont="1" applyBorder="1" applyAlignment="1">
      <alignment vertical="top"/>
    </xf>
    <xf numFmtId="1" fontId="41" fillId="0" borderId="60" xfId="1" applyNumberFormat="1" applyFont="1" applyBorder="1" applyAlignment="1">
      <alignment horizontal="center" vertical="top"/>
    </xf>
    <xf numFmtId="164" fontId="41" fillId="0" borderId="60" xfId="2" applyNumberFormat="1" applyFont="1" applyBorder="1" applyAlignment="1">
      <alignment horizontal="center" vertical="top"/>
    </xf>
    <xf numFmtId="0" fontId="41" fillId="2" borderId="0" xfId="12" applyFill="1" applyAlignment="1">
      <alignment vertical="top"/>
    </xf>
    <xf numFmtId="1" fontId="41" fillId="0" borderId="52" xfId="1" applyNumberFormat="1" applyFont="1" applyBorder="1" applyAlignment="1">
      <alignment horizontal="center" vertical="top"/>
    </xf>
    <xf numFmtId="16" fontId="41" fillId="0" borderId="52" xfId="2" applyNumberFormat="1" applyFont="1" applyBorder="1" applyAlignment="1">
      <alignment vertical="top"/>
    </xf>
    <xf numFmtId="44" fontId="41" fillId="0" borderId="52" xfId="2" applyFont="1" applyFill="1" applyBorder="1" applyAlignment="1">
      <alignment vertical="top"/>
    </xf>
    <xf numFmtId="16" fontId="41" fillId="0" borderId="52" xfId="2" applyNumberFormat="1" applyFont="1" applyFill="1" applyBorder="1" applyAlignment="1">
      <alignment vertical="top"/>
    </xf>
    <xf numFmtId="0" fontId="61" fillId="0" borderId="67" xfId="12" applyFont="1" applyBorder="1" applyAlignment="1">
      <alignment vertical="top"/>
    </xf>
    <xf numFmtId="1" fontId="41" fillId="0" borderId="67" xfId="1" applyNumberFormat="1" applyFont="1" applyBorder="1" applyAlignment="1">
      <alignment horizontal="center" vertical="top"/>
    </xf>
    <xf numFmtId="164" fontId="61" fillId="0" borderId="67" xfId="2" applyNumberFormat="1" applyFont="1" applyBorder="1" applyAlignment="1">
      <alignment vertical="top"/>
    </xf>
    <xf numFmtId="0" fontId="41" fillId="0" borderId="67" xfId="12" applyBorder="1" applyAlignment="1">
      <alignment vertical="top"/>
    </xf>
    <xf numFmtId="37" fontId="41" fillId="0" borderId="52" xfId="1" applyNumberFormat="1" applyFont="1" applyBorder="1" applyAlignment="1">
      <alignment horizontal="center" vertical="top"/>
    </xf>
    <xf numFmtId="37" fontId="41" fillId="0" borderId="52" xfId="1" applyNumberFormat="1" applyFont="1" applyFill="1" applyBorder="1" applyAlignment="1">
      <alignment horizontal="center" vertical="top"/>
    </xf>
    <xf numFmtId="5" fontId="41" fillId="0" borderId="52" xfId="2" applyNumberFormat="1" applyFont="1" applyBorder="1" applyAlignment="1">
      <alignment horizontal="center" vertical="top"/>
    </xf>
    <xf numFmtId="5" fontId="41" fillId="0" borderId="52" xfId="2" applyNumberFormat="1" applyFont="1" applyFill="1" applyBorder="1" applyAlignment="1">
      <alignment horizontal="center" vertical="top"/>
    </xf>
    <xf numFmtId="5" fontId="61" fillId="0" borderId="0" xfId="12" applyNumberFormat="1" applyFont="1" applyAlignment="1">
      <alignment horizontal="center" vertical="top"/>
    </xf>
    <xf numFmtId="0" fontId="45" fillId="4" borderId="5" xfId="12" applyFont="1" applyFill="1" applyBorder="1" applyAlignment="1">
      <alignment horizontal="left" vertical="top"/>
    </xf>
    <xf numFmtId="0" fontId="45" fillId="4" borderId="12" xfId="12" applyFont="1" applyFill="1" applyBorder="1" applyAlignment="1">
      <alignment horizontal="left"/>
    </xf>
    <xf numFmtId="0" fontId="45" fillId="4" borderId="6" xfId="12" applyFont="1" applyFill="1" applyBorder="1" applyAlignment="1">
      <alignment horizontal="left"/>
    </xf>
    <xf numFmtId="0" fontId="62" fillId="2" borderId="0" xfId="12" applyFont="1" applyFill="1" applyAlignment="1">
      <alignment horizontal="left"/>
    </xf>
    <xf numFmtId="0" fontId="45" fillId="4" borderId="5" xfId="12" applyFont="1" applyFill="1" applyBorder="1" applyAlignment="1">
      <alignment horizontal="left"/>
    </xf>
    <xf numFmtId="0" fontId="20" fillId="4" borderId="66" xfId="12" applyFont="1" applyFill="1" applyBorder="1" applyAlignment="1">
      <alignment horizontal="center"/>
    </xf>
    <xf numFmtId="0" fontId="20" fillId="4" borderId="66" xfId="12" applyFont="1" applyFill="1" applyBorder="1" applyAlignment="1">
      <alignment horizontal="center" vertical="top"/>
    </xf>
    <xf numFmtId="0" fontId="41" fillId="0" borderId="21" xfId="12" applyBorder="1" applyAlignment="1">
      <alignment horizontal="center" vertical="top"/>
    </xf>
    <xf numFmtId="0" fontId="41" fillId="10" borderId="5" xfId="12" applyFill="1" applyBorder="1" applyAlignment="1">
      <alignment horizontal="center" vertical="top"/>
    </xf>
    <xf numFmtId="0" fontId="41" fillId="0" borderId="60" xfId="12" applyBorder="1" applyAlignment="1">
      <alignment horizontal="left" vertical="top"/>
    </xf>
    <xf numFmtId="0" fontId="41" fillId="6" borderId="67" xfId="12" applyFill="1" applyBorder="1" applyAlignment="1">
      <alignment horizontal="left" vertical="top"/>
    </xf>
    <xf numFmtId="0" fontId="41" fillId="6" borderId="52" xfId="12" applyFill="1" applyBorder="1" applyAlignment="1">
      <alignment horizontal="left" vertical="top"/>
    </xf>
    <xf numFmtId="0" fontId="18" fillId="0" borderId="52" xfId="12" applyFont="1" applyBorder="1" applyAlignment="1">
      <alignment horizontal="left" vertical="top"/>
    </xf>
    <xf numFmtId="0" fontId="20" fillId="4" borderId="66" xfId="12" applyFont="1" applyFill="1" applyBorder="1" applyAlignment="1">
      <alignment horizontal="left" vertical="top"/>
    </xf>
    <xf numFmtId="0" fontId="41" fillId="2" borderId="0" xfId="12" applyFill="1" applyAlignment="1">
      <alignment horizontal="left" vertical="top"/>
    </xf>
    <xf numFmtId="0" fontId="61" fillId="0" borderId="60" xfId="12" applyFont="1" applyBorder="1" applyAlignment="1">
      <alignment horizontal="left" vertical="top"/>
    </xf>
    <xf numFmtId="1" fontId="41" fillId="0" borderId="60" xfId="1" applyNumberFormat="1" applyFont="1" applyBorder="1" applyAlignment="1">
      <alignment horizontal="left" vertical="top"/>
    </xf>
    <xf numFmtId="44" fontId="41" fillId="0" borderId="60" xfId="2" applyFont="1" applyBorder="1" applyAlignment="1">
      <alignment horizontal="left" vertical="top"/>
    </xf>
    <xf numFmtId="164" fontId="41" fillId="0" borderId="60" xfId="2" applyNumberFormat="1" applyFont="1" applyBorder="1" applyAlignment="1">
      <alignment horizontal="left" vertical="top"/>
    </xf>
    <xf numFmtId="0" fontId="66" fillId="0" borderId="52" xfId="12" applyFont="1" applyBorder="1" applyAlignment="1">
      <alignment horizontal="left" vertical="top"/>
    </xf>
    <xf numFmtId="1" fontId="41" fillId="0" borderId="52" xfId="1" applyNumberFormat="1" applyFont="1" applyBorder="1" applyAlignment="1">
      <alignment horizontal="left" vertical="top"/>
    </xf>
    <xf numFmtId="42" fontId="41" fillId="0" borderId="52" xfId="2" applyNumberFormat="1" applyFont="1" applyBorder="1" applyAlignment="1">
      <alignment horizontal="left" vertical="top"/>
    </xf>
    <xf numFmtId="164" fontId="41" fillId="0" borderId="52" xfId="2" applyNumberFormat="1" applyFont="1" applyBorder="1" applyAlignment="1">
      <alignment horizontal="left" vertical="top"/>
    </xf>
    <xf numFmtId="0" fontId="61" fillId="0" borderId="52" xfId="12" applyFont="1" applyBorder="1" applyAlignment="1">
      <alignment horizontal="left" vertical="top"/>
    </xf>
    <xf numFmtId="164" fontId="61" fillId="0" borderId="52" xfId="2" applyNumberFormat="1" applyFont="1" applyBorder="1" applyAlignment="1">
      <alignment horizontal="left" vertical="top"/>
    </xf>
    <xf numFmtId="42" fontId="41" fillId="0" borderId="60" xfId="2" applyNumberFormat="1" applyFont="1" applyBorder="1" applyAlignment="1">
      <alignment horizontal="left" vertical="top"/>
    </xf>
    <xf numFmtId="42" fontId="41" fillId="0" borderId="60" xfId="12" applyNumberFormat="1" applyBorder="1" applyAlignment="1">
      <alignment horizontal="left" vertical="top"/>
    </xf>
    <xf numFmtId="42" fontId="61" fillId="0" borderId="60" xfId="12" applyNumberFormat="1" applyFont="1" applyBorder="1" applyAlignment="1">
      <alignment horizontal="left" vertical="top"/>
    </xf>
    <xf numFmtId="44" fontId="66" fillId="0" borderId="60" xfId="2" applyFont="1" applyBorder="1" applyAlignment="1">
      <alignment horizontal="left" vertical="top"/>
    </xf>
    <xf numFmtId="44" fontId="41" fillId="0" borderId="52" xfId="2" applyFont="1" applyBorder="1" applyAlignment="1">
      <alignment horizontal="left" vertical="top"/>
    </xf>
    <xf numFmtId="0" fontId="41" fillId="0" borderId="21" xfId="12" applyBorder="1" applyAlignment="1">
      <alignment horizontal="left" vertical="top"/>
    </xf>
    <xf numFmtId="0" fontId="61" fillId="0" borderId="21" xfId="12" applyFont="1" applyBorder="1" applyAlignment="1">
      <alignment horizontal="left" vertical="top"/>
    </xf>
    <xf numFmtId="1" fontId="41" fillId="6" borderId="21" xfId="1" applyNumberFormat="1" applyFont="1" applyFill="1" applyBorder="1" applyAlignment="1">
      <alignment horizontal="left" vertical="top"/>
    </xf>
    <xf numFmtId="42" fontId="41" fillId="6" borderId="21" xfId="2" applyNumberFormat="1" applyFont="1" applyFill="1" applyBorder="1" applyAlignment="1">
      <alignment horizontal="left" vertical="top"/>
    </xf>
    <xf numFmtId="42" fontId="61" fillId="0" borderId="21" xfId="12" applyNumberFormat="1" applyFont="1" applyBorder="1" applyAlignment="1">
      <alignment horizontal="left" vertical="top"/>
    </xf>
    <xf numFmtId="44" fontId="61" fillId="6" borderId="21" xfId="2" applyFont="1" applyFill="1" applyBorder="1" applyAlignment="1">
      <alignment horizontal="left" vertical="top"/>
    </xf>
    <xf numFmtId="0" fontId="41" fillId="10" borderId="5" xfId="12" applyFill="1" applyBorder="1" applyAlignment="1">
      <alignment horizontal="left" vertical="top"/>
    </xf>
    <xf numFmtId="0" fontId="61" fillId="10" borderId="12" xfId="12" applyFont="1" applyFill="1" applyBorder="1" applyAlignment="1">
      <alignment horizontal="left" vertical="top"/>
    </xf>
    <xf numFmtId="169" fontId="41" fillId="10" borderId="12" xfId="1" applyNumberFormat="1" applyFont="1" applyFill="1" applyBorder="1" applyAlignment="1">
      <alignment horizontal="left" vertical="top"/>
    </xf>
    <xf numFmtId="44" fontId="41" fillId="10" borderId="12" xfId="2" applyFont="1" applyFill="1" applyBorder="1" applyAlignment="1">
      <alignment horizontal="left" vertical="top"/>
    </xf>
    <xf numFmtId="168" fontId="41" fillId="10" borderId="12" xfId="2" applyNumberFormat="1" applyFont="1" applyFill="1" applyBorder="1" applyAlignment="1">
      <alignment horizontal="left" vertical="top"/>
    </xf>
    <xf numFmtId="0" fontId="41" fillId="10" borderId="12" xfId="12" applyFill="1" applyBorder="1" applyAlignment="1">
      <alignment horizontal="left" vertical="top"/>
    </xf>
    <xf numFmtId="0" fontId="41" fillId="10" borderId="6" xfId="12" applyFill="1" applyBorder="1" applyAlignment="1">
      <alignment horizontal="left" vertical="top"/>
    </xf>
    <xf numFmtId="0" fontId="19" fillId="2" borderId="0" xfId="0" applyFont="1" applyFill="1" applyAlignment="1">
      <alignment horizontal="left" vertical="top"/>
    </xf>
    <xf numFmtId="170" fontId="41" fillId="0" borderId="60" xfId="2" applyNumberFormat="1" applyFont="1" applyBorder="1" applyAlignment="1">
      <alignment horizontal="left" vertical="top"/>
    </xf>
    <xf numFmtId="170" fontId="41" fillId="0" borderId="60" xfId="12" applyNumberFormat="1" applyBorder="1" applyAlignment="1">
      <alignment horizontal="left" vertical="top"/>
    </xf>
    <xf numFmtId="170" fontId="61" fillId="0" borderId="60" xfId="12" applyNumberFormat="1" applyFont="1" applyBorder="1" applyAlignment="1">
      <alignment horizontal="left" vertical="top"/>
    </xf>
    <xf numFmtId="42" fontId="61" fillId="6" borderId="21" xfId="2" applyNumberFormat="1" applyFont="1" applyFill="1" applyBorder="1" applyAlignment="1">
      <alignment horizontal="left" vertical="top"/>
    </xf>
    <xf numFmtId="1" fontId="41" fillId="0" borderId="52" xfId="1" quotePrefix="1" applyNumberFormat="1" applyFont="1" applyBorder="1" applyAlignment="1">
      <alignment horizontal="left" vertical="top"/>
    </xf>
    <xf numFmtId="0" fontId="41" fillId="6" borderId="21" xfId="12" applyFill="1" applyBorder="1" applyAlignment="1">
      <alignment horizontal="left" vertical="top"/>
    </xf>
    <xf numFmtId="0" fontId="61" fillId="6" borderId="21" xfId="12" applyFont="1" applyFill="1" applyBorder="1" applyAlignment="1">
      <alignment horizontal="left" vertical="top"/>
    </xf>
    <xf numFmtId="0" fontId="41" fillId="0" borderId="20" xfId="12" applyBorder="1" applyAlignment="1">
      <alignment horizontal="left" vertical="top"/>
    </xf>
    <xf numFmtId="0" fontId="61" fillId="0" borderId="20" xfId="12" applyFont="1" applyBorder="1" applyAlignment="1">
      <alignment horizontal="left" vertical="top"/>
    </xf>
    <xf numFmtId="1" fontId="41" fillId="0" borderId="20" xfId="1" applyNumberFormat="1" applyFont="1" applyBorder="1" applyAlignment="1">
      <alignment horizontal="left" vertical="top"/>
    </xf>
    <xf numFmtId="42" fontId="41" fillId="0" borderId="20" xfId="2" applyNumberFormat="1" applyFont="1" applyBorder="1" applyAlignment="1">
      <alignment horizontal="left" vertical="top"/>
    </xf>
    <xf numFmtId="42" fontId="41" fillId="0" borderId="20" xfId="12" applyNumberFormat="1" applyBorder="1" applyAlignment="1">
      <alignment horizontal="left" vertical="top"/>
    </xf>
    <xf numFmtId="42" fontId="61" fillId="0" borderId="20" xfId="12" applyNumberFormat="1" applyFont="1" applyBorder="1" applyAlignment="1">
      <alignment horizontal="left" vertical="top"/>
    </xf>
    <xf numFmtId="44" fontId="41" fillId="0" borderId="20" xfId="2" applyFont="1" applyBorder="1" applyAlignment="1">
      <alignment horizontal="left" vertical="top"/>
    </xf>
    <xf numFmtId="1" fontId="41" fillId="0" borderId="67" xfId="1" applyNumberFormat="1" applyFont="1" applyBorder="1" applyAlignment="1">
      <alignment horizontal="left" vertical="top"/>
    </xf>
    <xf numFmtId="44" fontId="41" fillId="0" borderId="67" xfId="2" applyFont="1" applyBorder="1" applyAlignment="1">
      <alignment horizontal="left" vertical="top"/>
    </xf>
    <xf numFmtId="44" fontId="61" fillId="0" borderId="21" xfId="2" applyFont="1" applyBorder="1" applyAlignment="1">
      <alignment horizontal="left" vertical="top"/>
    </xf>
    <xf numFmtId="0" fontId="61" fillId="0" borderId="67" xfId="12" applyFont="1" applyBorder="1" applyAlignment="1">
      <alignment horizontal="left" vertical="top"/>
    </xf>
    <xf numFmtId="164" fontId="61" fillId="0" borderId="0" xfId="12" applyNumberFormat="1" applyFont="1" applyAlignment="1">
      <alignment horizontal="left" vertical="top"/>
    </xf>
    <xf numFmtId="164" fontId="61" fillId="0" borderId="67" xfId="2" applyNumberFormat="1" applyFont="1" applyBorder="1" applyAlignment="1">
      <alignment horizontal="left" vertical="top"/>
    </xf>
    <xf numFmtId="0" fontId="41" fillId="0" borderId="4" xfId="12" applyBorder="1" applyAlignment="1">
      <alignment horizontal="left" vertical="top"/>
    </xf>
    <xf numFmtId="1" fontId="41" fillId="0" borderId="4" xfId="1" applyNumberFormat="1" applyFont="1" applyBorder="1" applyAlignment="1">
      <alignment horizontal="left" vertical="top"/>
    </xf>
    <xf numFmtId="44" fontId="41" fillId="0" borderId="4" xfId="2" applyFont="1" applyBorder="1" applyAlignment="1">
      <alignment horizontal="left" vertical="top"/>
    </xf>
    <xf numFmtId="164" fontId="41" fillId="0" borderId="4" xfId="2" applyNumberFormat="1" applyFont="1" applyBorder="1" applyAlignment="1">
      <alignment horizontal="left" vertical="top"/>
    </xf>
    <xf numFmtId="1" fontId="41" fillId="6" borderId="67" xfId="1" applyNumberFormat="1" applyFont="1" applyFill="1" applyBorder="1" applyAlignment="1">
      <alignment horizontal="left" vertical="top"/>
    </xf>
    <xf numFmtId="44" fontId="41" fillId="6" borderId="67" xfId="2" applyFont="1" applyFill="1" applyBorder="1" applyAlignment="1">
      <alignment horizontal="left" vertical="top"/>
    </xf>
    <xf numFmtId="164" fontId="61" fillId="0" borderId="4" xfId="2" applyNumberFormat="1" applyFont="1" applyBorder="1" applyAlignment="1">
      <alignment horizontal="left" vertical="top"/>
    </xf>
    <xf numFmtId="42" fontId="41" fillId="0" borderId="67" xfId="2" applyNumberFormat="1" applyFont="1" applyBorder="1" applyAlignment="1">
      <alignment horizontal="left" vertical="top"/>
    </xf>
    <xf numFmtId="1" fontId="41" fillId="6" borderId="52" xfId="1" applyNumberFormat="1" applyFont="1" applyFill="1" applyBorder="1" applyAlignment="1">
      <alignment horizontal="left" vertical="top"/>
    </xf>
    <xf numFmtId="42" fontId="41" fillId="6" borderId="52" xfId="2" applyNumberFormat="1" applyFont="1" applyFill="1" applyBorder="1" applyAlignment="1">
      <alignment horizontal="left" vertical="top"/>
    </xf>
    <xf numFmtId="1" fontId="41" fillId="6" borderId="20" xfId="1" applyNumberFormat="1" applyFont="1" applyFill="1" applyBorder="1" applyAlignment="1">
      <alignment horizontal="left" vertical="top"/>
    </xf>
    <xf numFmtId="164" fontId="41" fillId="6" borderId="20" xfId="2" applyNumberFormat="1" applyFont="1" applyFill="1" applyBorder="1" applyAlignment="1">
      <alignment horizontal="left" vertical="top"/>
    </xf>
    <xf numFmtId="164" fontId="41" fillId="6" borderId="52" xfId="2" applyNumberFormat="1" applyFont="1" applyFill="1" applyBorder="1" applyAlignment="1">
      <alignment horizontal="left" vertical="top"/>
    </xf>
    <xf numFmtId="1" fontId="18" fillId="6" borderId="52" xfId="1" applyNumberFormat="1" applyFont="1" applyFill="1" applyBorder="1" applyAlignment="1">
      <alignment horizontal="left" vertical="top"/>
    </xf>
    <xf numFmtId="164" fontId="18" fillId="6" borderId="52" xfId="2" applyNumberFormat="1" applyFont="1" applyFill="1" applyBorder="1" applyAlignment="1">
      <alignment horizontal="left" vertical="top"/>
    </xf>
    <xf numFmtId="164" fontId="18" fillId="0" borderId="52" xfId="2" applyNumberFormat="1" applyFont="1" applyBorder="1" applyAlignment="1">
      <alignment horizontal="left" vertical="top"/>
    </xf>
    <xf numFmtId="0" fontId="18" fillId="2" borderId="0" xfId="12" applyFont="1" applyFill="1" applyAlignment="1">
      <alignment horizontal="left" vertical="top"/>
    </xf>
    <xf numFmtId="164" fontId="41" fillId="6" borderId="67" xfId="2" applyNumberFormat="1" applyFont="1" applyFill="1" applyBorder="1" applyAlignment="1">
      <alignment horizontal="left" vertical="top"/>
    </xf>
    <xf numFmtId="0" fontId="66" fillId="0" borderId="67" xfId="12" applyFont="1" applyBorder="1" applyAlignment="1">
      <alignment horizontal="left" vertical="top"/>
    </xf>
    <xf numFmtId="1" fontId="41" fillId="0" borderId="4" xfId="12" applyNumberFormat="1" applyBorder="1" applyAlignment="1">
      <alignment horizontal="left" vertical="top"/>
    </xf>
    <xf numFmtId="164" fontId="41" fillId="0" borderId="4" xfId="12" applyNumberFormat="1" applyBorder="1" applyAlignment="1">
      <alignment horizontal="left" vertical="top"/>
    </xf>
    <xf numFmtId="1" fontId="41" fillId="0" borderId="52" xfId="12" applyNumberFormat="1" applyBorder="1" applyAlignment="1">
      <alignment horizontal="left" vertical="top"/>
    </xf>
    <xf numFmtId="164" fontId="61" fillId="0" borderId="4" xfId="12" applyNumberFormat="1" applyFont="1" applyBorder="1" applyAlignment="1">
      <alignment horizontal="left" vertical="top"/>
    </xf>
    <xf numFmtId="0" fontId="65" fillId="12" borderId="21" xfId="12" applyFont="1" applyFill="1" applyBorder="1" applyAlignment="1">
      <alignment horizontal="left" vertical="top"/>
    </xf>
    <xf numFmtId="0" fontId="20" fillId="12" borderId="21" xfId="12" applyFont="1" applyFill="1" applyBorder="1" applyAlignment="1">
      <alignment horizontal="left" vertical="top"/>
    </xf>
    <xf numFmtId="1" fontId="65" fillId="12" borderId="21" xfId="1" applyNumberFormat="1" applyFont="1" applyFill="1" applyBorder="1" applyAlignment="1">
      <alignment horizontal="left" vertical="top"/>
    </xf>
    <xf numFmtId="42" fontId="65" fillId="12" borderId="21" xfId="2" applyNumberFormat="1" applyFont="1" applyFill="1" applyBorder="1" applyAlignment="1">
      <alignment horizontal="left" vertical="top"/>
    </xf>
    <xf numFmtId="42" fontId="20" fillId="12" borderId="21" xfId="2" applyNumberFormat="1" applyFont="1" applyFill="1" applyBorder="1" applyAlignment="1">
      <alignment horizontal="left" vertical="top"/>
    </xf>
    <xf numFmtId="0" fontId="60" fillId="12" borderId="3" xfId="12" applyFont="1" applyFill="1" applyBorder="1" applyAlignment="1">
      <alignment horizontal="center"/>
    </xf>
    <xf numFmtId="0" fontId="45" fillId="12" borderId="3" xfId="12" applyFont="1" applyFill="1" applyBorder="1"/>
    <xf numFmtId="169" fontId="60" fillId="12" borderId="3" xfId="1" applyNumberFormat="1" applyFont="1" applyFill="1" applyBorder="1"/>
    <xf numFmtId="44" fontId="60" fillId="12" borderId="3" xfId="2" applyFont="1" applyFill="1" applyBorder="1"/>
    <xf numFmtId="164" fontId="45" fillId="12" borderId="3" xfId="2" applyNumberFormat="1" applyFont="1" applyFill="1" applyBorder="1"/>
    <xf numFmtId="0" fontId="60" fillId="12" borderId="3" xfId="12" applyFont="1" applyFill="1" applyBorder="1"/>
    <xf numFmtId="0" fontId="60" fillId="12" borderId="0" xfId="12" applyFont="1" applyFill="1"/>
    <xf numFmtId="0" fontId="60" fillId="12" borderId="3" xfId="12" applyFont="1" applyFill="1" applyBorder="1" applyAlignment="1">
      <alignment horizontal="center" vertical="top"/>
    </xf>
    <xf numFmtId="0" fontId="45" fillId="12" borderId="3" xfId="12" applyFont="1" applyFill="1" applyBorder="1" applyAlignment="1">
      <alignment horizontal="left" vertical="top"/>
    </xf>
    <xf numFmtId="169" fontId="60" fillId="12" borderId="3" xfId="1" applyNumberFormat="1" applyFont="1" applyFill="1" applyBorder="1" applyAlignment="1">
      <alignment horizontal="left" vertical="top"/>
    </xf>
    <xf numFmtId="42" fontId="60" fillId="12" borderId="3" xfId="2" applyNumberFormat="1" applyFont="1" applyFill="1" applyBorder="1" applyAlignment="1">
      <alignment horizontal="left" vertical="top"/>
    </xf>
    <xf numFmtId="42" fontId="45" fillId="12" borderId="3" xfId="2" applyNumberFormat="1" applyFont="1" applyFill="1" applyBorder="1" applyAlignment="1">
      <alignment horizontal="left" vertical="top"/>
    </xf>
    <xf numFmtId="0" fontId="60" fillId="12" borderId="3" xfId="12" applyFont="1" applyFill="1" applyBorder="1" applyAlignment="1">
      <alignment horizontal="left" vertical="top"/>
    </xf>
    <xf numFmtId="0" fontId="60" fillId="12" borderId="0" xfId="12" applyFont="1" applyFill="1" applyAlignment="1">
      <alignment horizontal="left" vertical="top"/>
    </xf>
    <xf numFmtId="0" fontId="60" fillId="12" borderId="21" xfId="12" applyFont="1" applyFill="1" applyBorder="1" applyAlignment="1">
      <alignment horizontal="left" vertical="top"/>
    </xf>
    <xf numFmtId="0" fontId="45" fillId="12" borderId="21" xfId="12" applyFont="1" applyFill="1" applyBorder="1" applyAlignment="1">
      <alignment horizontal="left" vertical="top"/>
    </xf>
    <xf numFmtId="1" fontId="60" fillId="12" borderId="21" xfId="1" applyNumberFormat="1" applyFont="1" applyFill="1" applyBorder="1" applyAlignment="1">
      <alignment horizontal="left" vertical="top"/>
    </xf>
    <xf numFmtId="42" fontId="60" fillId="12" borderId="21" xfId="2" applyNumberFormat="1" applyFont="1" applyFill="1" applyBorder="1" applyAlignment="1">
      <alignment horizontal="left" vertical="top"/>
    </xf>
    <xf numFmtId="42" fontId="45" fillId="12" borderId="21" xfId="2" applyNumberFormat="1" applyFont="1" applyFill="1" applyBorder="1" applyAlignment="1">
      <alignment horizontal="left" vertical="top"/>
    </xf>
    <xf numFmtId="44" fontId="60" fillId="12" borderId="3" xfId="2" applyFont="1" applyFill="1" applyBorder="1" applyAlignment="1">
      <alignment horizontal="left" vertical="top"/>
    </xf>
    <xf numFmtId="164" fontId="45" fillId="12" borderId="3" xfId="2" applyNumberFormat="1" applyFont="1" applyFill="1" applyBorder="1" applyAlignment="1">
      <alignment horizontal="left" vertical="top"/>
    </xf>
    <xf numFmtId="42" fontId="60" fillId="12" borderId="3" xfId="1" applyNumberFormat="1" applyFont="1" applyFill="1" applyBorder="1" applyAlignment="1">
      <alignment horizontal="left" vertical="top"/>
    </xf>
    <xf numFmtId="44" fontId="45" fillId="12" borderId="3" xfId="2" applyFont="1" applyFill="1" applyBorder="1" applyAlignment="1">
      <alignment horizontal="left" vertical="top"/>
    </xf>
    <xf numFmtId="164" fontId="60" fillId="12" borderId="3" xfId="2" applyNumberFormat="1" applyFont="1" applyFill="1" applyBorder="1" applyAlignment="1">
      <alignment horizontal="left" vertical="top"/>
    </xf>
    <xf numFmtId="0" fontId="60" fillId="2" borderId="0" xfId="12" applyFont="1" applyFill="1"/>
    <xf numFmtId="0" fontId="60" fillId="2" borderId="0" xfId="12" applyFont="1" applyFill="1" applyAlignment="1">
      <alignment horizontal="left" vertical="top"/>
    </xf>
    <xf numFmtId="5" fontId="41" fillId="0" borderId="60" xfId="2" applyNumberFormat="1" applyFont="1" applyBorder="1" applyAlignment="1">
      <alignment horizontal="center" vertical="top"/>
    </xf>
    <xf numFmtId="5" fontId="41" fillId="10" borderId="12" xfId="2" applyNumberFormat="1" applyFont="1" applyFill="1" applyBorder="1" applyAlignment="1">
      <alignment horizontal="center" vertical="top"/>
    </xf>
    <xf numFmtId="5" fontId="45" fillId="12" borderId="3" xfId="2" applyNumberFormat="1" applyFont="1" applyFill="1" applyBorder="1" applyAlignment="1">
      <alignment horizontal="center" vertical="top"/>
    </xf>
    <xf numFmtId="5" fontId="45" fillId="12" borderId="21" xfId="2" applyNumberFormat="1" applyFont="1" applyFill="1" applyBorder="1" applyAlignment="1">
      <alignment horizontal="center" vertical="top"/>
    </xf>
    <xf numFmtId="171" fontId="0" fillId="2" borderId="0" xfId="0" applyNumberFormat="1" applyFill="1"/>
    <xf numFmtId="168" fontId="0" fillId="2" borderId="0" xfId="0" applyNumberFormat="1" applyFill="1"/>
    <xf numFmtId="168" fontId="45" fillId="12" borderId="3" xfId="2" applyNumberFormat="1" applyFont="1" applyFill="1" applyBorder="1" applyAlignment="1">
      <alignment horizontal="center"/>
    </xf>
    <xf numFmtId="168" fontId="45" fillId="12" borderId="21" xfId="2" applyNumberFormat="1" applyFont="1" applyFill="1" applyBorder="1" applyAlignment="1">
      <alignment horizontal="center" vertical="top"/>
    </xf>
    <xf numFmtId="5" fontId="36" fillId="2" borderId="22" xfId="0" applyNumberFormat="1" applyFont="1" applyFill="1" applyBorder="1" applyAlignment="1">
      <alignment horizontal="right"/>
    </xf>
    <xf numFmtId="5" fontId="36" fillId="2" borderId="23" xfId="0" applyNumberFormat="1" applyFont="1" applyFill="1" applyBorder="1" applyAlignment="1">
      <alignment horizontal="right"/>
    </xf>
    <xf numFmtId="5" fontId="36" fillId="2" borderId="24" xfId="0" applyNumberFormat="1" applyFont="1" applyFill="1" applyBorder="1" applyAlignment="1">
      <alignment horizontal="right"/>
    </xf>
    <xf numFmtId="171" fontId="36" fillId="2" borderId="52" xfId="0" applyNumberFormat="1" applyFont="1" applyFill="1" applyBorder="1" applyAlignment="1">
      <alignment horizontal="right"/>
    </xf>
    <xf numFmtId="168" fontId="36" fillId="2" borderId="52" xfId="0" applyNumberFormat="1" applyFont="1" applyFill="1" applyBorder="1" applyAlignment="1">
      <alignment horizontal="right"/>
    </xf>
    <xf numFmtId="168" fontId="45" fillId="12" borderId="3" xfId="2" applyNumberFormat="1" applyFont="1" applyFill="1" applyBorder="1" applyAlignment="1">
      <alignment horizontal="center" vertical="top"/>
    </xf>
    <xf numFmtId="164" fontId="65" fillId="12" borderId="21" xfId="2" applyNumberFormat="1" applyFont="1" applyFill="1" applyBorder="1" applyAlignment="1">
      <alignment horizontal="left" vertical="top"/>
    </xf>
    <xf numFmtId="44" fontId="20" fillId="12" borderId="21" xfId="2" applyFont="1" applyFill="1" applyBorder="1" applyAlignment="1">
      <alignment horizontal="left" vertical="top"/>
    </xf>
    <xf numFmtId="0" fontId="65" fillId="12" borderId="52" xfId="12" applyFont="1" applyFill="1" applyBorder="1" applyAlignment="1">
      <alignment horizontal="left" vertical="top"/>
    </xf>
    <xf numFmtId="0" fontId="20" fillId="12" borderId="52" xfId="12" applyFont="1" applyFill="1" applyBorder="1" applyAlignment="1">
      <alignment horizontal="left" vertical="top"/>
    </xf>
    <xf numFmtId="1" fontId="65" fillId="12" borderId="52" xfId="1" applyNumberFormat="1" applyFont="1" applyFill="1" applyBorder="1" applyAlignment="1">
      <alignment horizontal="left" vertical="top"/>
    </xf>
    <xf numFmtId="164" fontId="65" fillId="12" borderId="52" xfId="2" applyNumberFormat="1" applyFont="1" applyFill="1" applyBorder="1" applyAlignment="1">
      <alignment horizontal="left" vertical="top"/>
    </xf>
    <xf numFmtId="44" fontId="20" fillId="12" borderId="52" xfId="2" applyFont="1" applyFill="1" applyBorder="1" applyAlignment="1">
      <alignment horizontal="left" vertical="top"/>
    </xf>
    <xf numFmtId="0" fontId="65" fillId="12" borderId="67" xfId="12" applyFont="1" applyFill="1" applyBorder="1" applyAlignment="1">
      <alignment horizontal="left" vertical="top"/>
    </xf>
    <xf numFmtId="0" fontId="20" fillId="12" borderId="67" xfId="12" applyFont="1" applyFill="1" applyBorder="1" applyAlignment="1">
      <alignment horizontal="left" vertical="top"/>
    </xf>
    <xf numFmtId="1" fontId="65" fillId="12" borderId="67" xfId="1" applyNumberFormat="1" applyFont="1" applyFill="1" applyBorder="1" applyAlignment="1">
      <alignment horizontal="left" vertical="top"/>
    </xf>
    <xf numFmtId="164" fontId="65" fillId="12" borderId="67" xfId="2" applyNumberFormat="1" applyFont="1" applyFill="1" applyBorder="1" applyAlignment="1">
      <alignment horizontal="left" vertical="top"/>
    </xf>
    <xf numFmtId="164" fontId="20" fillId="12" borderId="0" xfId="12" applyNumberFormat="1" applyFont="1" applyFill="1" applyAlignment="1">
      <alignment horizontal="left" vertical="top"/>
    </xf>
    <xf numFmtId="164" fontId="20" fillId="12" borderId="67" xfId="2" applyNumberFormat="1" applyFont="1" applyFill="1" applyBorder="1" applyAlignment="1">
      <alignment horizontal="left" vertical="top"/>
    </xf>
    <xf numFmtId="44" fontId="20" fillId="12" borderId="67" xfId="2" applyFont="1" applyFill="1" applyBorder="1" applyAlignment="1">
      <alignment horizontal="left" vertical="top"/>
    </xf>
    <xf numFmtId="0" fontId="65" fillId="12" borderId="66" xfId="12" applyFont="1" applyFill="1" applyBorder="1" applyAlignment="1">
      <alignment horizontal="left" vertical="top"/>
    </xf>
    <xf numFmtId="0" fontId="20" fillId="12" borderId="66" xfId="12" applyFont="1" applyFill="1" applyBorder="1" applyAlignment="1">
      <alignment horizontal="left" vertical="top"/>
    </xf>
    <xf numFmtId="1" fontId="65" fillId="12" borderId="66" xfId="1" applyNumberFormat="1" applyFont="1" applyFill="1" applyBorder="1" applyAlignment="1">
      <alignment horizontal="left" vertical="top"/>
    </xf>
    <xf numFmtId="44" fontId="65" fillId="12" borderId="66" xfId="2" applyFont="1" applyFill="1" applyBorder="1" applyAlignment="1">
      <alignment horizontal="left" vertical="top"/>
    </xf>
    <xf numFmtId="164" fontId="20" fillId="12" borderId="66" xfId="2" applyNumberFormat="1" applyFont="1" applyFill="1" applyBorder="1" applyAlignment="1">
      <alignment horizontal="left" vertical="top"/>
    </xf>
    <xf numFmtId="42" fontId="65" fillId="12" borderId="67" xfId="2" applyNumberFormat="1" applyFont="1" applyFill="1" applyBorder="1" applyAlignment="1">
      <alignment horizontal="left" vertical="top"/>
    </xf>
    <xf numFmtId="42" fontId="20" fillId="12" borderId="0" xfId="12" applyNumberFormat="1" applyFont="1" applyFill="1" applyAlignment="1">
      <alignment horizontal="left" vertical="top"/>
    </xf>
    <xf numFmtId="42" fontId="20" fillId="12" borderId="67" xfId="2" applyNumberFormat="1" applyFont="1" applyFill="1" applyBorder="1" applyAlignment="1">
      <alignment horizontal="left" vertical="top"/>
    </xf>
    <xf numFmtId="37" fontId="48" fillId="2" borderId="4" xfId="11" applyFont="1" applyFill="1" applyBorder="1" applyAlignment="1" applyProtection="1">
      <alignment horizontal="right" vertical="center"/>
      <protection locked="0"/>
    </xf>
    <xf numFmtId="171" fontId="0" fillId="0" borderId="0" xfId="0" applyNumberFormat="1"/>
    <xf numFmtId="0" fontId="34" fillId="2" borderId="0" xfId="0" quotePrefix="1" applyFont="1" applyFill="1" applyAlignment="1">
      <alignment horizontal="center"/>
    </xf>
    <xf numFmtId="171" fontId="44" fillId="2" borderId="50" xfId="9" applyNumberFormat="1" applyFont="1" applyFill="1" applyBorder="1" applyAlignment="1" applyProtection="1">
      <alignment horizontal="center" vertical="center"/>
      <protection locked="0"/>
    </xf>
    <xf numFmtId="5" fontId="43" fillId="8" borderId="58" xfId="10" applyNumberFormat="1" applyFont="1" applyFill="1" applyBorder="1" applyAlignment="1">
      <alignment horizontal="center" vertical="center"/>
    </xf>
    <xf numFmtId="171" fontId="44" fillId="2" borderId="59" xfId="9" applyNumberFormat="1" applyFont="1" applyFill="1" applyBorder="1" applyAlignment="1" applyProtection="1">
      <alignment horizontal="center" vertical="center"/>
      <protection locked="0"/>
    </xf>
    <xf numFmtId="171" fontId="45" fillId="4" borderId="3" xfId="9" applyNumberFormat="1" applyFont="1" applyFill="1" applyBorder="1" applyAlignment="1" applyProtection="1">
      <alignment horizontal="center" vertical="center"/>
      <protection locked="0"/>
    </xf>
    <xf numFmtId="3" fontId="31" fillId="2" borderId="0" xfId="0" applyNumberFormat="1" applyFont="1" applyFill="1" applyAlignment="1">
      <alignment horizontal="left"/>
    </xf>
    <xf numFmtId="37" fontId="68" fillId="2" borderId="4" xfId="11" applyFont="1" applyFill="1" applyBorder="1" applyAlignment="1" applyProtection="1">
      <alignment horizontal="left" vertical="center" wrapText="1" indent="1"/>
      <protection locked="0"/>
    </xf>
    <xf numFmtId="37" fontId="69" fillId="7" borderId="4" xfId="11" applyFont="1" applyFill="1" applyBorder="1" applyAlignment="1" applyProtection="1">
      <alignment vertical="center"/>
      <protection locked="0"/>
    </xf>
    <xf numFmtId="37" fontId="68" fillId="7" borderId="4" xfId="11" applyFont="1" applyFill="1" applyBorder="1" applyAlignment="1" applyProtection="1">
      <alignment vertical="center"/>
      <protection locked="0"/>
    </xf>
    <xf numFmtId="37" fontId="68" fillId="7" borderId="4" xfId="11" applyFont="1" applyFill="1" applyBorder="1" applyAlignment="1" applyProtection="1">
      <alignment horizontal="center" vertical="center"/>
      <protection locked="0"/>
    </xf>
    <xf numFmtId="44" fontId="68" fillId="7" borderId="4" xfId="8" applyFont="1" applyFill="1" applyBorder="1" applyAlignment="1" applyProtection="1">
      <alignment vertical="center"/>
      <protection locked="0"/>
    </xf>
    <xf numFmtId="164" fontId="68" fillId="7" borderId="4" xfId="8" applyNumberFormat="1" applyFont="1" applyFill="1" applyBorder="1" applyAlignment="1" applyProtection="1">
      <alignment horizontal="right" vertical="center"/>
    </xf>
    <xf numFmtId="37" fontId="69" fillId="7" borderId="4" xfId="11" applyFont="1" applyFill="1" applyBorder="1" applyAlignment="1" applyProtection="1">
      <alignment horizontal="center" vertical="center"/>
      <protection locked="0"/>
    </xf>
    <xf numFmtId="44" fontId="69" fillId="7" borderId="4" xfId="8" applyFont="1" applyFill="1" applyBorder="1" applyAlignment="1" applyProtection="1">
      <alignment vertical="center"/>
      <protection locked="0"/>
    </xf>
    <xf numFmtId="164" fontId="69" fillId="2" borderId="4" xfId="8" applyNumberFormat="1" applyFont="1" applyFill="1" applyBorder="1" applyAlignment="1" applyProtection="1">
      <alignment horizontal="right" vertical="center"/>
    </xf>
    <xf numFmtId="164" fontId="41" fillId="0" borderId="0" xfId="2" applyNumberFormat="1" applyFont="1" applyBorder="1" applyAlignment="1">
      <alignment horizontal="left" vertical="top"/>
    </xf>
    <xf numFmtId="164" fontId="41" fillId="0" borderId="67" xfId="2" applyNumberFormat="1" applyFont="1" applyBorder="1" applyAlignment="1">
      <alignment horizontal="left" vertical="top"/>
    </xf>
    <xf numFmtId="7" fontId="6" fillId="2" borderId="0" xfId="0" applyNumberFormat="1" applyFont="1" applyFill="1"/>
    <xf numFmtId="0" fontId="33" fillId="2" borderId="0" xfId="0" applyFont="1" applyFill="1" applyAlignment="1">
      <alignment vertical="center" wrapText="1"/>
    </xf>
    <xf numFmtId="0" fontId="33" fillId="2" borderId="0" xfId="0" applyFont="1" applyFill="1"/>
    <xf numFmtId="7" fontId="0" fillId="2" borderId="0" xfId="0" applyNumberFormat="1" applyFill="1"/>
    <xf numFmtId="7" fontId="11" fillId="2" borderId="0" xfId="0" applyNumberFormat="1" applyFont="1" applyFill="1"/>
    <xf numFmtId="37" fontId="48" fillId="11" borderId="4" xfId="11" applyFont="1" applyFill="1" applyBorder="1" applyAlignment="1" applyProtection="1">
      <alignment vertical="center"/>
      <protection locked="0"/>
    </xf>
    <xf numFmtId="44" fontId="41" fillId="0" borderId="4" xfId="2" applyFont="1" applyBorder="1" applyAlignment="1">
      <alignment horizontal="center" vertical="top"/>
    </xf>
    <xf numFmtId="3" fontId="41" fillId="0" borderId="52" xfId="1" quotePrefix="1" applyNumberFormat="1" applyFont="1" applyBorder="1" applyAlignment="1">
      <alignment horizontal="center" vertical="top"/>
    </xf>
    <xf numFmtId="37" fontId="69" fillId="2" borderId="4" xfId="11" quotePrefix="1" applyFont="1" applyFill="1" applyBorder="1" applyAlignment="1" applyProtection="1">
      <alignment vertical="center"/>
      <protection locked="0"/>
    </xf>
    <xf numFmtId="44" fontId="51" fillId="9" borderId="3" xfId="8" applyFont="1" applyFill="1" applyBorder="1" applyAlignment="1" applyProtection="1">
      <alignment horizontal="center" vertical="top" wrapText="1"/>
    </xf>
    <xf numFmtId="0" fontId="18" fillId="0" borderId="52" xfId="12" applyFont="1" applyBorder="1" applyAlignment="1">
      <alignment vertical="top" wrapText="1"/>
    </xf>
    <xf numFmtId="1" fontId="41" fillId="0" borderId="52" xfId="1" quotePrefix="1" applyNumberFormat="1" applyFont="1" applyFill="1" applyBorder="1" applyAlignment="1">
      <alignment horizontal="center"/>
    </xf>
    <xf numFmtId="0" fontId="66" fillId="0" borderId="60" xfId="12" applyFont="1" applyBorder="1"/>
    <xf numFmtId="0" fontId="36" fillId="2" borderId="0" xfId="0" applyFont="1" applyFill="1" applyAlignment="1">
      <alignment horizontal="right"/>
    </xf>
    <xf numFmtId="37" fontId="48" fillId="11" borderId="4" xfId="11" applyFont="1" applyFill="1" applyBorder="1" applyAlignment="1" applyProtection="1">
      <alignment vertical="top"/>
      <protection locked="0"/>
    </xf>
    <xf numFmtId="37" fontId="48" fillId="11" borderId="4" xfId="11" applyFont="1" applyFill="1" applyBorder="1" applyAlignment="1" applyProtection="1">
      <alignment horizontal="center" vertical="top"/>
      <protection locked="0"/>
    </xf>
    <xf numFmtId="44" fontId="48" fillId="11" borderId="4" xfId="8" applyFont="1" applyFill="1" applyBorder="1" applyAlignment="1" applyProtection="1">
      <alignment vertical="top"/>
      <protection locked="0"/>
    </xf>
    <xf numFmtId="6" fontId="48" fillId="2" borderId="4" xfId="8" applyNumberFormat="1" applyFont="1" applyFill="1" applyBorder="1" applyAlignment="1" applyProtection="1">
      <alignment vertical="center"/>
      <protection locked="0"/>
    </xf>
    <xf numFmtId="37" fontId="69" fillId="2" borderId="4" xfId="11" applyFont="1" applyFill="1" applyBorder="1" applyAlignment="1" applyProtection="1">
      <alignment horizontal="left" vertical="center"/>
      <protection locked="0"/>
    </xf>
    <xf numFmtId="0" fontId="43" fillId="13" borderId="48" xfId="10" quotePrefix="1" applyFont="1" applyFill="1" applyBorder="1" applyAlignment="1">
      <alignment horizontal="center" vertical="center"/>
    </xf>
    <xf numFmtId="0" fontId="43" fillId="14" borderId="49" xfId="10" applyFont="1" applyFill="1" applyBorder="1" applyAlignment="1">
      <alignment vertical="center"/>
    </xf>
    <xf numFmtId="5" fontId="43" fillId="13" borderId="56" xfId="10" applyNumberFormat="1" applyFont="1" applyFill="1" applyBorder="1" applyAlignment="1">
      <alignment horizontal="center" vertical="center"/>
    </xf>
    <xf numFmtId="171" fontId="44" fillId="14" borderId="50" xfId="9" applyNumberFormat="1" applyFont="1" applyFill="1" applyBorder="1" applyAlignment="1" applyProtection="1">
      <alignment horizontal="center" vertical="center"/>
      <protection locked="0"/>
    </xf>
    <xf numFmtId="37" fontId="43" fillId="13" borderId="48" xfId="10" quotePrefix="1" applyNumberFormat="1" applyFont="1" applyFill="1" applyBorder="1" applyAlignment="1">
      <alignment horizontal="center" vertical="center"/>
    </xf>
    <xf numFmtId="0" fontId="43" fillId="14" borderId="51" xfId="10" applyFont="1" applyFill="1" applyBorder="1" applyAlignment="1">
      <alignment vertical="center"/>
    </xf>
    <xf numFmtId="37" fontId="68" fillId="2" borderId="4" xfId="11" applyFont="1" applyFill="1" applyBorder="1" applyAlignment="1" applyProtection="1">
      <alignment horizontal="left" vertical="center" indent="1"/>
      <protection locked="0"/>
    </xf>
    <xf numFmtId="37" fontId="48" fillId="0" borderId="4" xfId="11" applyFont="1" applyBorder="1" applyAlignment="1" applyProtection="1">
      <alignment horizontal="left" vertical="center" indent="1"/>
      <protection locked="0"/>
    </xf>
    <xf numFmtId="37" fontId="48" fillId="0" borderId="4" xfId="11" applyFont="1" applyBorder="1" applyAlignment="1" applyProtection="1">
      <alignment vertical="center"/>
      <protection locked="0"/>
    </xf>
    <xf numFmtId="37" fontId="48" fillId="0" borderId="4" xfId="11" applyFont="1" applyBorder="1" applyAlignment="1" applyProtection="1">
      <alignment horizontal="center" vertical="center"/>
      <protection locked="0"/>
    </xf>
    <xf numFmtId="44" fontId="48" fillId="0" borderId="4" xfId="8" applyFont="1" applyFill="1" applyBorder="1" applyAlignment="1" applyProtection="1">
      <alignment vertical="center"/>
      <protection locked="0"/>
    </xf>
    <xf numFmtId="164" fontId="48" fillId="0" borderId="4" xfId="8" applyNumberFormat="1" applyFont="1" applyFill="1" applyBorder="1" applyAlignment="1" applyProtection="1">
      <alignment horizontal="right" vertical="center"/>
    </xf>
    <xf numFmtId="5" fontId="48" fillId="0" borderId="40" xfId="11" applyNumberFormat="1" applyFont="1" applyBorder="1" applyAlignment="1">
      <alignment horizontal="left" vertical="center"/>
    </xf>
    <xf numFmtId="37" fontId="48" fillId="2" borderId="25" xfId="11" applyFont="1" applyFill="1" applyBorder="1" applyAlignment="1" applyProtection="1">
      <alignment vertical="center"/>
      <protection locked="0"/>
    </xf>
    <xf numFmtId="37" fontId="48" fillId="2" borderId="40" xfId="11" applyFont="1" applyFill="1" applyBorder="1" applyAlignment="1" applyProtection="1">
      <alignment vertical="center"/>
      <protection locked="0"/>
    </xf>
    <xf numFmtId="0" fontId="0" fillId="2" borderId="4" xfId="0" applyFill="1" applyBorder="1"/>
    <xf numFmtId="37" fontId="47" fillId="0" borderId="4" xfId="11" applyFont="1" applyBorder="1" applyAlignment="1" applyProtection="1">
      <alignment vertical="center"/>
      <protection locked="0"/>
    </xf>
    <xf numFmtId="37" fontId="47" fillId="0" borderId="4" xfId="11" applyFont="1" applyBorder="1" applyAlignment="1" applyProtection="1">
      <alignment horizontal="center" vertical="center"/>
      <protection locked="0"/>
    </xf>
    <xf numFmtId="44" fontId="47" fillId="0" borderId="4" xfId="8" applyFont="1" applyFill="1" applyBorder="1" applyAlignment="1" applyProtection="1">
      <alignment vertical="center"/>
      <protection locked="0"/>
    </xf>
    <xf numFmtId="37" fontId="43" fillId="14" borderId="48" xfId="10" quotePrefix="1" applyNumberFormat="1" applyFont="1" applyFill="1" applyBorder="1" applyAlignment="1">
      <alignment horizontal="center" vertical="center"/>
    </xf>
    <xf numFmtId="5" fontId="43" fillId="14" borderId="56" xfId="10" applyNumberFormat="1" applyFont="1" applyFill="1" applyBorder="1" applyAlignment="1">
      <alignment horizontal="center" vertical="center"/>
    </xf>
    <xf numFmtId="0" fontId="43" fillId="13" borderId="49" xfId="10" applyFont="1" applyFill="1" applyBorder="1" applyAlignment="1">
      <alignment vertical="center"/>
    </xf>
    <xf numFmtId="5" fontId="43" fillId="13" borderId="55" xfId="10" applyNumberFormat="1" applyFont="1" applyFill="1" applyBorder="1" applyAlignment="1">
      <alignment horizontal="center" vertical="center"/>
    </xf>
    <xf numFmtId="37" fontId="69" fillId="7" borderId="4" xfId="11" quotePrefix="1" applyFont="1" applyFill="1" applyBorder="1" applyAlignment="1" applyProtection="1">
      <alignment vertical="center"/>
      <protection locked="0"/>
    </xf>
    <xf numFmtId="37" fontId="48" fillId="2" borderId="4" xfId="11" applyFont="1" applyFill="1" applyBorder="1" applyAlignment="1" applyProtection="1">
      <alignment horizontal="left" vertical="top" wrapText="1"/>
      <protection locked="0"/>
    </xf>
    <xf numFmtId="49" fontId="69" fillId="2" borderId="4" xfId="11" applyNumberFormat="1" applyFont="1" applyFill="1" applyBorder="1" applyAlignment="1" applyProtection="1">
      <alignment horizontal="left" vertical="center"/>
      <protection locked="0"/>
    </xf>
    <xf numFmtId="37" fontId="68" fillId="2" borderId="4" xfId="11" applyFont="1" applyFill="1" applyBorder="1" applyAlignment="1" applyProtection="1">
      <alignment horizontal="left" vertical="center"/>
      <protection locked="0"/>
    </xf>
    <xf numFmtId="0" fontId="32" fillId="2" borderId="0" xfId="0" applyFont="1" applyFill="1" applyAlignment="1">
      <alignment horizontal="center" vertical="center" wrapText="1"/>
    </xf>
    <xf numFmtId="0" fontId="31" fillId="2" borderId="0" xfId="0" applyFont="1" applyFill="1" applyAlignment="1">
      <alignment horizontal="center"/>
    </xf>
    <xf numFmtId="0" fontId="31" fillId="2" borderId="0" xfId="0" applyFont="1" applyFill="1"/>
    <xf numFmtId="0" fontId="31" fillId="2" borderId="28" xfId="0" applyFont="1" applyFill="1" applyBorder="1" applyAlignment="1">
      <alignment horizontal="center" vertical="center" wrapText="1"/>
    </xf>
    <xf numFmtId="0" fontId="31" fillId="2" borderId="28" xfId="0" applyFont="1" applyFill="1" applyBorder="1"/>
    <xf numFmtId="0" fontId="31" fillId="2" borderId="33" xfId="0" applyFont="1" applyFill="1" applyBorder="1" applyAlignment="1">
      <alignment horizontal="center" vertical="center" wrapText="1"/>
    </xf>
    <xf numFmtId="0" fontId="31" fillId="2" borderId="33" xfId="0" applyFont="1" applyFill="1" applyBorder="1"/>
    <xf numFmtId="0" fontId="67" fillId="2" borderId="0" xfId="0" applyFont="1" applyFill="1" applyAlignment="1">
      <alignment horizontal="left"/>
    </xf>
    <xf numFmtId="15" fontId="67" fillId="2" borderId="0" xfId="0" applyNumberFormat="1" applyFont="1" applyFill="1" applyAlignment="1">
      <alignment horizontal="left" vertical="center" wrapText="1"/>
    </xf>
    <xf numFmtId="0" fontId="33" fillId="2" borderId="0" xfId="0" applyFont="1" applyFill="1" applyAlignment="1">
      <alignment horizontal="left" vertical="center" wrapText="1"/>
    </xf>
    <xf numFmtId="0" fontId="33" fillId="2" borderId="0" xfId="0" applyFont="1" applyFill="1" applyAlignment="1">
      <alignment horizontal="left"/>
    </xf>
    <xf numFmtId="0" fontId="30" fillId="2" borderId="0" xfId="0" applyFont="1" applyFill="1" applyAlignment="1">
      <alignment horizontal="left" vertical="center" wrapText="1"/>
    </xf>
    <xf numFmtId="0" fontId="31" fillId="2" borderId="0" xfId="0" applyFont="1" applyFill="1" applyAlignment="1">
      <alignment horizontal="left"/>
    </xf>
    <xf numFmtId="15" fontId="33" fillId="2" borderId="0" xfId="0" applyNumberFormat="1" applyFont="1" applyFill="1" applyAlignment="1">
      <alignment horizontal="left" vertical="center" wrapText="1"/>
    </xf>
    <xf numFmtId="0" fontId="30" fillId="2" borderId="0" xfId="0" applyFont="1" applyFill="1" applyAlignment="1">
      <alignment horizontal="center" vertical="center" wrapText="1"/>
    </xf>
    <xf numFmtId="0" fontId="0" fillId="2" borderId="72" xfId="0" applyFill="1" applyBorder="1" applyAlignment="1">
      <alignment horizontal="center" wrapText="1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24" fillId="5" borderId="5" xfId="0" applyFont="1" applyFill="1" applyBorder="1" applyAlignment="1">
      <alignment horizontal="left" shrinkToFit="1"/>
    </xf>
    <xf numFmtId="0" fontId="24" fillId="5" borderId="6" xfId="0" applyFont="1" applyFill="1" applyBorder="1" applyAlignment="1">
      <alignment horizontal="left" shrinkToFit="1"/>
    </xf>
    <xf numFmtId="0" fontId="15" fillId="4" borderId="20" xfId="0" applyFont="1" applyFill="1" applyBorder="1" applyAlignment="1">
      <alignment horizontal="center" vertical="top" wrapText="1"/>
    </xf>
    <xf numFmtId="0" fontId="15" fillId="4" borderId="21" xfId="0" applyFont="1" applyFill="1" applyBorder="1" applyAlignment="1">
      <alignment horizontal="center" vertical="top" wrapText="1"/>
    </xf>
    <xf numFmtId="0" fontId="15" fillId="4" borderId="5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top"/>
    </xf>
    <xf numFmtId="0" fontId="15" fillId="4" borderId="21" xfId="0" applyFont="1" applyFill="1" applyBorder="1" applyAlignment="1">
      <alignment horizontal="center" vertical="top"/>
    </xf>
    <xf numFmtId="0" fontId="15" fillId="4" borderId="2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164" fontId="15" fillId="4" borderId="5" xfId="2" applyNumberFormat="1" applyFont="1" applyFill="1" applyBorder="1" applyAlignment="1">
      <alignment horizontal="left" indent="1"/>
    </xf>
    <xf numFmtId="164" fontId="15" fillId="4" borderId="6" xfId="2" applyNumberFormat="1" applyFont="1" applyFill="1" applyBorder="1" applyAlignment="1">
      <alignment horizontal="left" indent="1"/>
    </xf>
    <xf numFmtId="0" fontId="27" fillId="4" borderId="29" xfId="0" applyFont="1" applyFill="1" applyBorder="1" applyAlignment="1">
      <alignment horizontal="center"/>
    </xf>
    <xf numFmtId="0" fontId="27" fillId="4" borderId="30" xfId="0" applyFont="1" applyFill="1" applyBorder="1" applyAlignment="1">
      <alignment horizontal="center"/>
    </xf>
    <xf numFmtId="0" fontId="27" fillId="4" borderId="31" xfId="0" applyFont="1" applyFill="1" applyBorder="1" applyAlignment="1">
      <alignment horizontal="center"/>
    </xf>
    <xf numFmtId="0" fontId="16" fillId="4" borderId="29" xfId="0" applyFont="1" applyFill="1" applyBorder="1" applyAlignment="1">
      <alignment horizontal="center"/>
    </xf>
    <xf numFmtId="0" fontId="16" fillId="4" borderId="30" xfId="0" applyFont="1" applyFill="1" applyBorder="1" applyAlignment="1">
      <alignment horizontal="center"/>
    </xf>
    <xf numFmtId="0" fontId="16" fillId="4" borderId="31" xfId="0" applyFont="1" applyFill="1" applyBorder="1" applyAlignment="1">
      <alignment horizontal="center"/>
    </xf>
    <xf numFmtId="0" fontId="21" fillId="4" borderId="5" xfId="0" applyFont="1" applyFill="1" applyBorder="1" applyAlignment="1">
      <alignment horizontal="center"/>
    </xf>
    <xf numFmtId="0" fontId="21" fillId="4" borderId="12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/>
    </xf>
    <xf numFmtId="0" fontId="31" fillId="2" borderId="0" xfId="0" applyFont="1" applyFill="1" applyAlignment="1">
      <alignment horizontal="left" vertical="center" wrapText="1"/>
    </xf>
    <xf numFmtId="15" fontId="31" fillId="2" borderId="0" xfId="0" applyNumberFormat="1" applyFont="1" applyFill="1" applyAlignment="1">
      <alignment horizontal="left" vertical="center" wrapText="1"/>
    </xf>
    <xf numFmtId="5" fontId="70" fillId="8" borderId="56" xfId="10" applyNumberFormat="1" applyFont="1" applyFill="1" applyBorder="1" applyAlignment="1">
      <alignment horizontal="left" vertical="center"/>
    </xf>
    <xf numFmtId="0" fontId="43" fillId="11" borderId="49" xfId="10" applyFont="1" applyFill="1" applyBorder="1" applyAlignment="1">
      <alignment vertical="center"/>
    </xf>
    <xf numFmtId="37" fontId="43" fillId="11" borderId="49" xfId="10" applyNumberFormat="1" applyFont="1" applyFill="1" applyBorder="1" applyAlignment="1">
      <alignment vertical="center"/>
    </xf>
    <xf numFmtId="5" fontId="69" fillId="7" borderId="40" xfId="11" applyNumberFormat="1" applyFont="1" applyFill="1" applyBorder="1" applyAlignment="1">
      <alignment horizontal="left" vertical="center"/>
    </xf>
    <xf numFmtId="44" fontId="48" fillId="2" borderId="4" xfId="8" applyFont="1" applyFill="1" applyBorder="1" applyAlignment="1" applyProtection="1">
      <alignment vertical="top"/>
    </xf>
    <xf numFmtId="5" fontId="48" fillId="2" borderId="40" xfId="11" applyNumberFormat="1" applyFont="1" applyFill="1" applyBorder="1" applyAlignment="1">
      <alignment horizontal="left" vertical="top" wrapText="1"/>
    </xf>
    <xf numFmtId="5" fontId="43" fillId="13" borderId="57" xfId="10" applyNumberFormat="1" applyFont="1" applyFill="1" applyBorder="1" applyAlignment="1">
      <alignment horizontal="center" vertical="center"/>
    </xf>
    <xf numFmtId="0" fontId="71" fillId="2" borderId="0" xfId="0" applyFont="1" applyFill="1"/>
    <xf numFmtId="168" fontId="36" fillId="0" borderId="52" xfId="0" applyNumberFormat="1" applyFont="1" applyFill="1" applyBorder="1" applyAlignment="1">
      <alignment horizontal="right" indent="1"/>
    </xf>
    <xf numFmtId="5" fontId="36" fillId="0" borderId="52" xfId="0" applyNumberFormat="1" applyFont="1" applyFill="1" applyBorder="1" applyAlignment="1">
      <alignment horizontal="right"/>
    </xf>
    <xf numFmtId="5" fontId="32" fillId="2" borderId="60" xfId="0" applyNumberFormat="1" applyFont="1" applyFill="1" applyBorder="1"/>
    <xf numFmtId="5" fontId="32" fillId="2" borderId="70" xfId="0" applyNumberFormat="1" applyFont="1" applyFill="1" applyBorder="1"/>
    <xf numFmtId="5" fontId="32" fillId="2" borderId="27" xfId="0" applyNumberFormat="1" applyFont="1" applyFill="1" applyBorder="1"/>
    <xf numFmtId="5" fontId="32" fillId="2" borderId="71" xfId="0" applyNumberFormat="1" applyFont="1" applyFill="1" applyBorder="1"/>
  </cellXfs>
  <cellStyles count="13">
    <cellStyle name="Comma" xfId="1" builtinId="3"/>
    <cellStyle name="Comma 2" xfId="6" xr:uid="{BF3DC54D-A178-49FB-A196-3A5A65263516}"/>
    <cellStyle name="Currency" xfId="2" builtinId="4"/>
    <cellStyle name="Currency 2" xfId="8" xr:uid="{76C350BD-4C1E-479E-9B70-FF5A32EBF5E3}"/>
    <cellStyle name="Normal" xfId="0" builtinId="0"/>
    <cellStyle name="Normal 2" xfId="4" xr:uid="{00000000-0005-0000-0000-000003000000}"/>
    <cellStyle name="Normal 3" xfId="5" xr:uid="{090AB61C-EFA5-4749-8F32-765E35B87390}"/>
    <cellStyle name="Normal 5" xfId="9" xr:uid="{220391C1-1B16-4A39-88C9-6723C619522B}"/>
    <cellStyle name="Normal_Apple ICE Template" xfId="11" xr:uid="{CE69E2DC-1D99-4BDB-A636-EE8500AD9853}"/>
    <cellStyle name="Normal_FFE-Schedule of Values" xfId="12" xr:uid="{4A4E2949-07DB-475D-A87D-DFF7FE0523D1}"/>
    <cellStyle name="Normal_MASTER BID  FORM" xfId="10" xr:uid="{4930FA9B-1232-4875-8C84-61F1C5E382D2}"/>
    <cellStyle name="Percent" xfId="3" builtinId="5"/>
    <cellStyle name="Percent 2" xfId="7" xr:uid="{E2E647BD-7EBC-488A-AFC0-F6B2FDB04B58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865011</xdr:colOff>
      <xdr:row>437</xdr:row>
      <xdr:rowOff>28618</xdr:rowOff>
    </xdr:from>
    <xdr:ext cx="527114" cy="25769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40DEE2-6F99-4CCD-ADCA-776B9E4FA9CC}"/>
            </a:ext>
          </a:extLst>
        </xdr:cNvPr>
        <xdr:cNvSpPr txBox="1"/>
      </xdr:nvSpPr>
      <xdr:spPr>
        <a:xfrm>
          <a:off x="5827536" y="59759893"/>
          <a:ext cx="527114" cy="257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 i="1">
            <a:latin typeface="Cambria Math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114300</xdr:rowOff>
    </xdr:to>
    <xdr:sp macro="" textlink="">
      <xdr:nvSpPr>
        <xdr:cNvPr id="2" name="AutoShape 1" descr="Image result for live nation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841560</xdr:colOff>
      <xdr:row>1</xdr:row>
      <xdr:rowOff>75407</xdr:rowOff>
    </xdr:from>
    <xdr:to>
      <xdr:col>6</xdr:col>
      <xdr:colOff>86697</xdr:colOff>
      <xdr:row>6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623" y="146845"/>
          <a:ext cx="4752969" cy="8770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114300</xdr:rowOff>
    </xdr:to>
    <xdr:sp macro="" textlink="">
      <xdr:nvSpPr>
        <xdr:cNvPr id="4097" name="AutoShape 1" descr="Image result for live nation logo">
          <a:extLst>
            <a:ext uri="{FF2B5EF4-FFF2-40B4-BE49-F238E27FC236}">
              <a16:creationId xmlns:a16="http://schemas.microsoft.com/office/drawing/2014/main" id="{00000000-0008-0000-01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EC9D-456D-4088-AEEB-6DF23C1A65D3}">
  <sheetPr>
    <tabColor rgb="FFFF0000"/>
  </sheetPr>
  <dimension ref="A1:K79"/>
  <sheetViews>
    <sheetView tabSelected="1" topLeftCell="A16" zoomScale="131" workbookViewId="0">
      <selection activeCell="B67" sqref="B67"/>
    </sheetView>
  </sheetViews>
  <sheetFormatPr baseColWidth="10" defaultColWidth="12.5" defaultRowHeight="16"/>
  <cols>
    <col min="1" max="1" width="4.33203125" style="263" customWidth="1"/>
    <col min="2" max="2" width="53" style="1" customWidth="1"/>
    <col min="3" max="3" width="1.6640625" style="1" customWidth="1"/>
    <col min="4" max="4" width="17.83203125" style="2" customWidth="1"/>
    <col min="5" max="5" width="1.83203125" style="1" hidden="1" customWidth="1"/>
    <col min="6" max="6" width="17.83203125" style="2" hidden="1" customWidth="1"/>
    <col min="7" max="8" width="17.83203125" style="260" hidden="1" customWidth="1"/>
    <col min="9" max="9" width="12.5" style="1"/>
    <col min="10" max="10" width="13.6640625" style="1" bestFit="1" customWidth="1"/>
    <col min="11" max="16384" width="12.5" style="1"/>
  </cols>
  <sheetData>
    <row r="1" spans="1:11" ht="22" customHeight="1">
      <c r="A1" s="755" t="s">
        <v>778</v>
      </c>
      <c r="B1" s="756"/>
      <c r="C1" s="756"/>
      <c r="D1" s="756"/>
      <c r="E1" s="756"/>
      <c r="F1" s="756"/>
      <c r="G1" s="756"/>
      <c r="H1" s="756"/>
    </row>
    <row r="2" spans="1:11" ht="22" customHeight="1">
      <c r="A2" s="753" t="s">
        <v>940</v>
      </c>
      <c r="B2" s="754"/>
      <c r="C2" s="754"/>
      <c r="D2" s="754"/>
      <c r="E2" s="754"/>
      <c r="F2" s="754"/>
      <c r="G2" s="754"/>
      <c r="H2" s="754"/>
    </row>
    <row r="3" spans="1:11" ht="17" customHeight="1">
      <c r="A3" s="753" t="s">
        <v>781</v>
      </c>
      <c r="B3" s="754"/>
      <c r="C3" s="754"/>
      <c r="D3" s="754"/>
      <c r="E3" s="754"/>
      <c r="F3" s="754"/>
      <c r="G3" s="754"/>
      <c r="H3" s="754"/>
    </row>
    <row r="4" spans="1:11" ht="17" customHeight="1">
      <c r="A4" s="753" t="s">
        <v>782</v>
      </c>
      <c r="B4" s="754"/>
      <c r="C4" s="754"/>
      <c r="D4" s="754"/>
      <c r="E4" s="754"/>
      <c r="F4" s="754"/>
      <c r="G4" s="754"/>
      <c r="H4" s="754"/>
    </row>
    <row r="5" spans="1:11" ht="17" customHeight="1">
      <c r="A5" s="753" t="s">
        <v>783</v>
      </c>
      <c r="B5" s="754"/>
      <c r="C5" s="754"/>
      <c r="D5" s="754"/>
      <c r="E5" s="754"/>
      <c r="F5" s="754"/>
      <c r="G5" s="754"/>
      <c r="H5" s="754"/>
    </row>
    <row r="6" spans="1:11" ht="17" customHeight="1">
      <c r="A6" s="753" t="s">
        <v>780</v>
      </c>
      <c r="B6" s="754"/>
      <c r="C6" s="754"/>
      <c r="D6" s="754"/>
      <c r="E6" s="754"/>
      <c r="F6" s="754"/>
      <c r="G6" s="754"/>
      <c r="H6" s="754"/>
    </row>
    <row r="7" spans="1:11" ht="17" customHeight="1">
      <c r="A7" s="753"/>
      <c r="B7" s="754"/>
      <c r="C7" s="754"/>
      <c r="D7" s="754"/>
      <c r="E7" s="754"/>
      <c r="F7" s="754"/>
      <c r="G7" s="754"/>
      <c r="H7" s="754"/>
    </row>
    <row r="8" spans="1:11" ht="17" customHeight="1">
      <c r="A8" s="699" t="s">
        <v>893</v>
      </c>
      <c r="B8" s="700" t="s">
        <v>894</v>
      </c>
      <c r="C8" s="700"/>
      <c r="D8" s="700"/>
      <c r="E8" s="700"/>
      <c r="F8" s="700"/>
      <c r="G8" s="700"/>
      <c r="H8" s="700"/>
      <c r="J8" s="648">
        <f>130000*600</f>
        <v>78000000</v>
      </c>
      <c r="K8" s="647"/>
    </row>
    <row r="9" spans="1:11" ht="17" customHeight="1">
      <c r="A9" s="757">
        <v>46272</v>
      </c>
      <c r="B9" s="754"/>
      <c r="C9" s="754"/>
      <c r="D9" s="754"/>
      <c r="E9" s="754"/>
      <c r="F9" s="754"/>
      <c r="G9" s="754"/>
      <c r="H9" s="754"/>
    </row>
    <row r="10" spans="1:11" ht="17" customHeight="1">
      <c r="A10" s="753" t="s">
        <v>779</v>
      </c>
      <c r="B10" s="754"/>
      <c r="C10" s="754"/>
      <c r="D10" s="754"/>
      <c r="E10" s="754"/>
      <c r="F10" s="754"/>
      <c r="G10" s="754"/>
      <c r="H10" s="754"/>
    </row>
    <row r="11" spans="1:11" ht="7" customHeight="1" thickBot="1">
      <c r="A11" s="747"/>
      <c r="B11" s="748"/>
      <c r="C11" s="748"/>
      <c r="D11" s="748"/>
      <c r="E11" s="748"/>
      <c r="F11" s="748"/>
      <c r="G11" s="748"/>
      <c r="H11" s="748"/>
    </row>
    <row r="12" spans="1:11" ht="7" customHeight="1">
      <c r="A12" s="749"/>
      <c r="B12" s="750"/>
      <c r="C12" s="750"/>
      <c r="D12" s="750"/>
      <c r="E12" s="750"/>
      <c r="F12" s="750"/>
      <c r="G12" s="750"/>
      <c r="H12" s="750"/>
    </row>
    <row r="13" spans="1:11" ht="17" customHeight="1">
      <c r="A13" s="786" t="s">
        <v>1020</v>
      </c>
      <c r="B13" s="756"/>
      <c r="C13" s="756"/>
      <c r="D13" s="756"/>
      <c r="E13" s="756"/>
      <c r="F13" s="756"/>
      <c r="G13" s="756"/>
      <c r="H13" s="756"/>
    </row>
    <row r="14" spans="1:11" ht="20" customHeight="1">
      <c r="A14" s="787" t="s">
        <v>1021</v>
      </c>
      <c r="B14" s="756"/>
      <c r="C14" s="756"/>
      <c r="D14" s="756"/>
      <c r="E14" s="756"/>
      <c r="F14" s="756"/>
      <c r="G14" s="756"/>
      <c r="H14" s="756"/>
    </row>
    <row r="15" spans="1:11" ht="20" customHeight="1">
      <c r="A15" s="752" t="s">
        <v>284</v>
      </c>
      <c r="B15" s="751"/>
      <c r="C15" s="751"/>
      <c r="D15" s="751"/>
      <c r="E15" s="751"/>
      <c r="F15" s="751"/>
      <c r="G15" s="751"/>
      <c r="H15" s="751"/>
    </row>
    <row r="16" spans="1:11" ht="20" customHeight="1">
      <c r="A16" s="752" t="s">
        <v>285</v>
      </c>
      <c r="B16" s="751"/>
      <c r="C16" s="751"/>
      <c r="D16" s="751"/>
      <c r="E16" s="751"/>
      <c r="F16" s="751"/>
      <c r="G16" s="751"/>
      <c r="H16" s="751"/>
    </row>
    <row r="17" spans="1:10" ht="16" customHeight="1">
      <c r="A17" s="744"/>
      <c r="B17" s="745"/>
      <c r="C17" s="745"/>
      <c r="D17" s="745"/>
      <c r="E17" s="745"/>
      <c r="F17" s="745"/>
      <c r="G17" s="745"/>
      <c r="H17" s="746"/>
    </row>
    <row r="18" spans="1:10" ht="17" thickBot="1">
      <c r="A18" s="236"/>
      <c r="B18" s="237"/>
      <c r="C18" s="237"/>
      <c r="D18" s="238"/>
      <c r="E18" s="237"/>
      <c r="F18" s="238"/>
      <c r="G18" s="237"/>
      <c r="H18" s="237"/>
    </row>
    <row r="19" spans="1:10" s="241" customFormat="1" thickBot="1">
      <c r="A19" s="239"/>
      <c r="B19" s="240"/>
      <c r="C19" s="240"/>
      <c r="D19" s="348" t="s">
        <v>286</v>
      </c>
      <c r="E19" s="240"/>
      <c r="F19" s="349">
        <v>2023</v>
      </c>
      <c r="G19" s="350">
        <v>2024</v>
      </c>
      <c r="H19" s="351">
        <v>2025</v>
      </c>
    </row>
    <row r="20" spans="1:10" s="245" customFormat="1" thickBot="1">
      <c r="A20" s="681" t="s">
        <v>869</v>
      </c>
      <c r="B20" s="243" t="s">
        <v>837</v>
      </c>
      <c r="C20" s="237"/>
      <c r="D20" s="237"/>
      <c r="E20" s="237"/>
      <c r="F20" s="244"/>
      <c r="G20" s="237"/>
      <c r="H20" s="237"/>
    </row>
    <row r="21" spans="1:10" s="245" customFormat="1" ht="15">
      <c r="A21" s="242"/>
      <c r="B21" s="246" t="s">
        <v>871</v>
      </c>
      <c r="C21" s="247"/>
      <c r="D21" s="352">
        <f>86*25000</f>
        <v>2150000</v>
      </c>
      <c r="E21" s="248"/>
      <c r="F21" s="356">
        <v>0</v>
      </c>
      <c r="G21" s="357">
        <v>0</v>
      </c>
      <c r="H21" s="358">
        <v>0</v>
      </c>
    </row>
    <row r="22" spans="1:10" s="245" customFormat="1" thickBot="1">
      <c r="A22" s="242"/>
      <c r="B22" s="246" t="s">
        <v>749</v>
      </c>
      <c r="C22" s="246"/>
      <c r="D22" s="354">
        <f>D21*0.05</f>
        <v>107500</v>
      </c>
      <c r="E22" s="248"/>
      <c r="F22" s="361">
        <v>0</v>
      </c>
      <c r="G22" s="346">
        <v>0</v>
      </c>
      <c r="H22" s="362">
        <v>0</v>
      </c>
    </row>
    <row r="23" spans="1:10" s="245" customFormat="1" thickBot="1">
      <c r="A23" s="242"/>
      <c r="B23" s="246"/>
      <c r="C23" s="246"/>
      <c r="D23" s="355">
        <f>SUM(D21:D22)</f>
        <v>2257500</v>
      </c>
      <c r="E23" s="253"/>
      <c r="F23" s="363">
        <v>0</v>
      </c>
      <c r="G23" s="364">
        <v>0</v>
      </c>
      <c r="H23" s="365">
        <v>0</v>
      </c>
      <c r="J23" s="250"/>
    </row>
    <row r="24" spans="1:10" s="245" customFormat="1" thickBot="1">
      <c r="A24" s="242">
        <v>100</v>
      </c>
      <c r="B24" s="243" t="s">
        <v>287</v>
      </c>
      <c r="C24" s="237"/>
      <c r="D24" s="237"/>
      <c r="E24" s="237"/>
      <c r="F24" s="244"/>
      <c r="G24" s="237"/>
      <c r="H24" s="237"/>
    </row>
    <row r="25" spans="1:10" s="245" customFormat="1" ht="15">
      <c r="A25" s="242"/>
      <c r="B25" s="246" t="s">
        <v>288</v>
      </c>
      <c r="C25" s="247"/>
      <c r="D25" s="352">
        <f>'Building &amp; Fit-outBudget Detail'!C49-'Building &amp; Fit-outBudget Detail'!C47</f>
        <v>37945959.75</v>
      </c>
      <c r="E25" s="248"/>
      <c r="F25" s="356">
        <v>0</v>
      </c>
      <c r="G25" s="357">
        <v>0</v>
      </c>
      <c r="H25" s="358">
        <v>0</v>
      </c>
    </row>
    <row r="26" spans="1:10" s="245" customFormat="1" ht="15">
      <c r="A26" s="242"/>
      <c r="B26" s="246" t="s">
        <v>1042</v>
      </c>
      <c r="C26" s="247"/>
      <c r="D26" s="798">
        <v>12000000</v>
      </c>
      <c r="E26" s="248"/>
      <c r="F26" s="799"/>
      <c r="G26" s="800"/>
      <c r="H26" s="801"/>
    </row>
    <row r="27" spans="1:10" s="245" customFormat="1" ht="15">
      <c r="A27" s="242"/>
      <c r="B27" s="246" t="s">
        <v>289</v>
      </c>
      <c r="C27" s="246"/>
      <c r="D27" s="797">
        <v>3141000</v>
      </c>
      <c r="E27" s="248"/>
      <c r="F27" s="359">
        <v>0</v>
      </c>
      <c r="G27" s="345">
        <v>0</v>
      </c>
      <c r="H27" s="360">
        <v>0</v>
      </c>
      <c r="I27" s="245" t="s">
        <v>1040</v>
      </c>
    </row>
    <row r="28" spans="1:10" s="245" customFormat="1" ht="15">
      <c r="A28" s="242"/>
      <c r="B28" s="246" t="s">
        <v>867</v>
      </c>
      <c r="C28" s="246"/>
      <c r="D28" s="353">
        <f>SUM(D25:D27)*0.09</f>
        <v>4777826.3774999995</v>
      </c>
      <c r="E28" s="248"/>
      <c r="F28" s="359">
        <v>0</v>
      </c>
      <c r="G28" s="345">
        <v>0</v>
      </c>
      <c r="H28" s="360">
        <v>0</v>
      </c>
    </row>
    <row r="29" spans="1:10" s="245" customFormat="1" thickBot="1">
      <c r="A29" s="242"/>
      <c r="B29" s="795" t="s">
        <v>868</v>
      </c>
      <c r="C29" s="246"/>
      <c r="D29" s="353">
        <f>SUM(D25:D28)*0.1</f>
        <v>5786478.6127500003</v>
      </c>
      <c r="E29" s="248"/>
      <c r="F29" s="359">
        <v>0</v>
      </c>
      <c r="G29" s="345">
        <v>0</v>
      </c>
      <c r="H29" s="360">
        <v>0</v>
      </c>
    </row>
    <row r="30" spans="1:10" s="245" customFormat="1" hidden="1" thickBot="1">
      <c r="A30" s="242"/>
      <c r="B30" s="246" t="s">
        <v>749</v>
      </c>
      <c r="C30" s="246"/>
      <c r="D30" s="354"/>
      <c r="E30" s="248"/>
      <c r="F30" s="361">
        <v>0</v>
      </c>
      <c r="G30" s="346">
        <v>0</v>
      </c>
      <c r="H30" s="362">
        <v>0</v>
      </c>
    </row>
    <row r="31" spans="1:10" s="245" customFormat="1" thickBot="1">
      <c r="A31" s="242"/>
      <c r="B31" s="711"/>
      <c r="C31" s="246"/>
      <c r="D31" s="355">
        <f>SUM(D25:D30)</f>
        <v>63651264.740249999</v>
      </c>
      <c r="E31" s="253"/>
      <c r="F31" s="363">
        <v>0</v>
      </c>
      <c r="G31" s="364">
        <v>0</v>
      </c>
      <c r="H31" s="365">
        <v>0</v>
      </c>
      <c r="I31" s="698">
        <f>D31/135953</f>
        <v>468.18580494913681</v>
      </c>
      <c r="J31" s="250"/>
    </row>
    <row r="32" spans="1:10" s="245" customFormat="1" thickBot="1">
      <c r="A32" s="242">
        <v>200</v>
      </c>
      <c r="B32" s="251" t="s">
        <v>113</v>
      </c>
      <c r="C32" s="246"/>
      <c r="D32" s="252"/>
      <c r="E32" s="248"/>
      <c r="F32" s="252"/>
      <c r="G32" s="252"/>
      <c r="H32" s="252"/>
    </row>
    <row r="33" spans="1:9" s="245" customFormat="1" ht="15">
      <c r="A33" s="242"/>
      <c r="B33" s="246" t="s">
        <v>830</v>
      </c>
      <c r="C33" s="246"/>
      <c r="D33" s="398">
        <f>'Soft Cost &amp; FF&amp;E Budget Detail'!E16</f>
        <v>1483680</v>
      </c>
      <c r="E33" s="248"/>
      <c r="F33" s="368">
        <v>0</v>
      </c>
      <c r="G33" s="347">
        <v>0</v>
      </c>
      <c r="H33" s="369">
        <v>0</v>
      </c>
    </row>
    <row r="34" spans="1:9" s="245" customFormat="1" ht="15">
      <c r="A34" s="242"/>
      <c r="B34" s="246" t="s">
        <v>606</v>
      </c>
      <c r="C34" s="246"/>
      <c r="D34" s="399">
        <f>'Soft Cost &amp; FF&amp;E Budget Detail'!E21</f>
        <v>342000</v>
      </c>
      <c r="E34" s="248"/>
      <c r="F34" s="394"/>
      <c r="G34" s="395"/>
      <c r="H34" s="396"/>
    </row>
    <row r="35" spans="1:9" s="245" customFormat="1" ht="15">
      <c r="A35" s="242"/>
      <c r="B35" s="237" t="s">
        <v>750</v>
      </c>
      <c r="C35" s="246"/>
      <c r="D35" s="796">
        <f>'Soft Cost &amp; FF&amp;E Budget Detail'!E38</f>
        <v>3526000</v>
      </c>
      <c r="E35" s="248"/>
      <c r="F35" s="359">
        <v>0</v>
      </c>
      <c r="G35" s="345">
        <v>0</v>
      </c>
      <c r="H35" s="360">
        <v>0</v>
      </c>
    </row>
    <row r="36" spans="1:9" s="245" customFormat="1" ht="15">
      <c r="A36" s="242"/>
      <c r="B36" s="237" t="s">
        <v>291</v>
      </c>
      <c r="C36" s="246"/>
      <c r="D36" s="400">
        <f>'Soft Cost &amp; FF&amp;E Budget Detail'!E43</f>
        <v>10000</v>
      </c>
      <c r="E36" s="248"/>
      <c r="F36" s="359">
        <v>0</v>
      </c>
      <c r="G36" s="345">
        <v>0</v>
      </c>
      <c r="H36" s="360">
        <v>0</v>
      </c>
    </row>
    <row r="37" spans="1:9" s="245" customFormat="1" ht="15">
      <c r="A37" s="242"/>
      <c r="B37" s="237" t="s">
        <v>614</v>
      </c>
      <c r="C37" s="246"/>
      <c r="D37" s="400">
        <f>'Soft Cost &amp; FF&amp;E Budget Detail'!E51</f>
        <v>10000</v>
      </c>
      <c r="E37" s="248"/>
      <c r="F37" s="359"/>
      <c r="G37" s="345"/>
      <c r="H37" s="360"/>
    </row>
    <row r="38" spans="1:9" s="245" customFormat="1" ht="15">
      <c r="A38" s="242"/>
      <c r="B38" s="237" t="s">
        <v>751</v>
      </c>
      <c r="C38" s="246"/>
      <c r="D38" s="400">
        <f>'Soft Cost &amp; FF&amp;E Budget Detail'!E58</f>
        <v>15000</v>
      </c>
      <c r="E38" s="248"/>
      <c r="F38" s="359"/>
      <c r="G38" s="345"/>
      <c r="H38" s="360"/>
    </row>
    <row r="39" spans="1:9" s="245" customFormat="1" ht="15">
      <c r="A39" s="242"/>
      <c r="B39" s="237" t="s">
        <v>619</v>
      </c>
      <c r="C39" s="246"/>
      <c r="D39" s="400">
        <f>'Soft Cost &amp; FF&amp;E Budget Detail'!E66</f>
        <v>150000</v>
      </c>
      <c r="E39" s="248"/>
      <c r="F39" s="359"/>
      <c r="G39" s="345"/>
      <c r="H39" s="360"/>
    </row>
    <row r="40" spans="1:9" s="245" customFormat="1" ht="15">
      <c r="A40" s="242"/>
      <c r="B40" s="237" t="s">
        <v>752</v>
      </c>
      <c r="C40" s="246"/>
      <c r="D40" s="400">
        <f>'Soft Cost &amp; FF&amp;E Budget Detail'!E71</f>
        <v>0</v>
      </c>
      <c r="E40" s="248"/>
      <c r="F40" s="359"/>
      <c r="G40" s="345"/>
      <c r="H40" s="360"/>
    </row>
    <row r="41" spans="1:9" s="245" customFormat="1" ht="15">
      <c r="A41" s="242"/>
      <c r="B41" s="246" t="s">
        <v>296</v>
      </c>
      <c r="C41" s="246"/>
      <c r="D41" s="796">
        <f>'Soft Cost &amp; FF&amp;E Budget Detail'!E82</f>
        <v>628297.47674999991</v>
      </c>
      <c r="E41" s="248"/>
      <c r="F41" s="359">
        <v>0</v>
      </c>
      <c r="G41" s="345">
        <v>0</v>
      </c>
      <c r="H41" s="360">
        <v>0</v>
      </c>
    </row>
    <row r="42" spans="1:9" s="245" customFormat="1" ht="15">
      <c r="A42" s="242"/>
      <c r="B42" s="246" t="s">
        <v>628</v>
      </c>
      <c r="C42" s="246"/>
      <c r="D42" s="400">
        <f>'Soft Cost &amp; FF&amp;E Budget Detail'!E90</f>
        <v>50000</v>
      </c>
      <c r="E42" s="248"/>
      <c r="F42" s="359"/>
      <c r="G42" s="345"/>
      <c r="H42" s="360"/>
    </row>
    <row r="43" spans="1:9" s="245" customFormat="1" ht="15">
      <c r="A43" s="242"/>
      <c r="B43" s="246" t="s">
        <v>630</v>
      </c>
      <c r="C43" s="246"/>
      <c r="D43" s="400">
        <f>'Soft Cost &amp; FF&amp;E Budget Detail'!E98</f>
        <v>0</v>
      </c>
      <c r="E43" s="248"/>
      <c r="F43" s="359"/>
      <c r="G43" s="345"/>
      <c r="H43" s="360"/>
    </row>
    <row r="44" spans="1:9" s="245" customFormat="1" ht="15">
      <c r="A44" s="242"/>
      <c r="B44" s="246" t="s">
        <v>297</v>
      </c>
      <c r="C44" s="246"/>
      <c r="D44" s="400">
        <f>'Soft Cost &amp; FF&amp;E Budget Detail'!E103</f>
        <v>50000</v>
      </c>
      <c r="E44" s="248"/>
      <c r="F44" s="397">
        <f>'Soft Cost &amp; FF&amp;E Budget Detail'!E103</f>
        <v>50000</v>
      </c>
      <c r="G44" s="345">
        <v>0</v>
      </c>
      <c r="H44" s="360">
        <v>0</v>
      </c>
    </row>
    <row r="45" spans="1:9" s="245" customFormat="1" ht="15">
      <c r="A45" s="242"/>
      <c r="B45" s="246" t="s">
        <v>292</v>
      </c>
      <c r="C45" s="246"/>
      <c r="D45" s="796">
        <f>'Soft Cost &amp; FF&amp;E Budget Detail'!E109</f>
        <v>520000</v>
      </c>
      <c r="E45" s="248"/>
      <c r="F45" s="359">
        <v>0</v>
      </c>
      <c r="G45" s="345">
        <v>0</v>
      </c>
      <c r="H45" s="360">
        <v>0</v>
      </c>
    </row>
    <row r="46" spans="1:9" s="245" customFormat="1" thickBot="1">
      <c r="A46" s="242"/>
      <c r="B46" s="246" t="s">
        <v>80</v>
      </c>
      <c r="C46" s="246"/>
      <c r="D46" s="401">
        <f>'Soft Cost &amp; FF&amp;E Budget Detail'!E118</f>
        <v>0</v>
      </c>
      <c r="E46" s="248"/>
      <c r="F46" s="361">
        <v>0</v>
      </c>
      <c r="G46" s="346">
        <v>0</v>
      </c>
      <c r="H46" s="362">
        <v>0</v>
      </c>
    </row>
    <row r="47" spans="1:9" s="9" customFormat="1" thickBot="1">
      <c r="A47" s="242"/>
      <c r="B47" s="247"/>
      <c r="C47" s="247"/>
      <c r="D47" s="367">
        <f>SUM(D33:D46)</f>
        <v>6784977.4767499994</v>
      </c>
      <c r="E47" s="253"/>
      <c r="F47" s="370">
        <f>SUM(F33:F46)</f>
        <v>50000</v>
      </c>
      <c r="G47" s="371">
        <f>SUM(G33:G46)</f>
        <v>0</v>
      </c>
      <c r="H47" s="372">
        <f>SUM(H33:H46)</f>
        <v>0</v>
      </c>
      <c r="I47" s="701">
        <f>D47/135953</f>
        <v>49.906787468831133</v>
      </c>
    </row>
    <row r="48" spans="1:9" s="245" customFormat="1" thickBot="1">
      <c r="A48" s="242">
        <v>300</v>
      </c>
      <c r="B48" s="251" t="s">
        <v>25</v>
      </c>
      <c r="C48" s="246"/>
      <c r="D48" s="252"/>
      <c r="E48" s="248"/>
      <c r="F48" s="252"/>
      <c r="G48" s="252"/>
      <c r="H48" s="252"/>
    </row>
    <row r="49" spans="1:8" s="245" customFormat="1" ht="15">
      <c r="A49" s="242"/>
      <c r="B49" s="246" t="s">
        <v>819</v>
      </c>
      <c r="C49" s="246"/>
      <c r="D49" s="366">
        <f>'Soft Cost &amp; FF&amp;E Budget Detail'!E152</f>
        <v>1043750</v>
      </c>
      <c r="E49" s="248"/>
      <c r="F49" s="368">
        <v>0</v>
      </c>
      <c r="G49" s="347">
        <v>0</v>
      </c>
      <c r="H49" s="369">
        <v>0</v>
      </c>
    </row>
    <row r="50" spans="1:8" s="245" customFormat="1" ht="15">
      <c r="A50" s="242"/>
      <c r="B50" s="246" t="s">
        <v>299</v>
      </c>
      <c r="C50" s="246"/>
      <c r="D50" s="353">
        <f>'Soft Cost &amp; FF&amp;E Budget Detail'!E174-'Soft Cost &amp; FF&amp;E Budget Detail'!E171</f>
        <v>1317000</v>
      </c>
      <c r="E50" s="248"/>
      <c r="F50" s="359">
        <v>0</v>
      </c>
      <c r="G50" s="345">
        <v>0</v>
      </c>
      <c r="H50" s="360">
        <v>0</v>
      </c>
    </row>
    <row r="51" spans="1:8" s="245" customFormat="1" ht="15">
      <c r="A51" s="242"/>
      <c r="B51" s="246" t="s">
        <v>300</v>
      </c>
      <c r="C51" s="246"/>
      <c r="D51" s="353">
        <f>'Soft Cost &amp; FF&amp;E Budget Detail'!E171</f>
        <v>0</v>
      </c>
      <c r="E51" s="248"/>
      <c r="F51" s="359">
        <v>0</v>
      </c>
      <c r="G51" s="345">
        <v>0</v>
      </c>
      <c r="H51" s="360">
        <v>0</v>
      </c>
    </row>
    <row r="52" spans="1:8" s="245" customFormat="1" ht="15">
      <c r="A52" s="242"/>
      <c r="B52" s="246" t="s">
        <v>237</v>
      </c>
      <c r="C52" s="246"/>
      <c r="D52" s="353">
        <f>'Soft Cost &amp; FF&amp;E Budget Detail'!E180</f>
        <v>220000</v>
      </c>
      <c r="E52" s="248"/>
      <c r="F52" s="359">
        <v>0</v>
      </c>
      <c r="G52" s="345">
        <v>0</v>
      </c>
      <c r="H52" s="360">
        <v>0</v>
      </c>
    </row>
    <row r="53" spans="1:8" s="245" customFormat="1" ht="15">
      <c r="A53" s="242"/>
      <c r="B53" s="246" t="s">
        <v>301</v>
      </c>
      <c r="C53" s="246"/>
      <c r="D53" s="353">
        <f>'Soft Cost &amp; FF&amp;E Budget Detail'!E181-'Soft Cost &amp; FF&amp;E Budget Detail'!E180</f>
        <v>200000</v>
      </c>
      <c r="E53" s="248"/>
      <c r="F53" s="359">
        <v>0</v>
      </c>
      <c r="G53" s="345">
        <v>0</v>
      </c>
      <c r="H53" s="360">
        <v>0</v>
      </c>
    </row>
    <row r="54" spans="1:8" s="245" customFormat="1" ht="15">
      <c r="A54" s="242"/>
      <c r="B54" s="246" t="s">
        <v>81</v>
      </c>
      <c r="C54" s="246"/>
      <c r="D54" s="353">
        <f>'Soft Cost &amp; FF&amp;E Budget Detail'!E195</f>
        <v>65000</v>
      </c>
      <c r="E54" s="248"/>
      <c r="F54" s="359">
        <v>0</v>
      </c>
      <c r="G54" s="345">
        <v>0</v>
      </c>
      <c r="H54" s="360">
        <v>0</v>
      </c>
    </row>
    <row r="55" spans="1:8" s="245" customFormat="1" ht="15">
      <c r="A55" s="242"/>
      <c r="B55" s="246" t="s">
        <v>302</v>
      </c>
      <c r="C55" s="246"/>
      <c r="D55" s="353">
        <f>'Soft Cost &amp; FF&amp;E Budget Detail'!E206+'Soft Cost &amp; FF&amp;E Budget Detail'!E201</f>
        <v>500000</v>
      </c>
      <c r="E55" s="248"/>
      <c r="F55" s="359">
        <v>0</v>
      </c>
      <c r="G55" s="345">
        <v>0</v>
      </c>
      <c r="H55" s="360">
        <v>0</v>
      </c>
    </row>
    <row r="56" spans="1:8" s="245" customFormat="1" ht="15">
      <c r="A56" s="242"/>
      <c r="B56" s="246" t="s">
        <v>303</v>
      </c>
      <c r="C56" s="246"/>
      <c r="D56" s="353">
        <f>'Soft Cost &amp; FF&amp;E Budget Detail'!E210</f>
        <v>150000</v>
      </c>
      <c r="E56" s="248"/>
      <c r="F56" s="359">
        <v>0</v>
      </c>
      <c r="G56" s="345">
        <v>0</v>
      </c>
      <c r="H56" s="360">
        <v>0</v>
      </c>
    </row>
    <row r="57" spans="1:8" s="245" customFormat="1" ht="15">
      <c r="A57" s="242"/>
      <c r="B57" s="246" t="s">
        <v>83</v>
      </c>
      <c r="C57" s="246"/>
      <c r="D57" s="353">
        <f>'Soft Cost &amp; FF&amp;E Budget Detail'!E226</f>
        <v>93000</v>
      </c>
      <c r="E57" s="248"/>
      <c r="F57" s="359">
        <v>0</v>
      </c>
      <c r="G57" s="345">
        <v>0</v>
      </c>
      <c r="H57" s="360">
        <v>0</v>
      </c>
    </row>
    <row r="58" spans="1:8" s="245" customFormat="1" ht="15">
      <c r="A58" s="242"/>
      <c r="B58" s="246" t="s">
        <v>186</v>
      </c>
      <c r="C58" s="246"/>
      <c r="D58" s="353">
        <f>'Soft Cost &amp; FF&amp;E Budget Detail'!E241</f>
        <v>26000</v>
      </c>
      <c r="E58" s="248"/>
      <c r="F58" s="359"/>
      <c r="G58" s="345"/>
      <c r="H58" s="360"/>
    </row>
    <row r="59" spans="1:8" s="245" customFormat="1" ht="15">
      <c r="A59" s="242"/>
      <c r="B59" s="246" t="s">
        <v>27</v>
      </c>
      <c r="C59" s="246"/>
      <c r="D59" s="655">
        <f>'Soft Cost &amp; FF&amp;E Budget Detail'!E271</f>
        <v>29000</v>
      </c>
      <c r="E59" s="248"/>
      <c r="F59" s="359"/>
      <c r="G59" s="345"/>
      <c r="H59" s="360"/>
    </row>
    <row r="60" spans="1:8" s="245" customFormat="1" ht="15">
      <c r="A60" s="242"/>
      <c r="B60" s="246" t="s">
        <v>304</v>
      </c>
      <c r="C60" s="246"/>
      <c r="D60" s="654">
        <f>'Soft Cost &amp; FF&amp;E Budget Detail'!E286</f>
        <v>193500</v>
      </c>
      <c r="E60" s="248"/>
      <c r="F60" s="359">
        <v>0</v>
      </c>
      <c r="G60" s="345">
        <v>0</v>
      </c>
      <c r="H60" s="360">
        <v>0</v>
      </c>
    </row>
    <row r="61" spans="1:8" s="245" customFormat="1" ht="15">
      <c r="A61" s="242"/>
      <c r="B61" s="246" t="s">
        <v>305</v>
      </c>
      <c r="C61" s="246"/>
      <c r="D61" s="654">
        <f>'Soft Cost &amp; FF&amp;E Budget Detail'!E290</f>
        <v>500000</v>
      </c>
      <c r="E61" s="248"/>
      <c r="F61" s="359">
        <v>0</v>
      </c>
      <c r="G61" s="345">
        <v>0</v>
      </c>
      <c r="H61" s="360">
        <v>0</v>
      </c>
    </row>
    <row r="62" spans="1:8" s="245" customFormat="1" ht="15">
      <c r="A62" s="242"/>
      <c r="B62" s="246" t="s">
        <v>729</v>
      </c>
      <c r="C62" s="246"/>
      <c r="D62" s="353">
        <f>'Soft Cost &amp; FF&amp;E Budget Detail'!E302+'Soft Cost &amp; FF&amp;E Budget Detail'!E298</f>
        <v>1685000</v>
      </c>
      <c r="E62" s="248"/>
      <c r="F62" s="359">
        <v>0</v>
      </c>
      <c r="G62" s="345">
        <v>0</v>
      </c>
      <c r="H62" s="360">
        <v>0</v>
      </c>
    </row>
    <row r="63" spans="1:8" s="245" customFormat="1" ht="15">
      <c r="A63" s="242"/>
      <c r="B63" s="246" t="s">
        <v>842</v>
      </c>
      <c r="C63" s="246"/>
      <c r="D63" s="391">
        <f>'Soft Cost &amp; FF&amp;E Budget Detail'!E307</f>
        <v>520000</v>
      </c>
      <c r="E63" s="248"/>
      <c r="F63" s="651"/>
      <c r="G63" s="652"/>
      <c r="H63" s="653"/>
    </row>
    <row r="64" spans="1:8" s="245" customFormat="1" thickBot="1">
      <c r="A64" s="242"/>
      <c r="B64" s="246" t="s">
        <v>725</v>
      </c>
      <c r="C64" s="246"/>
      <c r="D64" s="391">
        <f>'Soft Cost &amp; FF&amp;E Budget Detail'!E316</f>
        <v>1750000</v>
      </c>
      <c r="E64" s="248"/>
      <c r="F64" s="361">
        <v>0</v>
      </c>
      <c r="G64" s="346">
        <v>0</v>
      </c>
      <c r="H64" s="362">
        <v>0</v>
      </c>
    </row>
    <row r="65" spans="1:10" s="245" customFormat="1" thickBot="1">
      <c r="A65" s="242"/>
      <c r="B65" s="246"/>
      <c r="C65" s="246"/>
      <c r="D65" s="355">
        <f>SUM(D49:D64)</f>
        <v>8292250</v>
      </c>
      <c r="E65" s="253"/>
      <c r="F65" s="370">
        <f>SUM(F49:F64)</f>
        <v>0</v>
      </c>
      <c r="G65" s="371">
        <f>SUM(G49:G64)</f>
        <v>0</v>
      </c>
      <c r="H65" s="372">
        <f>SUM(H49:H64)</f>
        <v>0</v>
      </c>
      <c r="I65" s="698">
        <f>D65/135953</f>
        <v>60.993505108383047</v>
      </c>
    </row>
    <row r="66" spans="1:10" s="245" customFormat="1" thickBot="1">
      <c r="A66" s="242"/>
      <c r="B66" s="237"/>
      <c r="C66" s="237"/>
      <c r="D66" s="248"/>
      <c r="E66" s="248"/>
      <c r="F66" s="248"/>
      <c r="G66" s="248"/>
      <c r="H66" s="248"/>
      <c r="I66" s="698"/>
    </row>
    <row r="67" spans="1:10" s="9" customFormat="1" thickBot="1">
      <c r="A67" s="242">
        <v>400</v>
      </c>
      <c r="B67" s="254" t="s">
        <v>1022</v>
      </c>
      <c r="C67" s="255"/>
      <c r="D67" s="355">
        <f>(D23+D31+D47+D65)*0.1</f>
        <v>8098599.2216999996</v>
      </c>
      <c r="E67" s="253"/>
      <c r="F67" s="363">
        <v>0</v>
      </c>
      <c r="G67" s="364">
        <v>0</v>
      </c>
      <c r="H67" s="365">
        <v>0</v>
      </c>
      <c r="I67" s="698">
        <f t="shared" ref="I67" si="0">D67/135953</f>
        <v>59.569110072598619</v>
      </c>
    </row>
    <row r="68" spans="1:10" s="245" customFormat="1" thickBot="1">
      <c r="A68" s="249"/>
      <c r="B68" s="242" t="s">
        <v>1023</v>
      </c>
      <c r="C68" s="237"/>
      <c r="D68" s="248"/>
      <c r="E68" s="248"/>
      <c r="F68" s="248"/>
      <c r="G68" s="248"/>
      <c r="H68" s="248"/>
    </row>
    <row r="69" spans="1:10" s="245" customFormat="1" thickBot="1">
      <c r="A69" s="249"/>
      <c r="B69" s="254" t="s">
        <v>306</v>
      </c>
      <c r="C69" s="237"/>
      <c r="D69" s="355">
        <f>D23+D67+D65+D47+D31</f>
        <v>89084591.438699991</v>
      </c>
      <c r="E69" s="253"/>
      <c r="F69" s="363">
        <f>F67+F65+F47+F31</f>
        <v>50000</v>
      </c>
      <c r="G69" s="364">
        <f>G67+G65+G47+G31</f>
        <v>0</v>
      </c>
      <c r="H69" s="365">
        <f>H67+H65+H47+H31</f>
        <v>0</v>
      </c>
      <c r="J69" s="256"/>
    </row>
    <row r="70" spans="1:10" s="245" customFormat="1" thickBot="1">
      <c r="A70" s="249"/>
      <c r="B70" s="242"/>
      <c r="C70" s="237"/>
      <c r="D70" s="248"/>
      <c r="E70" s="248"/>
      <c r="F70" s="257"/>
      <c r="G70" s="257"/>
      <c r="H70" s="257"/>
    </row>
    <row r="71" spans="1:10" s="259" customFormat="1" thickBot="1">
      <c r="A71" s="258"/>
      <c r="B71" s="251" t="s">
        <v>307</v>
      </c>
      <c r="C71" s="258"/>
      <c r="D71" s="355">
        <f>D69/135953</f>
        <v>655.26021079858469</v>
      </c>
      <c r="E71" s="258"/>
      <c r="F71" s="258"/>
      <c r="G71" s="258"/>
      <c r="H71" s="258"/>
      <c r="I71" s="702">
        <f>SUM(I67+I65+I47+I31)</f>
        <v>638.65520759894957</v>
      </c>
    </row>
    <row r="72" spans="1:10" s="245" customFormat="1" ht="15">
      <c r="A72" s="249"/>
      <c r="B72" s="249"/>
      <c r="C72" s="249"/>
      <c r="D72" s="249"/>
      <c r="E72" s="249"/>
      <c r="F72" s="249"/>
      <c r="G72" s="249"/>
      <c r="H72" s="249"/>
    </row>
    <row r="73" spans="1:10" s="245" customFormat="1" ht="15"/>
    <row r="74" spans="1:10" s="245" customFormat="1" ht="15"/>
    <row r="75" spans="1:10" s="245" customFormat="1" ht="15"/>
    <row r="76" spans="1:10" s="245" customFormat="1" ht="15"/>
    <row r="77" spans="1:10" s="245" customFormat="1" ht="15"/>
    <row r="78" spans="1:10" s="245" customFormat="1" ht="15">
      <c r="A78" s="54"/>
      <c r="B78" s="260"/>
      <c r="C78" s="260"/>
      <c r="D78" s="261"/>
      <c r="E78" s="260"/>
      <c r="F78" s="261"/>
      <c r="G78" s="260"/>
      <c r="H78" s="260"/>
    </row>
    <row r="79" spans="1:10" s="245" customFormat="1" ht="15">
      <c r="A79" s="54"/>
      <c r="D79" s="262"/>
      <c r="F79" s="262"/>
      <c r="G79" s="260"/>
      <c r="H79" s="260"/>
    </row>
  </sheetData>
  <mergeCells count="16">
    <mergeCell ref="A10:H10"/>
    <mergeCell ref="A1:H1"/>
    <mergeCell ref="A2:H2"/>
    <mergeCell ref="A3:H3"/>
    <mergeCell ref="A9:H9"/>
    <mergeCell ref="A4:H4"/>
    <mergeCell ref="A5:H5"/>
    <mergeCell ref="A6:H6"/>
    <mergeCell ref="A7:H7"/>
    <mergeCell ref="A17:H17"/>
    <mergeCell ref="A11:H11"/>
    <mergeCell ref="A12:H12"/>
    <mergeCell ref="A13:H13"/>
    <mergeCell ref="A14:H14"/>
    <mergeCell ref="A15:H15"/>
    <mergeCell ref="A16:H16"/>
  </mergeCells>
  <phoneticPr fontId="25" type="noConversion"/>
  <pageMargins left="0.7" right="0.7" top="0.75" bottom="0.75" header="0.3" footer="0.3"/>
  <pageSetup orientation="portrait" r:id="rId1"/>
  <ignoredErrors>
    <ignoredError sqref="A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26C4-A2E9-4EC8-A1FE-AC9F6052A977}">
  <sheetPr>
    <tabColor rgb="FFFF0000"/>
  </sheetPr>
  <dimension ref="A1:CE320"/>
  <sheetViews>
    <sheetView topLeftCell="A36" zoomScale="113" zoomScaleNormal="120" workbookViewId="0">
      <selection activeCell="B77" sqref="B77"/>
    </sheetView>
  </sheetViews>
  <sheetFormatPr baseColWidth="10" defaultColWidth="8.83203125" defaultRowHeight="15"/>
  <cols>
    <col min="1" max="1" width="6" style="499" customWidth="1"/>
    <col min="2" max="2" width="34.83203125" customWidth="1"/>
    <col min="3" max="3" width="10.1640625" bestFit="1" customWidth="1"/>
    <col min="4" max="4" width="15.1640625" customWidth="1"/>
    <col min="5" max="5" width="16.5" customWidth="1"/>
    <col min="6" max="6" width="41.33203125" customWidth="1"/>
    <col min="8" max="83" width="8.83203125" style="1"/>
  </cols>
  <sheetData>
    <row r="1" spans="1:10" s="70" customFormat="1" ht="21" hidden="1">
      <c r="A1" s="755" t="s">
        <v>786</v>
      </c>
      <c r="B1" s="755"/>
      <c r="C1" s="755"/>
      <c r="D1" s="755"/>
      <c r="E1" s="755"/>
      <c r="F1" s="755"/>
    </row>
    <row r="2" spans="1:10" s="70" customFormat="1" ht="16" hidden="1">
      <c r="A2" s="500" t="s">
        <v>405</v>
      </c>
      <c r="B2" s="402" t="s">
        <v>787</v>
      </c>
      <c r="C2" s="402"/>
      <c r="D2" s="402"/>
      <c r="E2" s="402"/>
    </row>
    <row r="3" spans="1:10" s="70" customFormat="1" ht="16" hidden="1">
      <c r="A3" s="500" t="s">
        <v>401</v>
      </c>
      <c r="B3" s="402" t="s">
        <v>753</v>
      </c>
      <c r="C3" s="402"/>
      <c r="D3" s="402"/>
      <c r="E3" s="402"/>
    </row>
    <row r="4" spans="1:10" s="70" customFormat="1" ht="16" hidden="1">
      <c r="A4" s="500" t="s">
        <v>402</v>
      </c>
      <c r="B4" s="501">
        <v>135953</v>
      </c>
      <c r="C4" s="402"/>
      <c r="D4" s="402"/>
      <c r="E4" s="402"/>
    </row>
    <row r="5" spans="1:10" s="70" customFormat="1" ht="16" hidden="1">
      <c r="A5" s="500" t="s">
        <v>403</v>
      </c>
      <c r="B5" s="502"/>
      <c r="C5" s="502"/>
      <c r="D5" s="502"/>
      <c r="E5" s="502"/>
      <c r="F5" s="502"/>
      <c r="G5" s="502"/>
      <c r="H5" s="502"/>
      <c r="I5" s="502"/>
      <c r="J5" s="502"/>
    </row>
    <row r="6" spans="1:10" s="70" customFormat="1" ht="16" hidden="1">
      <c r="A6" s="500" t="s">
        <v>404</v>
      </c>
      <c r="B6" s="402">
        <v>1</v>
      </c>
      <c r="C6" s="402"/>
      <c r="D6" s="402"/>
      <c r="E6" s="402"/>
    </row>
    <row r="7" spans="1:10" s="1" customFormat="1" ht="7" hidden="1" customHeight="1" thickBot="1">
      <c r="A7" s="747"/>
      <c r="B7" s="748"/>
      <c r="C7" s="748"/>
      <c r="D7" s="748"/>
      <c r="E7" s="748"/>
      <c r="F7" s="295"/>
    </row>
    <row r="8" spans="1:10" s="1" customFormat="1">
      <c r="A8" s="2"/>
    </row>
    <row r="9" spans="1:10" s="1" customFormat="1" ht="16" thickBot="1">
      <c r="A9" s="2"/>
    </row>
    <row r="10" spans="1:10" s="408" customFormat="1" ht="17" thickBot="1">
      <c r="A10" s="404">
        <v>200</v>
      </c>
      <c r="B10" s="405" t="s">
        <v>637</v>
      </c>
      <c r="C10" s="406"/>
      <c r="D10" s="406"/>
      <c r="E10" s="406"/>
      <c r="F10" s="407"/>
      <c r="G10" s="45"/>
    </row>
    <row r="11" spans="1:10" s="411" customFormat="1" ht="16" thickBot="1">
      <c r="A11" s="409">
        <v>201</v>
      </c>
      <c r="B11" s="409" t="s">
        <v>602</v>
      </c>
      <c r="C11" s="409" t="s">
        <v>409</v>
      </c>
      <c r="D11" s="409" t="s">
        <v>635</v>
      </c>
      <c r="E11" s="410" t="s">
        <v>726</v>
      </c>
      <c r="F11" s="409" t="s">
        <v>603</v>
      </c>
    </row>
    <row r="12" spans="1:10" s="245" customFormat="1">
      <c r="A12" s="417"/>
      <c r="B12" s="418" t="s">
        <v>830</v>
      </c>
      <c r="C12" s="476"/>
      <c r="D12" s="422"/>
      <c r="E12" s="422"/>
      <c r="F12" s="419"/>
    </row>
    <row r="13" spans="1:10" s="441" customFormat="1" ht="14">
      <c r="A13" s="493">
        <v>1</v>
      </c>
      <c r="B13" s="438" t="s">
        <v>939</v>
      </c>
      <c r="C13" s="477">
        <v>190</v>
      </c>
      <c r="D13" s="473">
        <v>72</v>
      </c>
      <c r="E13" s="463">
        <f>C13*D13</f>
        <v>13680</v>
      </c>
      <c r="F13" s="440"/>
    </row>
    <row r="14" spans="1:10" s="441" customFormat="1" ht="14">
      <c r="A14" s="493">
        <v>2</v>
      </c>
      <c r="B14" s="438" t="s">
        <v>916</v>
      </c>
      <c r="C14" s="705">
        <v>70000</v>
      </c>
      <c r="D14" s="704">
        <v>21</v>
      </c>
      <c r="E14" s="463">
        <f>C14*D14</f>
        <v>1470000</v>
      </c>
      <c r="F14" s="440"/>
    </row>
    <row r="15" spans="1:10" s="441" customFormat="1" ht="14">
      <c r="A15" s="493"/>
      <c r="B15" s="438"/>
      <c r="C15" s="477"/>
      <c r="D15" s="464"/>
      <c r="E15" s="463"/>
      <c r="F15" s="440"/>
    </row>
    <row r="16" spans="1:10" s="1" customFormat="1" ht="16" thickBot="1">
      <c r="A16" s="412"/>
      <c r="B16" s="478" t="s">
        <v>917</v>
      </c>
      <c r="C16" s="413"/>
      <c r="D16" s="465"/>
      <c r="E16" s="466">
        <f>SUM(E13:E15)</f>
        <v>1483680</v>
      </c>
      <c r="F16" s="414"/>
    </row>
    <row r="17" spans="1:83" s="411" customFormat="1" ht="16" thickBot="1">
      <c r="A17" s="409">
        <v>202</v>
      </c>
      <c r="B17" s="409" t="s">
        <v>602</v>
      </c>
      <c r="C17" s="409" t="s">
        <v>409</v>
      </c>
      <c r="D17" s="409" t="s">
        <v>635</v>
      </c>
      <c r="E17" s="410" t="s">
        <v>726</v>
      </c>
      <c r="F17" s="409" t="s">
        <v>603</v>
      </c>
    </row>
    <row r="18" spans="1:83" s="411" customFormat="1">
      <c r="A18" s="494"/>
      <c r="B18" s="420" t="s">
        <v>606</v>
      </c>
      <c r="C18" s="421"/>
      <c r="D18" s="422"/>
      <c r="E18" s="422"/>
      <c r="F18" s="423"/>
    </row>
    <row r="19" spans="1:83" s="260" customFormat="1" ht="14">
      <c r="A19" s="495">
        <v>1</v>
      </c>
      <c r="B19" s="434" t="s">
        <v>762</v>
      </c>
      <c r="C19" s="475">
        <v>1</v>
      </c>
      <c r="D19" s="474">
        <v>342000</v>
      </c>
      <c r="E19" s="463">
        <f>C19*D19</f>
        <v>342000</v>
      </c>
      <c r="F19" s="436"/>
    </row>
    <row r="20" spans="1:83" s="260" customFormat="1" ht="14">
      <c r="A20" s="495"/>
      <c r="B20" s="455"/>
      <c r="C20" s="482"/>
      <c r="D20" s="483"/>
      <c r="E20" s="463"/>
      <c r="F20" s="481"/>
    </row>
    <row r="21" spans="1:83" s="427" customFormat="1" ht="16" thickBot="1">
      <c r="A21" s="496"/>
      <c r="B21" s="479" t="s">
        <v>607</v>
      </c>
      <c r="C21" s="443"/>
      <c r="D21" s="468"/>
      <c r="E21" s="469">
        <f>E19</f>
        <v>342000</v>
      </c>
      <c r="F21" s="444"/>
      <c r="G21" s="428"/>
      <c r="H21" s="428"/>
      <c r="I21" s="428"/>
      <c r="J21" s="428"/>
      <c r="K21" s="428"/>
      <c r="L21" s="428"/>
      <c r="M21" s="428"/>
      <c r="N21" s="428"/>
      <c r="O21" s="428"/>
      <c r="P21" s="428"/>
      <c r="Q21" s="428"/>
      <c r="R21" s="428"/>
      <c r="S21" s="428"/>
      <c r="T21" s="428"/>
      <c r="U21" s="428"/>
      <c r="V21" s="428"/>
      <c r="W21" s="428"/>
      <c r="X21" s="428"/>
      <c r="Y21" s="428"/>
      <c r="Z21" s="428"/>
      <c r="AA21" s="428"/>
      <c r="AB21" s="428"/>
      <c r="AC21" s="428"/>
      <c r="AD21" s="428"/>
      <c r="AE21" s="428"/>
      <c r="AF21" s="428"/>
      <c r="AG21" s="428"/>
      <c r="AH21" s="428"/>
      <c r="AI21" s="428"/>
      <c r="AJ21" s="428"/>
      <c r="AK21" s="428"/>
      <c r="AL21" s="428"/>
      <c r="AM21" s="428"/>
      <c r="AN21" s="428"/>
      <c r="AO21" s="428"/>
      <c r="AP21" s="428"/>
      <c r="AQ21" s="428"/>
      <c r="AR21" s="428"/>
      <c r="AS21" s="428"/>
      <c r="AT21" s="428"/>
      <c r="AU21" s="428"/>
      <c r="AV21" s="428"/>
      <c r="AW21" s="428"/>
      <c r="AX21" s="428"/>
      <c r="AY21" s="428"/>
      <c r="AZ21" s="428"/>
      <c r="BA21" s="428"/>
      <c r="BB21" s="428"/>
      <c r="BC21" s="428"/>
      <c r="BD21" s="428"/>
      <c r="BE21" s="428"/>
      <c r="BF21" s="428"/>
      <c r="BG21" s="428"/>
      <c r="BH21" s="428"/>
      <c r="BI21" s="428"/>
      <c r="BJ21" s="428"/>
      <c r="BK21" s="428"/>
      <c r="BL21" s="428"/>
      <c r="BM21" s="428"/>
      <c r="BN21" s="428"/>
      <c r="BO21" s="428"/>
      <c r="BP21" s="428"/>
      <c r="BQ21" s="428"/>
      <c r="BR21" s="428"/>
      <c r="BS21" s="428"/>
      <c r="BT21" s="428"/>
      <c r="BU21" s="428"/>
      <c r="BV21" s="428"/>
      <c r="BW21" s="428"/>
      <c r="BX21" s="428"/>
      <c r="BY21" s="428"/>
      <c r="BZ21" s="428"/>
      <c r="CA21" s="428"/>
      <c r="CB21" s="428"/>
      <c r="CC21" s="428"/>
      <c r="CD21" s="428"/>
      <c r="CE21" s="428"/>
    </row>
    <row r="22" spans="1:83" s="411" customFormat="1" ht="16" thickBot="1">
      <c r="A22" s="409">
        <v>203</v>
      </c>
      <c r="B22" s="409" t="s">
        <v>602</v>
      </c>
      <c r="C22" s="409" t="s">
        <v>409</v>
      </c>
      <c r="D22" s="409" t="s">
        <v>635</v>
      </c>
      <c r="E22" s="410" t="s">
        <v>726</v>
      </c>
      <c r="F22" s="409" t="s">
        <v>603</v>
      </c>
    </row>
    <row r="23" spans="1:83" s="411" customFormat="1">
      <c r="A23" s="494"/>
      <c r="B23" s="424" t="s">
        <v>608</v>
      </c>
      <c r="C23" s="425"/>
      <c r="D23" s="422"/>
      <c r="E23" s="422"/>
      <c r="F23" s="423"/>
    </row>
    <row r="24" spans="1:83" s="260" customFormat="1" ht="14">
      <c r="A24" s="495">
        <v>1</v>
      </c>
      <c r="B24" s="446" t="s">
        <v>784</v>
      </c>
      <c r="C24" s="477">
        <v>1</v>
      </c>
      <c r="D24" s="473">
        <v>45000</v>
      </c>
      <c r="E24" s="463">
        <f>C24*D24</f>
        <v>45000</v>
      </c>
      <c r="F24" s="416"/>
    </row>
    <row r="25" spans="1:83" s="260" customFormat="1" ht="14">
      <c r="A25" s="495">
        <f>A24+1</f>
        <v>2</v>
      </c>
      <c r="B25" s="461" t="s">
        <v>754</v>
      </c>
      <c r="C25" s="477">
        <v>1</v>
      </c>
      <c r="D25" s="473">
        <v>90000</v>
      </c>
      <c r="E25" s="463">
        <f t="shared" ref="E25:E30" si="0">C25*D25</f>
        <v>90000</v>
      </c>
      <c r="F25" s="416"/>
    </row>
    <row r="26" spans="1:83" s="260" customFormat="1" ht="14">
      <c r="A26" s="495">
        <f t="shared" ref="A26:A36" si="1">A25+1</f>
        <v>3</v>
      </c>
      <c r="B26" s="461" t="s">
        <v>755</v>
      </c>
      <c r="C26" s="477">
        <v>1</v>
      </c>
      <c r="D26" s="473">
        <v>3100000</v>
      </c>
      <c r="E26" s="463">
        <f t="shared" si="0"/>
        <v>3100000</v>
      </c>
      <c r="F26" s="416"/>
    </row>
    <row r="27" spans="1:83" s="260" customFormat="1" ht="14">
      <c r="A27" s="495">
        <f t="shared" si="1"/>
        <v>4</v>
      </c>
      <c r="B27" s="461" t="s">
        <v>756</v>
      </c>
      <c r="C27" s="477"/>
      <c r="D27" s="473">
        <v>0</v>
      </c>
      <c r="E27" s="463">
        <f t="shared" si="0"/>
        <v>0</v>
      </c>
      <c r="F27" s="416" t="s">
        <v>764</v>
      </c>
    </row>
    <row r="28" spans="1:83" s="260" customFormat="1" ht="14">
      <c r="A28" s="495">
        <f t="shared" si="1"/>
        <v>5</v>
      </c>
      <c r="B28" s="461" t="s">
        <v>757</v>
      </c>
      <c r="C28" s="477"/>
      <c r="D28" s="473">
        <v>0</v>
      </c>
      <c r="E28" s="463">
        <f t="shared" si="0"/>
        <v>0</v>
      </c>
      <c r="F28" s="416" t="s">
        <v>764</v>
      </c>
    </row>
    <row r="29" spans="1:83" s="260" customFormat="1" ht="14">
      <c r="A29" s="495">
        <f t="shared" si="1"/>
        <v>6</v>
      </c>
      <c r="B29" s="461" t="s">
        <v>758</v>
      </c>
      <c r="C29" s="477"/>
      <c r="D29" s="473">
        <v>0</v>
      </c>
      <c r="E29" s="463">
        <f t="shared" si="0"/>
        <v>0</v>
      </c>
      <c r="F29" s="416" t="s">
        <v>764</v>
      </c>
    </row>
    <row r="30" spans="1:83" s="260" customFormat="1" ht="14">
      <c r="A30" s="495">
        <f t="shared" si="1"/>
        <v>7</v>
      </c>
      <c r="B30" s="461" t="s">
        <v>765</v>
      </c>
      <c r="C30" s="477">
        <v>1</v>
      </c>
      <c r="D30" s="473">
        <v>30000</v>
      </c>
      <c r="E30" s="463">
        <f t="shared" si="0"/>
        <v>30000</v>
      </c>
      <c r="F30" s="416"/>
    </row>
    <row r="31" spans="1:83" s="260" customFormat="1" ht="14">
      <c r="A31" s="495">
        <f t="shared" si="1"/>
        <v>8</v>
      </c>
      <c r="B31" s="447" t="s">
        <v>609</v>
      </c>
      <c r="C31" s="477">
        <v>1</v>
      </c>
      <c r="D31" s="473">
        <v>51000</v>
      </c>
      <c r="E31" s="463">
        <f t="shared" ref="E31:E36" si="2">C31*D31</f>
        <v>51000</v>
      </c>
      <c r="F31" s="445"/>
    </row>
    <row r="32" spans="1:83" s="260" customFormat="1" ht="14">
      <c r="A32" s="495">
        <f t="shared" si="1"/>
        <v>9</v>
      </c>
      <c r="B32" s="447" t="s">
        <v>294</v>
      </c>
      <c r="C32" s="477">
        <v>1</v>
      </c>
      <c r="D32" s="473">
        <v>20000</v>
      </c>
      <c r="E32" s="463">
        <f t="shared" si="2"/>
        <v>20000</v>
      </c>
      <c r="F32" s="445"/>
    </row>
    <row r="33" spans="1:83" s="260" customFormat="1" ht="14">
      <c r="A33" s="495">
        <f t="shared" si="1"/>
        <v>10</v>
      </c>
      <c r="B33" s="447" t="s">
        <v>759</v>
      </c>
      <c r="C33" s="477">
        <v>1</v>
      </c>
      <c r="D33" s="473">
        <v>35000</v>
      </c>
      <c r="E33" s="463">
        <f t="shared" si="2"/>
        <v>35000</v>
      </c>
      <c r="F33" s="415"/>
    </row>
    <row r="34" spans="1:83" s="260" customFormat="1" ht="14">
      <c r="A34" s="495">
        <f t="shared" si="1"/>
        <v>11</v>
      </c>
      <c r="B34" s="447" t="s">
        <v>763</v>
      </c>
      <c r="C34" s="477">
        <v>1</v>
      </c>
      <c r="D34" s="473">
        <v>75000</v>
      </c>
      <c r="E34" s="463">
        <f t="shared" si="2"/>
        <v>75000</v>
      </c>
      <c r="F34" s="415"/>
    </row>
    <row r="35" spans="1:83" s="260" customFormat="1" ht="14">
      <c r="A35" s="495">
        <f t="shared" si="1"/>
        <v>12</v>
      </c>
      <c r="B35" s="447" t="s">
        <v>760</v>
      </c>
      <c r="C35" s="477">
        <v>1</v>
      </c>
      <c r="D35" s="473">
        <v>50000</v>
      </c>
      <c r="E35" s="463">
        <f t="shared" si="2"/>
        <v>50000</v>
      </c>
      <c r="F35" s="415"/>
    </row>
    <row r="36" spans="1:83" s="260" customFormat="1" ht="14">
      <c r="A36" s="495">
        <f t="shared" si="1"/>
        <v>13</v>
      </c>
      <c r="B36" s="447" t="s">
        <v>610</v>
      </c>
      <c r="C36" s="477">
        <v>1</v>
      </c>
      <c r="D36" s="473">
        <v>30000</v>
      </c>
      <c r="E36" s="463">
        <f t="shared" si="2"/>
        <v>30000</v>
      </c>
      <c r="F36" s="445"/>
    </row>
    <row r="37" spans="1:83" s="260" customFormat="1" ht="14">
      <c r="A37" s="495"/>
      <c r="B37" s="450"/>
      <c r="C37" s="451"/>
      <c r="D37" s="464"/>
      <c r="E37" s="463"/>
      <c r="F37" s="437"/>
    </row>
    <row r="38" spans="1:83" s="427" customFormat="1" ht="16" thickBot="1">
      <c r="A38" s="496"/>
      <c r="B38" s="480" t="s">
        <v>611</v>
      </c>
      <c r="C38" s="443"/>
      <c r="D38" s="468"/>
      <c r="E38" s="469">
        <f>SUM(E24:E37)</f>
        <v>3526000</v>
      </c>
      <c r="F38" s="444"/>
      <c r="G38" s="428"/>
      <c r="H38" s="428"/>
      <c r="I38" s="428"/>
      <c r="J38" s="428"/>
      <c r="K38" s="428"/>
      <c r="L38" s="428"/>
      <c r="M38" s="428"/>
      <c r="N38" s="428"/>
      <c r="O38" s="428"/>
      <c r="P38" s="428"/>
      <c r="Q38" s="428"/>
      <c r="R38" s="428"/>
      <c r="S38" s="428"/>
      <c r="T38" s="428"/>
      <c r="U38" s="428"/>
      <c r="V38" s="428"/>
      <c r="W38" s="428"/>
      <c r="X38" s="428"/>
      <c r="Y38" s="428"/>
      <c r="Z38" s="428"/>
      <c r="AA38" s="428"/>
      <c r="AB38" s="428"/>
      <c r="AC38" s="428"/>
      <c r="AD38" s="428"/>
      <c r="AE38" s="428"/>
      <c r="AF38" s="428"/>
      <c r="AG38" s="428"/>
      <c r="AH38" s="428"/>
      <c r="AI38" s="428"/>
      <c r="AJ38" s="428"/>
      <c r="AK38" s="428"/>
      <c r="AL38" s="428"/>
      <c r="AM38" s="428"/>
      <c r="AN38" s="428"/>
      <c r="AO38" s="428"/>
      <c r="AP38" s="428"/>
      <c r="AQ38" s="428"/>
      <c r="AR38" s="428"/>
      <c r="AS38" s="428"/>
      <c r="AT38" s="428"/>
      <c r="AU38" s="428"/>
      <c r="AV38" s="428"/>
      <c r="AW38" s="428"/>
      <c r="AX38" s="428"/>
      <c r="AY38" s="428"/>
      <c r="AZ38" s="428"/>
      <c r="BA38" s="428"/>
      <c r="BB38" s="428"/>
      <c r="BC38" s="428"/>
      <c r="BD38" s="428"/>
      <c r="BE38" s="428"/>
      <c r="BF38" s="428"/>
      <c r="BG38" s="428"/>
      <c r="BH38" s="428"/>
      <c r="BI38" s="428"/>
      <c r="BJ38" s="428"/>
      <c r="BK38" s="428"/>
      <c r="BL38" s="428"/>
      <c r="BM38" s="428"/>
      <c r="BN38" s="428"/>
      <c r="BO38" s="428"/>
      <c r="BP38" s="428"/>
      <c r="BQ38" s="428"/>
      <c r="BR38" s="428"/>
      <c r="BS38" s="428"/>
      <c r="BT38" s="428"/>
      <c r="BU38" s="428"/>
      <c r="BV38" s="428"/>
      <c r="BW38" s="428"/>
      <c r="BX38" s="428"/>
      <c r="BY38" s="428"/>
      <c r="BZ38" s="428"/>
      <c r="CA38" s="428"/>
      <c r="CB38" s="428"/>
      <c r="CC38" s="428"/>
      <c r="CD38" s="428"/>
      <c r="CE38" s="428"/>
    </row>
    <row r="39" spans="1:83" s="411" customFormat="1" ht="16" thickBot="1">
      <c r="A39" s="409">
        <v>204</v>
      </c>
      <c r="B39" s="409" t="s">
        <v>602</v>
      </c>
      <c r="C39" s="409" t="s">
        <v>409</v>
      </c>
      <c r="D39" s="409" t="s">
        <v>635</v>
      </c>
      <c r="E39" s="410" t="s">
        <v>726</v>
      </c>
      <c r="F39" s="409" t="s">
        <v>603</v>
      </c>
    </row>
    <row r="40" spans="1:83" s="411" customFormat="1">
      <c r="A40" s="494"/>
      <c r="B40" s="420" t="s">
        <v>612</v>
      </c>
      <c r="C40" s="491"/>
      <c r="D40" s="422"/>
      <c r="E40" s="470"/>
      <c r="F40" s="423"/>
    </row>
    <row r="41" spans="1:83" s="260" customFormat="1" ht="14">
      <c r="A41" s="495">
        <v>1</v>
      </c>
      <c r="B41" s="434" t="s">
        <v>761</v>
      </c>
      <c r="C41" s="475">
        <v>1</v>
      </c>
      <c r="D41" s="467">
        <v>10000</v>
      </c>
      <c r="E41" s="463">
        <f t="shared" ref="E41" si="3">C41*D41</f>
        <v>10000</v>
      </c>
      <c r="F41" s="436" t="s">
        <v>766</v>
      </c>
    </row>
    <row r="42" spans="1:83" s="260" customFormat="1" ht="14">
      <c r="A42" s="495"/>
      <c r="B42" s="455"/>
      <c r="C42" s="482"/>
      <c r="D42" s="464"/>
      <c r="E42" s="463"/>
      <c r="F42" s="481"/>
    </row>
    <row r="43" spans="1:83" s="427" customFormat="1" ht="16" thickBot="1">
      <c r="A43" s="496"/>
      <c r="B43" s="479" t="s">
        <v>613</v>
      </c>
      <c r="C43" s="443"/>
      <c r="D43" s="468"/>
      <c r="E43" s="469">
        <f>SUM(E41:E41)</f>
        <v>10000</v>
      </c>
      <c r="F43" s="444"/>
      <c r="G43" s="428"/>
      <c r="H43" s="428"/>
      <c r="I43" s="428"/>
      <c r="J43" s="428"/>
      <c r="K43" s="428"/>
      <c r="L43" s="428"/>
      <c r="M43" s="428"/>
      <c r="N43" s="428"/>
      <c r="O43" s="428"/>
      <c r="P43" s="428"/>
      <c r="Q43" s="428"/>
      <c r="R43" s="428"/>
      <c r="S43" s="428"/>
      <c r="T43" s="428"/>
      <c r="U43" s="428"/>
      <c r="V43" s="428"/>
      <c r="W43" s="428"/>
      <c r="X43" s="428"/>
      <c r="Y43" s="428"/>
      <c r="Z43" s="428"/>
      <c r="AA43" s="428"/>
      <c r="AB43" s="428"/>
      <c r="AC43" s="428"/>
      <c r="AD43" s="428"/>
      <c r="AE43" s="428"/>
      <c r="AF43" s="428"/>
      <c r="AG43" s="428"/>
      <c r="AH43" s="428"/>
      <c r="AI43" s="428"/>
      <c r="AJ43" s="428"/>
      <c r="AK43" s="428"/>
      <c r="AL43" s="428"/>
      <c r="AM43" s="428"/>
      <c r="AN43" s="428"/>
      <c r="AO43" s="428"/>
      <c r="AP43" s="428"/>
      <c r="AQ43" s="428"/>
      <c r="AR43" s="428"/>
      <c r="AS43" s="428"/>
      <c r="AT43" s="428"/>
      <c r="AU43" s="428"/>
      <c r="AV43" s="428"/>
      <c r="AW43" s="428"/>
      <c r="AX43" s="428"/>
      <c r="AY43" s="428"/>
      <c r="AZ43" s="428"/>
      <c r="BA43" s="428"/>
      <c r="BB43" s="428"/>
      <c r="BC43" s="428"/>
      <c r="BD43" s="428"/>
      <c r="BE43" s="428"/>
      <c r="BF43" s="428"/>
      <c r="BG43" s="428"/>
      <c r="BH43" s="428"/>
      <c r="BI43" s="428"/>
      <c r="BJ43" s="428"/>
      <c r="BK43" s="428"/>
      <c r="BL43" s="428"/>
      <c r="BM43" s="428"/>
      <c r="BN43" s="428"/>
      <c r="BO43" s="428"/>
      <c r="BP43" s="428"/>
      <c r="BQ43" s="428"/>
      <c r="BR43" s="428"/>
      <c r="BS43" s="428"/>
      <c r="BT43" s="428"/>
      <c r="BU43" s="428"/>
      <c r="BV43" s="428"/>
      <c r="BW43" s="428"/>
      <c r="BX43" s="428"/>
      <c r="BY43" s="428"/>
      <c r="BZ43" s="428"/>
      <c r="CA43" s="428"/>
      <c r="CB43" s="428"/>
      <c r="CC43" s="428"/>
      <c r="CD43" s="428"/>
      <c r="CE43" s="428"/>
    </row>
    <row r="44" spans="1:83" s="411" customFormat="1" ht="16" thickBot="1">
      <c r="A44" s="409">
        <v>205</v>
      </c>
      <c r="B44" s="409" t="s">
        <v>602</v>
      </c>
      <c r="C44" s="409" t="s">
        <v>409</v>
      </c>
      <c r="D44" s="409" t="s">
        <v>635</v>
      </c>
      <c r="E44" s="410" t="s">
        <v>726</v>
      </c>
      <c r="F44" s="409" t="s">
        <v>603</v>
      </c>
    </row>
    <row r="45" spans="1:83" s="411" customFormat="1">
      <c r="A45" s="494"/>
      <c r="B45" s="420" t="s">
        <v>614</v>
      </c>
      <c r="C45" s="491"/>
      <c r="D45" s="422"/>
      <c r="E45" s="422"/>
      <c r="F45" s="423"/>
    </row>
    <row r="46" spans="1:83" s="260" customFormat="1" ht="14">
      <c r="A46" s="495">
        <v>1</v>
      </c>
      <c r="B46" s="434" t="s">
        <v>614</v>
      </c>
      <c r="C46" s="709">
        <v>1</v>
      </c>
      <c r="D46" s="472">
        <v>10000</v>
      </c>
      <c r="E46" s="463">
        <f>C46*D46</f>
        <v>10000</v>
      </c>
      <c r="F46" s="710" t="s">
        <v>767</v>
      </c>
    </row>
    <row r="47" spans="1:83" s="260" customFormat="1" ht="14">
      <c r="A47" s="495">
        <v>2</v>
      </c>
      <c r="B47" s="434"/>
      <c r="C47" s="475"/>
      <c r="D47" s="462">
        <v>0</v>
      </c>
      <c r="E47" s="463">
        <f>C47*D47</f>
        <v>0</v>
      </c>
      <c r="F47" s="416"/>
    </row>
    <row r="48" spans="1:83" s="260" customFormat="1" ht="14" hidden="1">
      <c r="A48" s="495"/>
      <c r="B48" s="434"/>
      <c r="C48" s="435"/>
      <c r="D48" s="462"/>
      <c r="E48" s="463"/>
      <c r="F48" s="416"/>
    </row>
    <row r="49" spans="1:83" s="260" customFormat="1" ht="14" hidden="1">
      <c r="A49" s="495"/>
      <c r="B49" s="452"/>
      <c r="C49" s="453"/>
      <c r="D49" s="471"/>
      <c r="E49" s="463"/>
      <c r="F49" s="454"/>
    </row>
    <row r="50" spans="1:83" s="260" customFormat="1" ht="14" hidden="1">
      <c r="A50" s="495"/>
      <c r="B50" s="455"/>
      <c r="C50" s="451"/>
      <c r="D50" s="464"/>
      <c r="E50" s="463"/>
      <c r="F50" s="437"/>
    </row>
    <row r="51" spans="1:83" s="427" customFormat="1" ht="16" thickBot="1">
      <c r="A51" s="496"/>
      <c r="B51" s="479" t="s">
        <v>615</v>
      </c>
      <c r="C51" s="443"/>
      <c r="D51" s="468"/>
      <c r="E51" s="469">
        <f>SUM(E46:E50)</f>
        <v>10000</v>
      </c>
      <c r="F51" s="444"/>
      <c r="G51" s="428"/>
      <c r="H51" s="428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428"/>
      <c r="U51" s="428"/>
      <c r="V51" s="428"/>
      <c r="W51" s="428"/>
      <c r="X51" s="428"/>
      <c r="Y51" s="428"/>
      <c r="Z51" s="428"/>
      <c r="AA51" s="428"/>
      <c r="AB51" s="428"/>
      <c r="AC51" s="428"/>
      <c r="AD51" s="428"/>
      <c r="AE51" s="428"/>
      <c r="AF51" s="428"/>
      <c r="AG51" s="428"/>
      <c r="AH51" s="428"/>
      <c r="AI51" s="428"/>
      <c r="AJ51" s="428"/>
      <c r="AK51" s="428"/>
      <c r="AL51" s="428"/>
      <c r="AM51" s="428"/>
      <c r="AN51" s="428"/>
      <c r="AO51" s="428"/>
      <c r="AP51" s="428"/>
      <c r="AQ51" s="428"/>
      <c r="AR51" s="428"/>
      <c r="AS51" s="428"/>
      <c r="AT51" s="428"/>
      <c r="AU51" s="428"/>
      <c r="AV51" s="428"/>
      <c r="AW51" s="428"/>
      <c r="AX51" s="428"/>
      <c r="AY51" s="428"/>
      <c r="AZ51" s="428"/>
      <c r="BA51" s="428"/>
      <c r="BB51" s="428"/>
      <c r="BC51" s="428"/>
      <c r="BD51" s="428"/>
      <c r="BE51" s="428"/>
      <c r="BF51" s="428"/>
      <c r="BG51" s="428"/>
      <c r="BH51" s="428"/>
      <c r="BI51" s="428"/>
      <c r="BJ51" s="428"/>
      <c r="BK51" s="428"/>
      <c r="BL51" s="428"/>
      <c r="BM51" s="428"/>
      <c r="BN51" s="428"/>
      <c r="BO51" s="428"/>
      <c r="BP51" s="428"/>
      <c r="BQ51" s="428"/>
      <c r="BR51" s="428"/>
      <c r="BS51" s="428"/>
      <c r="BT51" s="428"/>
      <c r="BU51" s="428"/>
      <c r="BV51" s="428"/>
      <c r="BW51" s="428"/>
      <c r="BX51" s="428"/>
      <c r="BY51" s="428"/>
      <c r="BZ51" s="428"/>
      <c r="CA51" s="428"/>
      <c r="CB51" s="428"/>
      <c r="CC51" s="428"/>
      <c r="CD51" s="428"/>
      <c r="CE51" s="428"/>
    </row>
    <row r="52" spans="1:83" s="411" customFormat="1" ht="16" thickBot="1">
      <c r="A52" s="409">
        <v>206</v>
      </c>
      <c r="B52" s="409" t="s">
        <v>602</v>
      </c>
      <c r="C52" s="409" t="s">
        <v>409</v>
      </c>
      <c r="D52" s="409" t="s">
        <v>635</v>
      </c>
      <c r="E52" s="410" t="s">
        <v>726</v>
      </c>
      <c r="F52" s="409" t="s">
        <v>603</v>
      </c>
    </row>
    <row r="53" spans="1:83" s="411" customFormat="1">
      <c r="A53" s="494"/>
      <c r="B53" s="426" t="s">
        <v>616</v>
      </c>
      <c r="C53" s="491"/>
      <c r="D53" s="422"/>
      <c r="E53" s="422"/>
      <c r="F53" s="423"/>
    </row>
    <row r="54" spans="1:83" s="260" customFormat="1" ht="14">
      <c r="A54" s="495">
        <v>1</v>
      </c>
      <c r="B54" s="434" t="s">
        <v>617</v>
      </c>
      <c r="C54" s="475">
        <v>1</v>
      </c>
      <c r="D54" s="467">
        <v>15000</v>
      </c>
      <c r="E54" s="463">
        <f>C54*D54</f>
        <v>15000</v>
      </c>
      <c r="F54" s="436" t="s">
        <v>768</v>
      </c>
    </row>
    <row r="55" spans="1:83" s="260" customFormat="1" ht="14">
      <c r="A55" s="495"/>
      <c r="B55" s="434"/>
      <c r="C55" s="475"/>
      <c r="D55" s="467"/>
      <c r="E55" s="463"/>
      <c r="F55" s="436"/>
    </row>
    <row r="56" spans="1:83" s="260" customFormat="1" ht="14" hidden="1">
      <c r="A56" s="495">
        <v>4</v>
      </c>
      <c r="B56" s="434"/>
      <c r="C56" s="435"/>
      <c r="D56" s="467">
        <v>0</v>
      </c>
      <c r="E56" s="463">
        <f>C56*D56</f>
        <v>0</v>
      </c>
      <c r="F56" s="436"/>
    </row>
    <row r="57" spans="1:83" s="260" customFormat="1" ht="14" hidden="1">
      <c r="A57" s="495">
        <v>5</v>
      </c>
      <c r="B57" s="434"/>
      <c r="C57" s="435"/>
      <c r="D57" s="467">
        <v>0</v>
      </c>
      <c r="E57" s="463">
        <f>C57*D57</f>
        <v>0</v>
      </c>
      <c r="F57" s="436"/>
    </row>
    <row r="58" spans="1:83" s="427" customFormat="1" ht="16" thickBot="1">
      <c r="A58" s="412"/>
      <c r="B58" s="478" t="s">
        <v>618</v>
      </c>
      <c r="C58" s="413"/>
      <c r="D58" s="465"/>
      <c r="E58" s="469">
        <f>SUM(E54:E57)</f>
        <v>15000</v>
      </c>
      <c r="F58" s="414"/>
      <c r="G58" s="428"/>
      <c r="H58" s="428"/>
      <c r="I58" s="428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  <c r="V58" s="428"/>
      <c r="W58" s="428"/>
      <c r="X58" s="428"/>
      <c r="Y58" s="428"/>
      <c r="Z58" s="428"/>
      <c r="AA58" s="428"/>
      <c r="AB58" s="428"/>
      <c r="AC58" s="428"/>
      <c r="AD58" s="428"/>
      <c r="AE58" s="428"/>
      <c r="AF58" s="428"/>
      <c r="AG58" s="428"/>
      <c r="AH58" s="428"/>
      <c r="AI58" s="428"/>
      <c r="AJ58" s="428"/>
      <c r="AK58" s="428"/>
      <c r="AL58" s="428"/>
      <c r="AM58" s="428"/>
      <c r="AN58" s="428"/>
      <c r="AO58" s="428"/>
      <c r="AP58" s="428"/>
      <c r="AQ58" s="428"/>
      <c r="AR58" s="428"/>
      <c r="AS58" s="428"/>
      <c r="AT58" s="428"/>
      <c r="AU58" s="428"/>
      <c r="AV58" s="428"/>
      <c r="AW58" s="428"/>
      <c r="AX58" s="428"/>
      <c r="AY58" s="428"/>
      <c r="AZ58" s="428"/>
      <c r="BA58" s="428"/>
      <c r="BB58" s="428"/>
      <c r="BC58" s="428"/>
      <c r="BD58" s="428"/>
      <c r="BE58" s="428"/>
      <c r="BF58" s="428"/>
      <c r="BG58" s="428"/>
      <c r="BH58" s="428"/>
      <c r="BI58" s="428"/>
      <c r="BJ58" s="428"/>
      <c r="BK58" s="428"/>
      <c r="BL58" s="428"/>
      <c r="BM58" s="428"/>
      <c r="BN58" s="428"/>
      <c r="BO58" s="428"/>
      <c r="BP58" s="428"/>
      <c r="BQ58" s="428"/>
      <c r="BR58" s="428"/>
      <c r="BS58" s="428"/>
      <c r="BT58" s="428"/>
      <c r="BU58" s="428"/>
      <c r="BV58" s="428"/>
      <c r="BW58" s="428"/>
      <c r="BX58" s="428"/>
      <c r="BY58" s="428"/>
      <c r="BZ58" s="428"/>
      <c r="CA58" s="428"/>
      <c r="CB58" s="428"/>
      <c r="CC58" s="428"/>
      <c r="CD58" s="428"/>
      <c r="CE58" s="428"/>
    </row>
    <row r="59" spans="1:83" s="411" customFormat="1" ht="16" thickBot="1">
      <c r="A59" s="409">
        <v>207</v>
      </c>
      <c r="B59" s="409" t="s">
        <v>602</v>
      </c>
      <c r="C59" s="409" t="s">
        <v>409</v>
      </c>
      <c r="D59" s="409" t="s">
        <v>635</v>
      </c>
      <c r="E59" s="410" t="s">
        <v>726</v>
      </c>
      <c r="F59" s="409" t="s">
        <v>603</v>
      </c>
    </row>
    <row r="60" spans="1:83" s="411" customFormat="1">
      <c r="A60" s="494"/>
      <c r="B60" s="426" t="s">
        <v>619</v>
      </c>
      <c r="C60" s="491"/>
      <c r="D60" s="422"/>
      <c r="E60" s="422"/>
      <c r="F60" s="423"/>
    </row>
    <row r="61" spans="1:83" s="260" customFormat="1" ht="14">
      <c r="A61" s="495">
        <v>1</v>
      </c>
      <c r="B61" s="456" t="s">
        <v>619</v>
      </c>
      <c r="C61" s="492">
        <v>1</v>
      </c>
      <c r="D61" s="472">
        <v>150000</v>
      </c>
      <c r="E61" s="463">
        <f>C61*D61</f>
        <v>150000</v>
      </c>
      <c r="F61" s="458" t="s">
        <v>769</v>
      </c>
    </row>
    <row r="62" spans="1:83" s="260" customFormat="1" ht="14">
      <c r="A62" s="495"/>
      <c r="B62" s="434"/>
      <c r="C62" s="475"/>
      <c r="D62" s="467"/>
      <c r="E62" s="463"/>
      <c r="F62" s="436"/>
    </row>
    <row r="63" spans="1:83" s="260" customFormat="1" ht="14" hidden="1">
      <c r="A63" s="495"/>
      <c r="B63" s="434"/>
      <c r="C63" s="435"/>
      <c r="D63" s="464"/>
      <c r="E63" s="463"/>
      <c r="F63" s="436"/>
    </row>
    <row r="64" spans="1:83" s="260" customFormat="1" ht="14" hidden="1">
      <c r="A64" s="495"/>
      <c r="B64" s="434"/>
      <c r="C64" s="435"/>
      <c r="D64" s="467"/>
      <c r="E64" s="463"/>
      <c r="F64" s="445"/>
    </row>
    <row r="65" spans="1:83" s="260" customFormat="1" ht="14" hidden="1">
      <c r="A65" s="495"/>
      <c r="B65" s="434"/>
      <c r="C65" s="435"/>
      <c r="D65" s="467"/>
      <c r="E65" s="463"/>
      <c r="F65" s="445"/>
    </row>
    <row r="66" spans="1:83" s="427" customFormat="1" ht="16" thickBot="1">
      <c r="A66" s="412"/>
      <c r="B66" s="478" t="s">
        <v>620</v>
      </c>
      <c r="C66" s="413"/>
      <c r="D66" s="465"/>
      <c r="E66" s="469">
        <f>SUM(E61:E65)</f>
        <v>150000</v>
      </c>
      <c r="F66" s="414"/>
      <c r="G66" s="428"/>
      <c r="H66" s="428"/>
      <c r="I66" s="428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28"/>
      <c r="U66" s="428"/>
      <c r="V66" s="428"/>
      <c r="W66" s="428"/>
      <c r="X66" s="428"/>
      <c r="Y66" s="428"/>
      <c r="Z66" s="428"/>
      <c r="AA66" s="428"/>
      <c r="AB66" s="428"/>
      <c r="AC66" s="428"/>
      <c r="AD66" s="428"/>
      <c r="AE66" s="428"/>
      <c r="AF66" s="428"/>
      <c r="AG66" s="428"/>
      <c r="AH66" s="428"/>
      <c r="AI66" s="428"/>
      <c r="AJ66" s="428"/>
      <c r="AK66" s="428"/>
      <c r="AL66" s="428"/>
      <c r="AM66" s="428"/>
      <c r="AN66" s="428"/>
      <c r="AO66" s="428"/>
      <c r="AP66" s="428"/>
      <c r="AQ66" s="428"/>
      <c r="AR66" s="428"/>
      <c r="AS66" s="428"/>
      <c r="AT66" s="428"/>
      <c r="AU66" s="428"/>
      <c r="AV66" s="428"/>
      <c r="AW66" s="428"/>
      <c r="AX66" s="428"/>
      <c r="AY66" s="428"/>
      <c r="AZ66" s="428"/>
      <c r="BA66" s="428"/>
      <c r="BB66" s="428"/>
      <c r="BC66" s="428"/>
      <c r="BD66" s="428"/>
      <c r="BE66" s="428"/>
      <c r="BF66" s="428"/>
      <c r="BG66" s="428"/>
      <c r="BH66" s="428"/>
      <c r="BI66" s="428"/>
      <c r="BJ66" s="428"/>
      <c r="BK66" s="428"/>
      <c r="BL66" s="428"/>
      <c r="BM66" s="428"/>
      <c r="BN66" s="428"/>
      <c r="BO66" s="428"/>
      <c r="BP66" s="428"/>
      <c r="BQ66" s="428"/>
      <c r="BR66" s="428"/>
      <c r="BS66" s="428"/>
      <c r="BT66" s="428"/>
      <c r="BU66" s="428"/>
      <c r="BV66" s="428"/>
      <c r="BW66" s="428"/>
      <c r="BX66" s="428"/>
      <c r="BY66" s="428"/>
      <c r="BZ66" s="428"/>
      <c r="CA66" s="428"/>
      <c r="CB66" s="428"/>
      <c r="CC66" s="428"/>
      <c r="CD66" s="428"/>
      <c r="CE66" s="428"/>
    </row>
    <row r="67" spans="1:83" s="411" customFormat="1" ht="16" thickBot="1">
      <c r="A67" s="409">
        <v>208</v>
      </c>
      <c r="B67" s="409" t="s">
        <v>602</v>
      </c>
      <c r="C67" s="409" t="s">
        <v>409</v>
      </c>
      <c r="D67" s="409" t="s">
        <v>635</v>
      </c>
      <c r="E67" s="410" t="s">
        <v>726</v>
      </c>
      <c r="F67" s="409" t="s">
        <v>603</v>
      </c>
    </row>
    <row r="68" spans="1:83" s="411" customFormat="1">
      <c r="A68" s="494"/>
      <c r="B68" s="420" t="s">
        <v>621</v>
      </c>
      <c r="C68" s="491"/>
      <c r="D68" s="422"/>
      <c r="E68" s="422"/>
      <c r="F68" s="423"/>
    </row>
    <row r="69" spans="1:83" s="260" customFormat="1" ht="14">
      <c r="A69" s="495">
        <v>1</v>
      </c>
      <c r="B69" s="434" t="s">
        <v>770</v>
      </c>
      <c r="C69" s="475"/>
      <c r="D69" s="467"/>
      <c r="E69" s="463">
        <f>C69*D69</f>
        <v>0</v>
      </c>
      <c r="F69" s="436"/>
    </row>
    <row r="70" spans="1:83" s="260" customFormat="1" ht="14">
      <c r="A70" s="495"/>
      <c r="B70" s="434"/>
      <c r="C70" s="475"/>
      <c r="D70" s="467"/>
      <c r="E70" s="463"/>
      <c r="F70" s="445"/>
    </row>
    <row r="71" spans="1:83" s="427" customFormat="1" ht="16" thickBot="1">
      <c r="A71" s="412"/>
      <c r="B71" s="478" t="s">
        <v>622</v>
      </c>
      <c r="C71" s="413"/>
      <c r="D71" s="465"/>
      <c r="E71" s="469">
        <f>SUM(E69:E70)</f>
        <v>0</v>
      </c>
      <c r="F71" s="414"/>
      <c r="G71" s="428"/>
      <c r="H71" s="428"/>
      <c r="I71" s="428"/>
      <c r="J71" s="428"/>
      <c r="K71" s="428"/>
      <c r="L71" s="428"/>
      <c r="M71" s="428"/>
      <c r="N71" s="428"/>
      <c r="O71" s="428"/>
      <c r="P71" s="428"/>
      <c r="Q71" s="428"/>
      <c r="R71" s="428"/>
      <c r="S71" s="428"/>
      <c r="T71" s="428"/>
      <c r="U71" s="428"/>
      <c r="V71" s="428"/>
      <c r="W71" s="428"/>
      <c r="X71" s="428"/>
      <c r="Y71" s="428"/>
      <c r="Z71" s="428"/>
      <c r="AA71" s="428"/>
      <c r="AB71" s="428"/>
      <c r="AC71" s="428"/>
      <c r="AD71" s="428"/>
      <c r="AE71" s="428"/>
      <c r="AF71" s="428"/>
      <c r="AG71" s="428"/>
      <c r="AH71" s="428"/>
      <c r="AI71" s="428"/>
      <c r="AJ71" s="428"/>
      <c r="AK71" s="428"/>
      <c r="AL71" s="428"/>
      <c r="AM71" s="428"/>
      <c r="AN71" s="428"/>
      <c r="AO71" s="428"/>
      <c r="AP71" s="428"/>
      <c r="AQ71" s="428"/>
      <c r="AR71" s="428"/>
      <c r="AS71" s="428"/>
      <c r="AT71" s="428"/>
      <c r="AU71" s="428"/>
      <c r="AV71" s="428"/>
      <c r="AW71" s="428"/>
      <c r="AX71" s="428"/>
      <c r="AY71" s="428"/>
      <c r="AZ71" s="428"/>
      <c r="BA71" s="428"/>
      <c r="BB71" s="428"/>
      <c r="BC71" s="428"/>
      <c r="BD71" s="428"/>
      <c r="BE71" s="428"/>
      <c r="BF71" s="428"/>
      <c r="BG71" s="428"/>
      <c r="BH71" s="428"/>
      <c r="BI71" s="428"/>
      <c r="BJ71" s="428"/>
      <c r="BK71" s="428"/>
      <c r="BL71" s="428"/>
      <c r="BM71" s="428"/>
      <c r="BN71" s="428"/>
      <c r="BO71" s="428"/>
      <c r="BP71" s="428"/>
      <c r="BQ71" s="428"/>
      <c r="BR71" s="428"/>
      <c r="BS71" s="428"/>
      <c r="BT71" s="428"/>
      <c r="BU71" s="428"/>
      <c r="BV71" s="428"/>
      <c r="BW71" s="428"/>
      <c r="BX71" s="428"/>
      <c r="BY71" s="428"/>
      <c r="BZ71" s="428"/>
      <c r="CA71" s="428"/>
      <c r="CB71" s="428"/>
      <c r="CC71" s="428"/>
      <c r="CD71" s="428"/>
      <c r="CE71" s="428"/>
    </row>
    <row r="72" spans="1:83" s="411" customFormat="1" ht="16" thickBot="1">
      <c r="A72" s="409">
        <v>209</v>
      </c>
      <c r="B72" s="409" t="s">
        <v>602</v>
      </c>
      <c r="C72" s="409" t="s">
        <v>409</v>
      </c>
      <c r="D72" s="409" t="s">
        <v>635</v>
      </c>
      <c r="E72" s="410" t="s">
        <v>726</v>
      </c>
      <c r="F72" s="409" t="s">
        <v>603</v>
      </c>
    </row>
    <row r="73" spans="1:83" s="411" customFormat="1">
      <c r="A73" s="494"/>
      <c r="B73" s="420" t="s">
        <v>623</v>
      </c>
      <c r="C73" s="421"/>
      <c r="D73" s="422"/>
      <c r="E73" s="422"/>
      <c r="F73" s="423"/>
    </row>
    <row r="74" spans="1:83" s="441" customFormat="1" ht="14">
      <c r="A74" s="493">
        <v>1</v>
      </c>
      <c r="B74" s="484" t="s">
        <v>624</v>
      </c>
      <c r="C74" s="492">
        <v>1</v>
      </c>
      <c r="D74" s="472">
        <f>'Budget Summary'!D25*0.013</f>
        <v>493297.47674999997</v>
      </c>
      <c r="E74" s="463">
        <f t="shared" ref="E74:E80" si="4">C74*D74</f>
        <v>493297.47674999997</v>
      </c>
      <c r="F74" s="485" t="s">
        <v>1041</v>
      </c>
    </row>
    <row r="75" spans="1:83" s="441" customFormat="1" ht="14">
      <c r="A75" s="493">
        <f>A74+1</f>
        <v>2</v>
      </c>
      <c r="B75" s="484" t="s">
        <v>838</v>
      </c>
      <c r="C75" s="477">
        <v>1</v>
      </c>
      <c r="D75" s="462">
        <v>50000</v>
      </c>
      <c r="E75" s="463">
        <f t="shared" si="4"/>
        <v>50000</v>
      </c>
      <c r="F75" s="485"/>
    </row>
    <row r="76" spans="1:83" s="441" customFormat="1" ht="14">
      <c r="A76" s="493">
        <v>3</v>
      </c>
      <c r="B76" s="484" t="s">
        <v>625</v>
      </c>
      <c r="C76" s="477">
        <v>1</v>
      </c>
      <c r="D76" s="462">
        <v>10000</v>
      </c>
      <c r="E76" s="463">
        <f t="shared" si="4"/>
        <v>10000</v>
      </c>
      <c r="F76" s="485"/>
    </row>
    <row r="77" spans="1:83" s="441" customFormat="1" ht="14">
      <c r="A77" s="493">
        <v>4</v>
      </c>
      <c r="B77" s="484" t="s">
        <v>626</v>
      </c>
      <c r="C77" s="477">
        <v>0</v>
      </c>
      <c r="D77" s="462"/>
      <c r="E77" s="463">
        <f t="shared" si="4"/>
        <v>0</v>
      </c>
      <c r="F77" s="440"/>
    </row>
    <row r="78" spans="1:83" s="441" customFormat="1" ht="28">
      <c r="A78" s="493">
        <v>5</v>
      </c>
      <c r="B78" s="484" t="s">
        <v>773</v>
      </c>
      <c r="C78" s="477">
        <v>1</v>
      </c>
      <c r="D78" s="462">
        <v>35000</v>
      </c>
      <c r="E78" s="463">
        <f t="shared" si="4"/>
        <v>35000</v>
      </c>
      <c r="F78" s="458" t="s">
        <v>774</v>
      </c>
    </row>
    <row r="79" spans="1:83" s="441" customFormat="1" ht="14">
      <c r="A79" s="493">
        <v>6</v>
      </c>
      <c r="B79" s="484" t="s">
        <v>771</v>
      </c>
      <c r="C79" s="477">
        <v>1</v>
      </c>
      <c r="D79" s="462">
        <v>21500</v>
      </c>
      <c r="E79" s="463">
        <f t="shared" si="4"/>
        <v>21500</v>
      </c>
      <c r="F79" s="486"/>
    </row>
    <row r="80" spans="1:83" s="441" customFormat="1" ht="14">
      <c r="A80" s="493">
        <v>7</v>
      </c>
      <c r="B80" s="438" t="s">
        <v>772</v>
      </c>
      <c r="C80" s="477">
        <v>1</v>
      </c>
      <c r="D80" s="462">
        <v>18500</v>
      </c>
      <c r="E80" s="463">
        <f t="shared" si="4"/>
        <v>18500</v>
      </c>
      <c r="F80" s="487"/>
    </row>
    <row r="81" spans="1:83" s="441" customFormat="1" ht="14">
      <c r="A81" s="497"/>
      <c r="B81" s="489"/>
      <c r="C81" s="490"/>
      <c r="D81" s="471"/>
      <c r="E81" s="463"/>
      <c r="F81" s="442"/>
    </row>
    <row r="82" spans="1:83" s="427" customFormat="1" ht="16" thickBot="1">
      <c r="A82" s="412"/>
      <c r="B82" s="478" t="s">
        <v>627</v>
      </c>
      <c r="C82" s="413"/>
      <c r="D82" s="465"/>
      <c r="E82" s="469">
        <f>SUM(E74:E80)</f>
        <v>628297.47674999991</v>
      </c>
      <c r="F82" s="414"/>
      <c r="G82" s="428"/>
      <c r="H82" s="428"/>
      <c r="I82" s="428"/>
      <c r="J82" s="428"/>
      <c r="K82" s="428"/>
      <c r="L82" s="428"/>
      <c r="M82" s="428"/>
      <c r="N82" s="428"/>
      <c r="O82" s="428"/>
      <c r="P82" s="428"/>
      <c r="Q82" s="428"/>
      <c r="R82" s="428"/>
      <c r="S82" s="428"/>
      <c r="T82" s="428"/>
      <c r="U82" s="428"/>
      <c r="V82" s="428"/>
      <c r="W82" s="428"/>
      <c r="X82" s="428"/>
      <c r="Y82" s="428"/>
      <c r="Z82" s="428"/>
      <c r="AA82" s="428"/>
      <c r="AB82" s="428"/>
      <c r="AC82" s="428"/>
      <c r="AD82" s="428"/>
      <c r="AE82" s="428"/>
      <c r="AF82" s="428"/>
      <c r="AG82" s="428"/>
      <c r="AH82" s="428"/>
      <c r="AI82" s="428"/>
      <c r="AJ82" s="428"/>
      <c r="AK82" s="428"/>
      <c r="AL82" s="428"/>
      <c r="AM82" s="428"/>
      <c r="AN82" s="428"/>
      <c r="AO82" s="428"/>
      <c r="AP82" s="428"/>
      <c r="AQ82" s="428"/>
      <c r="AR82" s="428"/>
      <c r="AS82" s="428"/>
      <c r="AT82" s="428"/>
      <c r="AU82" s="428"/>
      <c r="AV82" s="428"/>
      <c r="AW82" s="428"/>
      <c r="AX82" s="428"/>
      <c r="AY82" s="428"/>
      <c r="AZ82" s="428"/>
      <c r="BA82" s="428"/>
      <c r="BB82" s="428"/>
      <c r="BC82" s="428"/>
      <c r="BD82" s="428"/>
      <c r="BE82" s="428"/>
      <c r="BF82" s="428"/>
      <c r="BG82" s="428"/>
      <c r="BH82" s="428"/>
      <c r="BI82" s="428"/>
      <c r="BJ82" s="428"/>
      <c r="BK82" s="428"/>
      <c r="BL82" s="428"/>
      <c r="BM82" s="428"/>
      <c r="BN82" s="428"/>
      <c r="BO82" s="428"/>
      <c r="BP82" s="428"/>
      <c r="BQ82" s="428"/>
      <c r="BR82" s="428"/>
      <c r="BS82" s="428"/>
      <c r="BT82" s="428"/>
      <c r="BU82" s="428"/>
      <c r="BV82" s="428"/>
      <c r="BW82" s="428"/>
      <c r="BX82" s="428"/>
      <c r="BY82" s="428"/>
      <c r="BZ82" s="428"/>
      <c r="CA82" s="428"/>
      <c r="CB82" s="428"/>
      <c r="CC82" s="428"/>
      <c r="CD82" s="428"/>
      <c r="CE82" s="428"/>
    </row>
    <row r="83" spans="1:83" s="411" customFormat="1" ht="16" thickBot="1">
      <c r="A83" s="409">
        <v>210</v>
      </c>
      <c r="B83" s="409" t="s">
        <v>602</v>
      </c>
      <c r="C83" s="409" t="s">
        <v>409</v>
      </c>
      <c r="D83" s="409" t="s">
        <v>635</v>
      </c>
      <c r="E83" s="410" t="s">
        <v>726</v>
      </c>
      <c r="F83" s="409" t="s">
        <v>603</v>
      </c>
    </row>
    <row r="84" spans="1:83" s="411" customFormat="1">
      <c r="A84" s="494"/>
      <c r="B84" s="426" t="s">
        <v>628</v>
      </c>
      <c r="C84" s="421"/>
      <c r="D84" s="422"/>
      <c r="E84" s="470"/>
      <c r="F84" s="423"/>
    </row>
    <row r="85" spans="1:83" s="441" customFormat="1" ht="42">
      <c r="A85" s="493">
        <v>1</v>
      </c>
      <c r="B85" s="438" t="s">
        <v>775</v>
      </c>
      <c r="C85" s="457">
        <v>1</v>
      </c>
      <c r="D85" s="463">
        <v>50000</v>
      </c>
      <c r="E85" s="463">
        <f>C85*D85</f>
        <v>50000</v>
      </c>
      <c r="F85" s="708" t="s">
        <v>776</v>
      </c>
    </row>
    <row r="86" spans="1:83" s="260" customFormat="1" ht="14">
      <c r="A86" s="495"/>
      <c r="B86" s="434"/>
      <c r="C86" s="435"/>
      <c r="D86" s="467"/>
      <c r="E86" s="463"/>
      <c r="F86" s="436"/>
    </row>
    <row r="87" spans="1:83" s="260" customFormat="1" ht="14" hidden="1">
      <c r="A87" s="495"/>
      <c r="B87" s="434"/>
      <c r="C87" s="435"/>
      <c r="D87" s="467"/>
      <c r="E87" s="463"/>
      <c r="F87" s="436"/>
    </row>
    <row r="88" spans="1:83" s="260" customFormat="1" ht="14" hidden="1">
      <c r="A88" s="495"/>
      <c r="B88" s="434"/>
      <c r="C88" s="435"/>
      <c r="D88" s="467"/>
      <c r="E88" s="463"/>
      <c r="F88" s="436"/>
    </row>
    <row r="89" spans="1:83" s="260" customFormat="1" ht="14" hidden="1">
      <c r="A89" s="495"/>
      <c r="B89" s="434"/>
      <c r="C89" s="435"/>
      <c r="D89" s="467"/>
      <c r="E89" s="463"/>
      <c r="F89" s="436"/>
    </row>
    <row r="90" spans="1:83" s="427" customFormat="1" ht="16" thickBot="1">
      <c r="A90" s="412"/>
      <c r="B90" s="478" t="s">
        <v>629</v>
      </c>
      <c r="C90" s="413"/>
      <c r="D90" s="465"/>
      <c r="E90" s="469">
        <f>SUM(E85:E89)</f>
        <v>50000</v>
      </c>
      <c r="F90" s="414"/>
      <c r="G90" s="428"/>
      <c r="H90" s="428"/>
      <c r="I90" s="428"/>
      <c r="J90" s="428"/>
      <c r="K90" s="428"/>
      <c r="L90" s="428"/>
      <c r="M90" s="428"/>
      <c r="N90" s="428"/>
      <c r="O90" s="428"/>
      <c r="P90" s="428"/>
      <c r="Q90" s="428"/>
      <c r="R90" s="428"/>
      <c r="S90" s="428"/>
      <c r="T90" s="428"/>
      <c r="U90" s="428"/>
      <c r="V90" s="428"/>
      <c r="W90" s="428"/>
      <c r="X90" s="428"/>
      <c r="Y90" s="428"/>
      <c r="Z90" s="428"/>
      <c r="AA90" s="428"/>
      <c r="AB90" s="428"/>
      <c r="AC90" s="428"/>
      <c r="AD90" s="428"/>
      <c r="AE90" s="428"/>
      <c r="AF90" s="428"/>
      <c r="AG90" s="428"/>
      <c r="AH90" s="428"/>
      <c r="AI90" s="428"/>
      <c r="AJ90" s="428"/>
      <c r="AK90" s="428"/>
      <c r="AL90" s="428"/>
      <c r="AM90" s="428"/>
      <c r="AN90" s="428"/>
      <c r="AO90" s="428"/>
      <c r="AP90" s="428"/>
      <c r="AQ90" s="428"/>
      <c r="AR90" s="428"/>
      <c r="AS90" s="428"/>
      <c r="AT90" s="428"/>
      <c r="AU90" s="428"/>
      <c r="AV90" s="428"/>
      <c r="AW90" s="428"/>
      <c r="AX90" s="428"/>
      <c r="AY90" s="428"/>
      <c r="AZ90" s="428"/>
      <c r="BA90" s="428"/>
      <c r="BB90" s="428"/>
      <c r="BC90" s="428"/>
      <c r="BD90" s="428"/>
      <c r="BE90" s="428"/>
      <c r="BF90" s="428"/>
      <c r="BG90" s="428"/>
      <c r="BH90" s="428"/>
      <c r="BI90" s="428"/>
      <c r="BJ90" s="428"/>
      <c r="BK90" s="428"/>
      <c r="BL90" s="428"/>
      <c r="BM90" s="428"/>
      <c r="BN90" s="428"/>
      <c r="BO90" s="428"/>
      <c r="BP90" s="428"/>
      <c r="BQ90" s="428"/>
      <c r="BR90" s="428"/>
      <c r="BS90" s="428"/>
      <c r="BT90" s="428"/>
      <c r="BU90" s="428"/>
      <c r="BV90" s="428"/>
      <c r="BW90" s="428"/>
      <c r="BX90" s="428"/>
      <c r="BY90" s="428"/>
      <c r="BZ90" s="428"/>
      <c r="CA90" s="428"/>
      <c r="CB90" s="428"/>
      <c r="CC90" s="428"/>
      <c r="CD90" s="428"/>
      <c r="CE90" s="428"/>
    </row>
    <row r="91" spans="1:83" s="411" customFormat="1" ht="16" thickBot="1">
      <c r="A91" s="409">
        <v>211</v>
      </c>
      <c r="B91" s="409" t="s">
        <v>602</v>
      </c>
      <c r="C91" s="409" t="s">
        <v>409</v>
      </c>
      <c r="D91" s="409" t="s">
        <v>635</v>
      </c>
      <c r="E91" s="410" t="s">
        <v>726</v>
      </c>
      <c r="F91" s="409" t="s">
        <v>603</v>
      </c>
    </row>
    <row r="92" spans="1:83" s="411" customFormat="1">
      <c r="A92" s="494"/>
      <c r="B92" s="426" t="s">
        <v>630</v>
      </c>
      <c r="C92" s="421"/>
      <c r="D92" s="422"/>
      <c r="E92" s="422"/>
      <c r="F92" s="423"/>
    </row>
    <row r="93" spans="1:83" s="260" customFormat="1" ht="14">
      <c r="A93" s="495">
        <v>1</v>
      </c>
      <c r="B93" s="434" t="s">
        <v>777</v>
      </c>
      <c r="C93" s="435">
        <v>0</v>
      </c>
      <c r="D93" s="467">
        <v>0</v>
      </c>
      <c r="E93" s="463">
        <f>C93*D93</f>
        <v>0</v>
      </c>
      <c r="F93" s="436"/>
    </row>
    <row r="94" spans="1:83" s="260" customFormat="1" ht="14">
      <c r="A94" s="495"/>
      <c r="B94" s="434"/>
      <c r="C94" s="435"/>
      <c r="D94" s="467"/>
      <c r="E94" s="463"/>
      <c r="F94" s="436"/>
    </row>
    <row r="95" spans="1:83" s="260" customFormat="1" ht="14" hidden="1">
      <c r="A95" s="495"/>
      <c r="B95" s="434"/>
      <c r="C95" s="435"/>
      <c r="D95" s="467"/>
      <c r="E95" s="463"/>
      <c r="F95" s="436"/>
    </row>
    <row r="96" spans="1:83" s="260" customFormat="1" ht="14" hidden="1">
      <c r="A96" s="495"/>
      <c r="B96" s="434"/>
      <c r="C96" s="435"/>
      <c r="D96" s="467"/>
      <c r="E96" s="463"/>
      <c r="F96" s="436"/>
    </row>
    <row r="97" spans="1:83" s="260" customFormat="1" ht="14" hidden="1">
      <c r="A97" s="495"/>
      <c r="B97" s="434"/>
      <c r="C97" s="435"/>
      <c r="D97" s="467"/>
      <c r="E97" s="463"/>
      <c r="F97" s="436"/>
    </row>
    <row r="98" spans="1:83" s="427" customFormat="1" ht="16" thickBot="1">
      <c r="A98" s="412"/>
      <c r="B98" s="478" t="s">
        <v>631</v>
      </c>
      <c r="C98" s="413"/>
      <c r="D98" s="465"/>
      <c r="E98" s="469">
        <f>SUM(E93:E97)</f>
        <v>0</v>
      </c>
      <c r="F98" s="414"/>
      <c r="G98" s="428"/>
      <c r="H98" s="428"/>
      <c r="I98" s="428"/>
      <c r="J98" s="428"/>
      <c r="K98" s="428"/>
      <c r="L98" s="428"/>
      <c r="M98" s="428"/>
      <c r="N98" s="428"/>
      <c r="O98" s="428"/>
      <c r="P98" s="428"/>
      <c r="Q98" s="428"/>
      <c r="R98" s="428"/>
      <c r="S98" s="428"/>
      <c r="T98" s="428"/>
      <c r="U98" s="428"/>
      <c r="V98" s="428"/>
      <c r="W98" s="428"/>
      <c r="X98" s="428"/>
      <c r="Y98" s="428"/>
      <c r="Z98" s="428"/>
      <c r="AA98" s="428"/>
      <c r="AB98" s="428"/>
      <c r="AC98" s="428"/>
      <c r="AD98" s="428"/>
      <c r="AE98" s="428"/>
      <c r="AF98" s="428"/>
      <c r="AG98" s="428"/>
      <c r="AH98" s="428"/>
      <c r="AI98" s="428"/>
      <c r="AJ98" s="428"/>
      <c r="AK98" s="428"/>
      <c r="AL98" s="428"/>
      <c r="AM98" s="428"/>
      <c r="AN98" s="428"/>
      <c r="AO98" s="428"/>
      <c r="AP98" s="428"/>
      <c r="AQ98" s="428"/>
      <c r="AR98" s="428"/>
      <c r="AS98" s="428"/>
      <c r="AT98" s="428"/>
      <c r="AU98" s="428"/>
      <c r="AV98" s="428"/>
      <c r="AW98" s="428"/>
      <c r="AX98" s="428"/>
      <c r="AY98" s="428"/>
      <c r="AZ98" s="428"/>
      <c r="BA98" s="428"/>
      <c r="BB98" s="428"/>
      <c r="BC98" s="428"/>
      <c r="BD98" s="428"/>
      <c r="BE98" s="428"/>
      <c r="BF98" s="428"/>
      <c r="BG98" s="428"/>
      <c r="BH98" s="428"/>
      <c r="BI98" s="428"/>
      <c r="BJ98" s="428"/>
      <c r="BK98" s="428"/>
      <c r="BL98" s="428"/>
      <c r="BM98" s="428"/>
      <c r="BN98" s="428"/>
      <c r="BO98" s="428"/>
      <c r="BP98" s="428"/>
      <c r="BQ98" s="428"/>
      <c r="BR98" s="428"/>
      <c r="BS98" s="428"/>
      <c r="BT98" s="428"/>
      <c r="BU98" s="428"/>
      <c r="BV98" s="428"/>
      <c r="BW98" s="428"/>
      <c r="BX98" s="428"/>
      <c r="BY98" s="428"/>
      <c r="BZ98" s="428"/>
      <c r="CA98" s="428"/>
      <c r="CB98" s="428"/>
      <c r="CC98" s="428"/>
      <c r="CD98" s="428"/>
      <c r="CE98" s="428"/>
    </row>
    <row r="99" spans="1:83" s="411" customFormat="1" ht="16" thickBot="1">
      <c r="A99" s="409">
        <v>212</v>
      </c>
      <c r="B99" s="409" t="s">
        <v>602</v>
      </c>
      <c r="C99" s="409" t="s">
        <v>409</v>
      </c>
      <c r="D99" s="409" t="s">
        <v>635</v>
      </c>
      <c r="E99" s="410" t="s">
        <v>726</v>
      </c>
      <c r="F99" s="409" t="s">
        <v>603</v>
      </c>
    </row>
    <row r="100" spans="1:83" s="411" customFormat="1">
      <c r="A100" s="494"/>
      <c r="B100" s="426" t="s">
        <v>297</v>
      </c>
      <c r="C100" s="421"/>
      <c r="D100" s="422"/>
      <c r="E100" s="422"/>
      <c r="F100" s="423"/>
    </row>
    <row r="101" spans="1:83" s="260" customFormat="1" ht="14">
      <c r="A101" s="495">
        <v>1</v>
      </c>
      <c r="B101" s="434" t="s">
        <v>632</v>
      </c>
      <c r="C101" s="435">
        <v>1</v>
      </c>
      <c r="D101" s="467">
        <v>50000</v>
      </c>
      <c r="E101" s="463">
        <f>C101*D101</f>
        <v>50000</v>
      </c>
      <c r="F101" s="436"/>
    </row>
    <row r="102" spans="1:83" s="260" customFormat="1" ht="14">
      <c r="A102" s="495">
        <v>2</v>
      </c>
      <c r="B102" s="434"/>
      <c r="C102" s="435"/>
      <c r="D102" s="467"/>
      <c r="E102" s="463"/>
      <c r="F102" s="436"/>
    </row>
    <row r="103" spans="1:83" s="427" customFormat="1" ht="16" thickBot="1">
      <c r="A103" s="412"/>
      <c r="B103" s="478" t="s">
        <v>633</v>
      </c>
      <c r="C103" s="413"/>
      <c r="D103" s="465"/>
      <c r="E103" s="466">
        <f>SUM(E101:E102)</f>
        <v>50000</v>
      </c>
      <c r="F103" s="414"/>
      <c r="G103" s="428"/>
      <c r="H103" s="428"/>
      <c r="I103" s="428"/>
      <c r="J103" s="428"/>
      <c r="K103" s="428"/>
      <c r="L103" s="428"/>
      <c r="M103" s="428"/>
      <c r="N103" s="428"/>
      <c r="O103" s="428"/>
      <c r="P103" s="428"/>
      <c r="Q103" s="428"/>
      <c r="R103" s="428"/>
      <c r="S103" s="428"/>
      <c r="T103" s="428"/>
      <c r="U103" s="428"/>
      <c r="V103" s="428"/>
      <c r="W103" s="428"/>
      <c r="X103" s="428"/>
      <c r="Y103" s="428"/>
      <c r="Z103" s="428"/>
      <c r="AA103" s="428"/>
      <c r="AB103" s="428"/>
      <c r="AC103" s="428"/>
      <c r="AD103" s="428"/>
      <c r="AE103" s="428"/>
      <c r="AF103" s="428"/>
      <c r="AG103" s="428"/>
      <c r="AH103" s="428"/>
      <c r="AI103" s="428"/>
      <c r="AJ103" s="428"/>
      <c r="AK103" s="428"/>
      <c r="AL103" s="428"/>
      <c r="AM103" s="428"/>
      <c r="AN103" s="428"/>
      <c r="AO103" s="428"/>
      <c r="AP103" s="428"/>
      <c r="AQ103" s="428"/>
      <c r="AR103" s="428"/>
      <c r="AS103" s="428"/>
      <c r="AT103" s="428"/>
      <c r="AU103" s="428"/>
      <c r="AV103" s="428"/>
      <c r="AW103" s="428"/>
      <c r="AX103" s="428"/>
      <c r="AY103" s="428"/>
      <c r="AZ103" s="428"/>
      <c r="BA103" s="428"/>
      <c r="BB103" s="428"/>
      <c r="BC103" s="428"/>
      <c r="BD103" s="428"/>
      <c r="BE103" s="428"/>
      <c r="BF103" s="428"/>
      <c r="BG103" s="428"/>
      <c r="BH103" s="428"/>
      <c r="BI103" s="428"/>
      <c r="BJ103" s="428"/>
      <c r="BK103" s="428"/>
      <c r="BL103" s="428"/>
      <c r="BM103" s="428"/>
      <c r="BN103" s="428"/>
      <c r="BO103" s="428"/>
      <c r="BP103" s="428"/>
      <c r="BQ103" s="428"/>
      <c r="BR103" s="428"/>
      <c r="BS103" s="428"/>
      <c r="BT103" s="428"/>
      <c r="BU103" s="428"/>
      <c r="BV103" s="428"/>
      <c r="BW103" s="428"/>
      <c r="BX103" s="428"/>
      <c r="BY103" s="428"/>
      <c r="BZ103" s="428"/>
      <c r="CA103" s="428"/>
      <c r="CB103" s="428"/>
      <c r="CC103" s="428"/>
      <c r="CD103" s="428"/>
      <c r="CE103" s="428"/>
    </row>
    <row r="104" spans="1:83" s="411" customFormat="1" ht="16" thickBot="1">
      <c r="A104" s="409">
        <v>213</v>
      </c>
      <c r="B104" s="409" t="s">
        <v>602</v>
      </c>
      <c r="C104" s="409" t="s">
        <v>409</v>
      </c>
      <c r="D104" s="409" t="s">
        <v>635</v>
      </c>
      <c r="E104" s="410" t="s">
        <v>726</v>
      </c>
      <c r="F104" s="409" t="s">
        <v>603</v>
      </c>
    </row>
    <row r="105" spans="1:83" s="411" customFormat="1">
      <c r="A105" s="494"/>
      <c r="B105" s="426" t="s">
        <v>230</v>
      </c>
      <c r="C105" s="421"/>
      <c r="D105" s="422"/>
      <c r="E105" s="422"/>
      <c r="F105" s="423"/>
    </row>
    <row r="106" spans="1:83" s="260" customFormat="1" ht="14">
      <c r="A106" s="495">
        <v>1</v>
      </c>
      <c r="B106" s="434" t="s">
        <v>230</v>
      </c>
      <c r="C106" s="448">
        <v>1</v>
      </c>
      <c r="D106" s="463">
        <v>500000</v>
      </c>
      <c r="E106" s="463">
        <f t="shared" ref="E106:E108" si="5">C106*D106</f>
        <v>500000</v>
      </c>
      <c r="F106" s="459"/>
    </row>
    <row r="107" spans="1:83" s="260" customFormat="1" ht="14">
      <c r="A107" s="495">
        <f>A106+1</f>
        <v>2</v>
      </c>
      <c r="B107" s="434" t="s">
        <v>785</v>
      </c>
      <c r="C107" s="449">
        <v>1</v>
      </c>
      <c r="D107" s="462">
        <v>20000</v>
      </c>
      <c r="E107" s="463">
        <f t="shared" si="5"/>
        <v>20000</v>
      </c>
      <c r="F107" s="460"/>
    </row>
    <row r="108" spans="1:83" s="260" customFormat="1" ht="14">
      <c r="A108" s="495">
        <f>A107+1</f>
        <v>3</v>
      </c>
      <c r="B108" s="434"/>
      <c r="C108" s="449"/>
      <c r="D108" s="462">
        <v>0</v>
      </c>
      <c r="E108" s="463">
        <f t="shared" si="5"/>
        <v>0</v>
      </c>
      <c r="F108" s="415"/>
    </row>
    <row r="109" spans="1:83" s="427" customFormat="1" ht="16" thickBot="1">
      <c r="A109" s="412"/>
      <c r="B109" s="478" t="s">
        <v>634</v>
      </c>
      <c r="C109" s="413"/>
      <c r="D109" s="465"/>
      <c r="E109" s="466">
        <f>SUM(E106:E108)</f>
        <v>520000</v>
      </c>
      <c r="F109" s="414"/>
      <c r="G109" s="428"/>
      <c r="H109" s="428"/>
      <c r="I109" s="428"/>
      <c r="J109" s="428"/>
      <c r="K109" s="428"/>
      <c r="L109" s="428"/>
      <c r="M109" s="428"/>
      <c r="N109" s="428"/>
      <c r="O109" s="428"/>
      <c r="P109" s="428"/>
      <c r="Q109" s="428"/>
      <c r="R109" s="428"/>
      <c r="S109" s="428"/>
      <c r="T109" s="428"/>
      <c r="U109" s="428"/>
      <c r="V109" s="428"/>
      <c r="W109" s="428"/>
      <c r="X109" s="428"/>
      <c r="Y109" s="428"/>
      <c r="Z109" s="428"/>
      <c r="AA109" s="428"/>
      <c r="AB109" s="428"/>
      <c r="AC109" s="428"/>
      <c r="AD109" s="428"/>
      <c r="AE109" s="428"/>
      <c r="AF109" s="428"/>
      <c r="AG109" s="428"/>
      <c r="AH109" s="428"/>
      <c r="AI109" s="428"/>
      <c r="AJ109" s="428"/>
      <c r="AK109" s="428"/>
      <c r="AL109" s="428"/>
      <c r="AM109" s="428"/>
      <c r="AN109" s="428"/>
      <c r="AO109" s="428"/>
      <c r="AP109" s="428"/>
      <c r="AQ109" s="428"/>
      <c r="AR109" s="428"/>
      <c r="AS109" s="428"/>
      <c r="AT109" s="428"/>
      <c r="AU109" s="428"/>
      <c r="AV109" s="428"/>
      <c r="AW109" s="428"/>
      <c r="AX109" s="428"/>
      <c r="AY109" s="428"/>
      <c r="AZ109" s="428"/>
      <c r="BA109" s="428"/>
      <c r="BB109" s="428"/>
      <c r="BC109" s="428"/>
      <c r="BD109" s="428"/>
      <c r="BE109" s="428"/>
      <c r="BF109" s="428"/>
      <c r="BG109" s="428"/>
      <c r="BH109" s="428"/>
      <c r="BI109" s="428"/>
      <c r="BJ109" s="428"/>
      <c r="BK109" s="428"/>
      <c r="BL109" s="428"/>
      <c r="BM109" s="428"/>
      <c r="BN109" s="428"/>
      <c r="BO109" s="428"/>
      <c r="BP109" s="428"/>
      <c r="BQ109" s="428"/>
      <c r="BR109" s="428"/>
      <c r="BS109" s="428"/>
      <c r="BT109" s="428"/>
      <c r="BU109" s="428"/>
      <c r="BV109" s="428"/>
      <c r="BW109" s="428"/>
      <c r="BX109" s="428"/>
      <c r="BY109" s="428"/>
      <c r="BZ109" s="428"/>
      <c r="CA109" s="428"/>
      <c r="CB109" s="428"/>
      <c r="CC109" s="428"/>
      <c r="CD109" s="428"/>
      <c r="CE109" s="428"/>
    </row>
    <row r="110" spans="1:83" s="411" customFormat="1" ht="16" thickBot="1">
      <c r="A110" s="409">
        <v>214</v>
      </c>
      <c r="B110" s="409" t="s">
        <v>602</v>
      </c>
      <c r="C110" s="409" t="s">
        <v>409</v>
      </c>
      <c r="D110" s="409" t="s">
        <v>635</v>
      </c>
      <c r="E110" s="410" t="s">
        <v>726</v>
      </c>
      <c r="F110" s="409" t="s">
        <v>603</v>
      </c>
    </row>
    <row r="111" spans="1:83" s="411" customFormat="1">
      <c r="A111" s="494"/>
      <c r="B111" s="426" t="s">
        <v>80</v>
      </c>
      <c r="C111" s="421"/>
      <c r="D111" s="422"/>
      <c r="E111" s="422"/>
      <c r="F111" s="423"/>
    </row>
    <row r="112" spans="1:83" s="260" customFormat="1" ht="14">
      <c r="A112" s="495">
        <v>1</v>
      </c>
      <c r="B112" s="434"/>
      <c r="C112" s="435">
        <v>0</v>
      </c>
      <c r="D112" s="467">
        <v>0</v>
      </c>
      <c r="E112" s="463">
        <f t="shared" ref="E112:E117" si="6">C112*D112</f>
        <v>0</v>
      </c>
      <c r="F112" s="459"/>
    </row>
    <row r="113" spans="1:83" s="260" customFormat="1" ht="14">
      <c r="A113" s="495"/>
      <c r="B113" s="434"/>
      <c r="C113" s="449"/>
      <c r="D113" s="462"/>
      <c r="E113" s="463"/>
      <c r="F113" s="460"/>
    </row>
    <row r="114" spans="1:83" s="260" customFormat="1" ht="14" hidden="1">
      <c r="A114" s="495">
        <f>A113+1</f>
        <v>1</v>
      </c>
      <c r="B114" s="434"/>
      <c r="C114" s="449"/>
      <c r="D114" s="462">
        <v>0</v>
      </c>
      <c r="E114" s="463">
        <f t="shared" si="6"/>
        <v>0</v>
      </c>
      <c r="F114" s="415"/>
    </row>
    <row r="115" spans="1:83" s="260" customFormat="1" ht="14" hidden="1">
      <c r="A115" s="495">
        <v>4</v>
      </c>
      <c r="B115" s="434"/>
      <c r="C115" s="435"/>
      <c r="D115" s="467">
        <v>0</v>
      </c>
      <c r="E115" s="463">
        <f t="shared" si="6"/>
        <v>0</v>
      </c>
      <c r="F115" s="436"/>
    </row>
    <row r="116" spans="1:83" s="260" customFormat="1" ht="14" hidden="1">
      <c r="A116" s="495">
        <f>A115+1</f>
        <v>5</v>
      </c>
      <c r="B116" s="434"/>
      <c r="C116" s="435"/>
      <c r="D116" s="467">
        <v>0</v>
      </c>
      <c r="E116" s="463">
        <f t="shared" si="6"/>
        <v>0</v>
      </c>
      <c r="F116" s="436"/>
    </row>
    <row r="117" spans="1:83" s="260" customFormat="1" ht="14" hidden="1">
      <c r="A117" s="495">
        <f>A116+1</f>
        <v>6</v>
      </c>
      <c r="B117" s="434"/>
      <c r="C117" s="435"/>
      <c r="D117" s="467">
        <v>0</v>
      </c>
      <c r="E117" s="463">
        <f t="shared" si="6"/>
        <v>0</v>
      </c>
      <c r="F117" s="436"/>
    </row>
    <row r="118" spans="1:83" s="427" customFormat="1" ht="16" thickBot="1">
      <c r="A118" s="412"/>
      <c r="B118" s="478" t="s">
        <v>727</v>
      </c>
      <c r="C118" s="413"/>
      <c r="D118" s="465"/>
      <c r="E118" s="466">
        <f>SUM(E112:E117)</f>
        <v>0</v>
      </c>
      <c r="F118" s="414"/>
      <c r="G118" s="428"/>
      <c r="H118" s="428"/>
      <c r="I118" s="428"/>
      <c r="J118" s="428"/>
      <c r="K118" s="428"/>
      <c r="L118" s="428"/>
      <c r="M118" s="428"/>
      <c r="N118" s="428"/>
      <c r="O118" s="428"/>
      <c r="P118" s="428"/>
      <c r="Q118" s="428"/>
      <c r="R118" s="428"/>
      <c r="S118" s="428"/>
      <c r="T118" s="428"/>
      <c r="U118" s="428"/>
      <c r="V118" s="428"/>
      <c r="W118" s="428"/>
      <c r="X118" s="428"/>
      <c r="Y118" s="428"/>
      <c r="Z118" s="428"/>
      <c r="AA118" s="428"/>
      <c r="AB118" s="428"/>
      <c r="AC118" s="428"/>
      <c r="AD118" s="428"/>
      <c r="AE118" s="428"/>
      <c r="AF118" s="428"/>
      <c r="AG118" s="428"/>
      <c r="AH118" s="428"/>
      <c r="AI118" s="428"/>
      <c r="AJ118" s="428"/>
      <c r="AK118" s="428"/>
      <c r="AL118" s="428"/>
      <c r="AM118" s="428"/>
      <c r="AN118" s="428"/>
      <c r="AO118" s="428"/>
      <c r="AP118" s="428"/>
      <c r="AQ118" s="428"/>
      <c r="AR118" s="428"/>
      <c r="AS118" s="428"/>
      <c r="AT118" s="428"/>
      <c r="AU118" s="428"/>
      <c r="AV118" s="428"/>
      <c r="AW118" s="428"/>
      <c r="AX118" s="428"/>
      <c r="AY118" s="428"/>
      <c r="AZ118" s="428"/>
      <c r="BA118" s="428"/>
      <c r="BB118" s="428"/>
      <c r="BC118" s="428"/>
      <c r="BD118" s="428"/>
      <c r="BE118" s="428"/>
      <c r="BF118" s="428"/>
      <c r="BG118" s="428"/>
      <c r="BH118" s="428"/>
      <c r="BI118" s="428"/>
      <c r="BJ118" s="428"/>
      <c r="BK118" s="428"/>
      <c r="BL118" s="428"/>
      <c r="BM118" s="428"/>
      <c r="BN118" s="428"/>
      <c r="BO118" s="428"/>
      <c r="BP118" s="428"/>
      <c r="BQ118" s="428"/>
      <c r="BR118" s="428"/>
      <c r="BS118" s="428"/>
      <c r="BT118" s="428"/>
      <c r="BU118" s="428"/>
      <c r="BV118" s="428"/>
      <c r="BW118" s="428"/>
      <c r="BX118" s="428"/>
      <c r="BY118" s="428"/>
      <c r="BZ118" s="428"/>
      <c r="CA118" s="428"/>
      <c r="CB118" s="428"/>
      <c r="CC118" s="428"/>
      <c r="CD118" s="428"/>
      <c r="CE118" s="428"/>
    </row>
    <row r="119" spans="1:83" s="1" customFormat="1" ht="5.25" customHeight="1" thickBot="1">
      <c r="A119" s="381"/>
      <c r="B119" s="382"/>
      <c r="C119" s="383"/>
      <c r="D119" s="384"/>
      <c r="E119" s="385"/>
      <c r="F119" s="386"/>
    </row>
    <row r="120" spans="1:83" s="433" customFormat="1" ht="17" thickBot="1">
      <c r="A120" s="498"/>
      <c r="B120" s="429" t="s">
        <v>232</v>
      </c>
      <c r="C120" s="430"/>
      <c r="D120" s="431"/>
      <c r="E120" s="432">
        <f>E109+E103+E98+E90+E82+E71+E66+E58+E51+E43+E38+E21+E16+E118</f>
        <v>6784977.4767499994</v>
      </c>
      <c r="F120" s="431"/>
    </row>
    <row r="121" spans="1:83" s="1" customFormat="1" ht="11.25" customHeight="1">
      <c r="A121" s="2"/>
    </row>
    <row r="122" spans="1:83" s="1" customFormat="1" ht="11.25" customHeight="1">
      <c r="A122" s="2"/>
    </row>
    <row r="123" spans="1:83" s="1" customFormat="1" ht="11.25" customHeight="1" thickBot="1">
      <c r="A123" s="2"/>
    </row>
    <row r="124" spans="1:83" s="433" customFormat="1" ht="18" customHeight="1" thickBot="1">
      <c r="A124" s="503">
        <v>300</v>
      </c>
      <c r="B124" s="405" t="s">
        <v>636</v>
      </c>
      <c r="C124" s="406"/>
      <c r="D124" s="406"/>
      <c r="E124" s="406"/>
      <c r="F124" s="406"/>
      <c r="G124" s="504"/>
    </row>
    <row r="125" spans="1:83" s="377" customFormat="1" ht="14" customHeight="1" thickBot="1">
      <c r="A125" s="525" t="s">
        <v>789</v>
      </c>
      <c r="B125" s="388"/>
      <c r="C125" s="388"/>
      <c r="D125" s="388"/>
      <c r="E125" s="388"/>
      <c r="F125" s="388"/>
      <c r="G125" s="389"/>
    </row>
    <row r="126" spans="1:83" s="506" customFormat="1" ht="14" thickBot="1">
      <c r="A126" s="530">
        <v>301</v>
      </c>
      <c r="B126" s="530" t="s">
        <v>602</v>
      </c>
      <c r="C126" s="530" t="s">
        <v>409</v>
      </c>
      <c r="D126" s="530" t="s">
        <v>635</v>
      </c>
      <c r="E126" s="530" t="s">
        <v>726</v>
      </c>
      <c r="F126" s="530" t="s">
        <v>639</v>
      </c>
      <c r="G126" s="530" t="s">
        <v>603</v>
      </c>
    </row>
    <row r="127" spans="1:83" s="511" customFormat="1" ht="13">
      <c r="A127" s="507"/>
      <c r="B127" s="508" t="s">
        <v>640</v>
      </c>
      <c r="C127" s="509"/>
      <c r="D127" s="439"/>
      <c r="E127" s="510"/>
      <c r="F127" s="439"/>
      <c r="G127" s="485"/>
    </row>
    <row r="128" spans="1:83" s="511" customFormat="1" ht="13">
      <c r="A128" s="493">
        <f>A127+1</f>
        <v>1</v>
      </c>
      <c r="B128" s="438" t="s">
        <v>918</v>
      </c>
      <c r="C128" s="520">
        <v>3714</v>
      </c>
      <c r="D128" s="522">
        <v>125</v>
      </c>
      <c r="E128" s="522">
        <f>D128*C128</f>
        <v>464250</v>
      </c>
      <c r="F128" s="487"/>
      <c r="G128" s="513"/>
    </row>
    <row r="129" spans="1:7" s="511" customFormat="1" ht="13">
      <c r="A129" s="493">
        <f>A128+1</f>
        <v>2</v>
      </c>
      <c r="B129" s="438" t="s">
        <v>788</v>
      </c>
      <c r="C129" s="520">
        <v>657</v>
      </c>
      <c r="D129" s="522">
        <v>300</v>
      </c>
      <c r="E129" s="522">
        <f>D129*C129</f>
        <v>197100</v>
      </c>
      <c r="F129" s="487"/>
      <c r="G129" s="513"/>
    </row>
    <row r="130" spans="1:7" s="511" customFormat="1" ht="13">
      <c r="A130" s="493">
        <f t="shared" ref="A130:A142" si="7">A129+1</f>
        <v>3</v>
      </c>
      <c r="B130" s="438" t="s">
        <v>791</v>
      </c>
      <c r="C130" s="520">
        <v>63</v>
      </c>
      <c r="D130" s="522">
        <v>300</v>
      </c>
      <c r="E130" s="522">
        <f t="shared" ref="E130:E141" si="8">D130*C130</f>
        <v>18900</v>
      </c>
      <c r="F130" s="487"/>
      <c r="G130" s="513"/>
    </row>
    <row r="131" spans="1:7" s="511" customFormat="1" ht="13">
      <c r="A131" s="493">
        <f t="shared" si="7"/>
        <v>4</v>
      </c>
      <c r="B131" s="438" t="s">
        <v>792</v>
      </c>
      <c r="C131" s="520">
        <v>15</v>
      </c>
      <c r="D131" s="522">
        <v>2500</v>
      </c>
      <c r="E131" s="522">
        <f t="shared" si="8"/>
        <v>37500</v>
      </c>
      <c r="F131" s="487"/>
      <c r="G131" s="513"/>
    </row>
    <row r="132" spans="1:7" s="511" customFormat="1" ht="13">
      <c r="A132" s="493">
        <f t="shared" si="7"/>
        <v>5</v>
      </c>
      <c r="B132" s="438" t="s">
        <v>793</v>
      </c>
      <c r="C132" s="520">
        <v>24</v>
      </c>
      <c r="D132" s="522">
        <v>250</v>
      </c>
      <c r="E132" s="522">
        <f t="shared" si="8"/>
        <v>6000</v>
      </c>
      <c r="F132" s="487"/>
      <c r="G132" s="513"/>
    </row>
    <row r="133" spans="1:7" s="511" customFormat="1" ht="13">
      <c r="A133" s="493">
        <f t="shared" si="7"/>
        <v>6</v>
      </c>
      <c r="B133" s="438" t="s">
        <v>794</v>
      </c>
      <c r="C133" s="520">
        <v>2</v>
      </c>
      <c r="D133" s="522">
        <v>7500</v>
      </c>
      <c r="E133" s="522">
        <f t="shared" si="8"/>
        <v>15000</v>
      </c>
      <c r="F133" s="487"/>
      <c r="G133" s="513"/>
    </row>
    <row r="134" spans="1:7" s="511" customFormat="1" ht="13">
      <c r="A134" s="493">
        <f t="shared" si="7"/>
        <v>7</v>
      </c>
      <c r="B134" s="438" t="s">
        <v>795</v>
      </c>
      <c r="C134" s="520">
        <v>1</v>
      </c>
      <c r="D134" s="522">
        <v>75000</v>
      </c>
      <c r="E134" s="522">
        <f t="shared" si="8"/>
        <v>75000</v>
      </c>
      <c r="F134" s="487" t="s">
        <v>800</v>
      </c>
      <c r="G134" s="513"/>
    </row>
    <row r="135" spans="1:7" s="511" customFormat="1" ht="13">
      <c r="A135" s="493">
        <f t="shared" si="7"/>
        <v>8</v>
      </c>
      <c r="B135" s="438" t="s">
        <v>798</v>
      </c>
      <c r="C135" s="520">
        <v>1</v>
      </c>
      <c r="D135" s="522">
        <v>15000</v>
      </c>
      <c r="E135" s="522">
        <f t="shared" si="8"/>
        <v>15000</v>
      </c>
      <c r="F135" s="487"/>
      <c r="G135" s="513"/>
    </row>
    <row r="136" spans="1:7" s="511" customFormat="1" ht="13">
      <c r="A136" s="493">
        <f>A135+1</f>
        <v>9</v>
      </c>
      <c r="B136" s="438" t="s">
        <v>796</v>
      </c>
      <c r="C136" s="520">
        <v>1</v>
      </c>
      <c r="D136" s="522">
        <v>60000</v>
      </c>
      <c r="E136" s="522">
        <f t="shared" si="8"/>
        <v>60000</v>
      </c>
      <c r="F136" s="487"/>
      <c r="G136" s="513"/>
    </row>
    <row r="137" spans="1:7" s="511" customFormat="1" ht="13">
      <c r="A137" s="493">
        <f t="shared" si="7"/>
        <v>10</v>
      </c>
      <c r="B137" s="438" t="s">
        <v>802</v>
      </c>
      <c r="C137" s="520">
        <v>1</v>
      </c>
      <c r="D137" s="522">
        <v>10000</v>
      </c>
      <c r="E137" s="522">
        <f t="shared" si="8"/>
        <v>10000</v>
      </c>
      <c r="F137" s="487"/>
      <c r="G137" s="513"/>
    </row>
    <row r="138" spans="1:7" s="511" customFormat="1" ht="13">
      <c r="A138" s="493">
        <f t="shared" si="7"/>
        <v>11</v>
      </c>
      <c r="B138" s="438" t="s">
        <v>797</v>
      </c>
      <c r="C138" s="520">
        <v>1</v>
      </c>
      <c r="D138" s="522">
        <v>25000</v>
      </c>
      <c r="E138" s="522">
        <f t="shared" si="8"/>
        <v>25000</v>
      </c>
      <c r="F138" s="487"/>
      <c r="G138" s="513"/>
    </row>
    <row r="139" spans="1:7" s="511" customFormat="1" ht="13">
      <c r="A139" s="493">
        <f t="shared" si="7"/>
        <v>12</v>
      </c>
      <c r="B139" s="438" t="s">
        <v>803</v>
      </c>
      <c r="C139" s="520">
        <v>1</v>
      </c>
      <c r="D139" s="522">
        <v>35000</v>
      </c>
      <c r="E139" s="522">
        <f t="shared" si="8"/>
        <v>35000</v>
      </c>
      <c r="F139" s="487"/>
      <c r="G139" s="513"/>
    </row>
    <row r="140" spans="1:7" s="511" customFormat="1" ht="13">
      <c r="A140" s="493">
        <f t="shared" si="7"/>
        <v>13</v>
      </c>
      <c r="B140" s="438" t="s">
        <v>799</v>
      </c>
      <c r="C140" s="520">
        <v>6</v>
      </c>
      <c r="D140" s="522">
        <v>10000</v>
      </c>
      <c r="E140" s="522">
        <f t="shared" si="8"/>
        <v>60000</v>
      </c>
      <c r="F140" s="487"/>
      <c r="G140" s="513"/>
    </row>
    <row r="141" spans="1:7" s="511" customFormat="1" ht="13">
      <c r="A141" s="493">
        <f t="shared" si="7"/>
        <v>14</v>
      </c>
      <c r="B141" s="438" t="s">
        <v>801</v>
      </c>
      <c r="C141" s="520">
        <v>1</v>
      </c>
      <c r="D141" s="522">
        <v>25000</v>
      </c>
      <c r="E141" s="522">
        <f t="shared" si="8"/>
        <v>25000</v>
      </c>
      <c r="F141" s="487"/>
      <c r="G141" s="513"/>
    </row>
    <row r="142" spans="1:7" s="511" customFormat="1" ht="13">
      <c r="A142" s="493">
        <f t="shared" si="7"/>
        <v>15</v>
      </c>
      <c r="B142" s="438"/>
      <c r="C142" s="520"/>
      <c r="D142" s="522"/>
      <c r="E142" s="522"/>
      <c r="F142" s="487"/>
      <c r="G142" s="513"/>
    </row>
    <row r="143" spans="1:7" s="511" customFormat="1" ht="13">
      <c r="A143" s="493">
        <f t="shared" ref="A143:A149" si="9">A142+1</f>
        <v>16</v>
      </c>
      <c r="B143" s="438"/>
      <c r="C143" s="520"/>
      <c r="D143" s="522"/>
      <c r="E143" s="522"/>
      <c r="F143" s="487"/>
      <c r="G143" s="513"/>
    </row>
    <row r="144" spans="1:7" s="511" customFormat="1" ht="13" hidden="1">
      <c r="A144" s="493">
        <f t="shared" si="9"/>
        <v>17</v>
      </c>
      <c r="B144" s="438"/>
      <c r="C144" s="520"/>
      <c r="D144" s="522"/>
      <c r="E144" s="522">
        <f t="shared" ref="E144:E149" si="10">D144*C144</f>
        <v>0</v>
      </c>
      <c r="F144" s="487"/>
      <c r="G144" s="513"/>
    </row>
    <row r="145" spans="1:7" s="511" customFormat="1" ht="13" hidden="1">
      <c r="A145" s="493">
        <f t="shared" si="9"/>
        <v>18</v>
      </c>
      <c r="B145" s="438"/>
      <c r="C145" s="520"/>
      <c r="D145" s="522"/>
      <c r="E145" s="522">
        <f t="shared" si="10"/>
        <v>0</v>
      </c>
      <c r="F145" s="487"/>
      <c r="G145" s="513"/>
    </row>
    <row r="146" spans="1:7" s="511" customFormat="1" ht="13" hidden="1">
      <c r="A146" s="493">
        <f t="shared" si="9"/>
        <v>19</v>
      </c>
      <c r="B146" s="438"/>
      <c r="C146" s="520"/>
      <c r="D146" s="522"/>
      <c r="E146" s="522">
        <f t="shared" si="10"/>
        <v>0</v>
      </c>
      <c r="F146" s="487"/>
      <c r="G146" s="513"/>
    </row>
    <row r="147" spans="1:7" s="511" customFormat="1" ht="13" hidden="1">
      <c r="A147" s="493">
        <f t="shared" si="9"/>
        <v>20</v>
      </c>
      <c r="B147" s="438"/>
      <c r="C147" s="520"/>
      <c r="D147" s="522"/>
      <c r="E147" s="522">
        <f t="shared" si="10"/>
        <v>0</v>
      </c>
      <c r="F147" s="487"/>
      <c r="G147" s="513"/>
    </row>
    <row r="148" spans="1:7" s="511" customFormat="1" ht="13" hidden="1">
      <c r="A148" s="493">
        <f t="shared" si="9"/>
        <v>21</v>
      </c>
      <c r="B148" s="438"/>
      <c r="C148" s="520"/>
      <c r="D148" s="522"/>
      <c r="E148" s="522">
        <f t="shared" si="10"/>
        <v>0</v>
      </c>
      <c r="F148" s="487"/>
      <c r="G148" s="513"/>
    </row>
    <row r="149" spans="1:7" s="511" customFormat="1" ht="13" hidden="1">
      <c r="A149" s="493">
        <f t="shared" si="9"/>
        <v>22</v>
      </c>
      <c r="B149" s="438" t="s">
        <v>641</v>
      </c>
      <c r="C149" s="521">
        <v>0</v>
      </c>
      <c r="D149" s="523">
        <v>0</v>
      </c>
      <c r="E149" s="522">
        <f t="shared" si="10"/>
        <v>0</v>
      </c>
      <c r="F149" s="514"/>
      <c r="G149" s="515"/>
    </row>
    <row r="150" spans="1:7" s="511" customFormat="1" ht="14" thickBot="1">
      <c r="A150" s="497"/>
      <c r="B150" s="516" t="s">
        <v>642</v>
      </c>
      <c r="C150" s="517"/>
      <c r="D150" s="442"/>
      <c r="E150" s="524">
        <f>SUM(E128:E149)</f>
        <v>1043750</v>
      </c>
      <c r="F150" s="518"/>
      <c r="G150" s="519"/>
    </row>
    <row r="151" spans="1:7" s="1" customFormat="1" ht="5.25" customHeight="1" thickBot="1">
      <c r="A151" s="381"/>
      <c r="B151" s="382"/>
      <c r="C151" s="383"/>
      <c r="D151" s="384"/>
      <c r="E151" s="385"/>
      <c r="F151" s="390"/>
      <c r="G151" s="386"/>
    </row>
    <row r="152" spans="1:7" s="505" customFormat="1" thickBot="1">
      <c r="A152" s="617"/>
      <c r="B152" s="618" t="s">
        <v>790</v>
      </c>
      <c r="C152" s="619"/>
      <c r="D152" s="620"/>
      <c r="E152" s="649">
        <f>SUM(E127:E149)</f>
        <v>1043750</v>
      </c>
      <c r="F152" s="621"/>
      <c r="G152" s="622"/>
    </row>
    <row r="153" spans="1:7" s="528" customFormat="1" ht="14" customHeight="1" thickBot="1">
      <c r="A153" s="525" t="s">
        <v>643</v>
      </c>
      <c r="B153" s="526"/>
      <c r="C153" s="526"/>
      <c r="D153" s="526"/>
      <c r="E153" s="526"/>
      <c r="F153" s="526"/>
      <c r="G153" s="527"/>
    </row>
    <row r="154" spans="1:7" s="539" customFormat="1" ht="14" thickBot="1">
      <c r="A154" s="531">
        <v>302</v>
      </c>
      <c r="B154" s="538" t="s">
        <v>602</v>
      </c>
      <c r="C154" s="538" t="s">
        <v>409</v>
      </c>
      <c r="D154" s="538" t="s">
        <v>410</v>
      </c>
      <c r="E154" s="538" t="s">
        <v>605</v>
      </c>
      <c r="F154" s="538" t="s">
        <v>639</v>
      </c>
      <c r="G154" s="538" t="s">
        <v>603</v>
      </c>
    </row>
    <row r="155" spans="1:7" s="539" customFormat="1" ht="13">
      <c r="A155" s="507"/>
      <c r="B155" s="540" t="s">
        <v>644</v>
      </c>
      <c r="C155" s="541"/>
      <c r="D155" s="542"/>
      <c r="E155" s="543"/>
      <c r="F155" s="543" t="s">
        <v>818</v>
      </c>
      <c r="G155" s="544"/>
    </row>
    <row r="156" spans="1:7" s="539" customFormat="1" ht="13">
      <c r="A156" s="493">
        <v>1</v>
      </c>
      <c r="B156" s="438" t="s">
        <v>645</v>
      </c>
      <c r="C156" s="545">
        <v>1</v>
      </c>
      <c r="D156" s="546">
        <v>130000</v>
      </c>
      <c r="E156" s="547">
        <f>D156*C156</f>
        <v>130000</v>
      </c>
      <c r="F156" s="547"/>
      <c r="G156" s="544"/>
    </row>
    <row r="157" spans="1:7" s="539" customFormat="1" ht="13">
      <c r="A157" s="493">
        <f>A156+1</f>
        <v>2</v>
      </c>
      <c r="B157" s="438" t="s">
        <v>646</v>
      </c>
      <c r="C157" s="545">
        <v>5</v>
      </c>
      <c r="D157" s="546">
        <v>9000</v>
      </c>
      <c r="E157" s="547">
        <f t="shared" ref="E157:E170" si="11">D157*C157</f>
        <v>45000</v>
      </c>
      <c r="F157" s="547"/>
      <c r="G157" s="438"/>
    </row>
    <row r="158" spans="1:7" s="539" customFormat="1" ht="13">
      <c r="A158" s="493">
        <f t="shared" ref="A158:A171" si="12">A157+1</f>
        <v>3</v>
      </c>
      <c r="B158" s="438" t="s">
        <v>807</v>
      </c>
      <c r="C158" s="545">
        <v>16</v>
      </c>
      <c r="D158" s="546">
        <v>9000</v>
      </c>
      <c r="E158" s="547">
        <f t="shared" si="11"/>
        <v>144000</v>
      </c>
      <c r="F158" s="547"/>
      <c r="G158" s="438"/>
    </row>
    <row r="159" spans="1:7" s="539" customFormat="1" ht="13">
      <c r="A159" s="493">
        <f t="shared" si="12"/>
        <v>4</v>
      </c>
      <c r="B159" s="438" t="s">
        <v>808</v>
      </c>
      <c r="C159" s="545">
        <v>15</v>
      </c>
      <c r="D159" s="546">
        <v>9000</v>
      </c>
      <c r="E159" s="547">
        <f t="shared" si="11"/>
        <v>135000</v>
      </c>
      <c r="F159" s="547"/>
      <c r="G159" s="438"/>
    </row>
    <row r="160" spans="1:7" s="539" customFormat="1" ht="13">
      <c r="A160" s="493">
        <f t="shared" si="12"/>
        <v>5</v>
      </c>
      <c r="B160" s="438" t="s">
        <v>809</v>
      </c>
      <c r="C160" s="545">
        <v>14</v>
      </c>
      <c r="D160" s="546">
        <v>9000</v>
      </c>
      <c r="E160" s="547">
        <f t="shared" si="11"/>
        <v>126000</v>
      </c>
      <c r="F160" s="547"/>
      <c r="G160" s="438"/>
    </row>
    <row r="161" spans="1:83" s="539" customFormat="1" ht="13">
      <c r="A161" s="493">
        <f t="shared" si="12"/>
        <v>6</v>
      </c>
      <c r="B161" s="438" t="s">
        <v>810</v>
      </c>
      <c r="C161" s="545">
        <v>8</v>
      </c>
      <c r="D161" s="546">
        <v>9000</v>
      </c>
      <c r="E161" s="547">
        <f t="shared" si="11"/>
        <v>72000</v>
      </c>
      <c r="F161" s="547"/>
      <c r="G161" s="438"/>
    </row>
    <row r="162" spans="1:83" s="539" customFormat="1" ht="13">
      <c r="A162" s="493">
        <f t="shared" si="12"/>
        <v>7</v>
      </c>
      <c r="B162" s="438" t="s">
        <v>811</v>
      </c>
      <c r="C162" s="545">
        <v>8</v>
      </c>
      <c r="D162" s="546">
        <v>9000</v>
      </c>
      <c r="E162" s="547">
        <f t="shared" si="11"/>
        <v>72000</v>
      </c>
      <c r="F162" s="547"/>
      <c r="G162" s="438"/>
    </row>
    <row r="163" spans="1:83" s="539" customFormat="1" ht="13">
      <c r="A163" s="493">
        <f t="shared" si="12"/>
        <v>8</v>
      </c>
      <c r="B163" s="438" t="s">
        <v>812</v>
      </c>
      <c r="C163" s="545">
        <v>2</v>
      </c>
      <c r="D163" s="546">
        <v>20000</v>
      </c>
      <c r="E163" s="547">
        <f t="shared" si="11"/>
        <v>40000</v>
      </c>
      <c r="F163" s="547"/>
      <c r="G163" s="438"/>
    </row>
    <row r="164" spans="1:83" s="539" customFormat="1" ht="13">
      <c r="A164" s="493">
        <f t="shared" si="12"/>
        <v>9</v>
      </c>
      <c r="B164" s="438" t="s">
        <v>813</v>
      </c>
      <c r="C164" s="545">
        <v>2</v>
      </c>
      <c r="D164" s="546">
        <v>20000</v>
      </c>
      <c r="E164" s="547">
        <f t="shared" si="11"/>
        <v>40000</v>
      </c>
      <c r="F164" s="547"/>
      <c r="G164" s="438"/>
    </row>
    <row r="165" spans="1:83" s="539" customFormat="1" ht="13">
      <c r="A165" s="493">
        <f t="shared" si="12"/>
        <v>10</v>
      </c>
      <c r="B165" s="438" t="s">
        <v>814</v>
      </c>
      <c r="C165" s="545">
        <v>4</v>
      </c>
      <c r="D165" s="546">
        <v>12000</v>
      </c>
      <c r="E165" s="547">
        <f t="shared" si="11"/>
        <v>48000</v>
      </c>
      <c r="F165" s="547"/>
      <c r="G165" s="438"/>
    </row>
    <row r="166" spans="1:83" s="539" customFormat="1" ht="13">
      <c r="A166" s="493">
        <f t="shared" si="12"/>
        <v>11</v>
      </c>
      <c r="B166" s="438" t="s">
        <v>815</v>
      </c>
      <c r="C166" s="545">
        <v>4</v>
      </c>
      <c r="D166" s="546">
        <v>15000</v>
      </c>
      <c r="E166" s="547">
        <f t="shared" si="11"/>
        <v>60000</v>
      </c>
      <c r="F166" s="547"/>
      <c r="G166" s="438"/>
    </row>
    <row r="167" spans="1:83" s="539" customFormat="1" ht="13">
      <c r="A167" s="493">
        <f t="shared" si="12"/>
        <v>12</v>
      </c>
      <c r="B167" s="438" t="s">
        <v>816</v>
      </c>
      <c r="C167" s="545">
        <v>2</v>
      </c>
      <c r="D167" s="546">
        <v>15000</v>
      </c>
      <c r="E167" s="547">
        <f t="shared" si="11"/>
        <v>30000</v>
      </c>
      <c r="F167" s="547"/>
      <c r="G167" s="438"/>
    </row>
    <row r="168" spans="1:83" s="539" customFormat="1" ht="13">
      <c r="A168" s="493">
        <f t="shared" si="12"/>
        <v>13</v>
      </c>
      <c r="B168" s="438" t="s">
        <v>817</v>
      </c>
      <c r="C168" s="545">
        <v>1</v>
      </c>
      <c r="D168" s="546">
        <v>375000</v>
      </c>
      <c r="E168" s="547">
        <f t="shared" si="11"/>
        <v>375000</v>
      </c>
      <c r="F168" s="547"/>
      <c r="G168" s="438"/>
    </row>
    <row r="169" spans="1:83" s="539" customFormat="1" ht="13">
      <c r="A169" s="493">
        <f t="shared" si="12"/>
        <v>14</v>
      </c>
      <c r="B169" s="438"/>
      <c r="C169" s="545"/>
      <c r="D169" s="546"/>
      <c r="E169" s="547">
        <f t="shared" si="11"/>
        <v>0</v>
      </c>
      <c r="F169" s="547"/>
      <c r="G169" s="438"/>
    </row>
    <row r="170" spans="1:83" s="539" customFormat="1" ht="13">
      <c r="A170" s="493">
        <f t="shared" si="12"/>
        <v>15</v>
      </c>
      <c r="B170" s="438"/>
      <c r="C170" s="545"/>
      <c r="D170" s="546"/>
      <c r="E170" s="547">
        <f t="shared" si="11"/>
        <v>0</v>
      </c>
      <c r="F170" s="547"/>
      <c r="G170" s="438"/>
    </row>
    <row r="171" spans="1:83" s="539" customFormat="1" ht="13">
      <c r="A171" s="493">
        <f t="shared" si="12"/>
        <v>16</v>
      </c>
      <c r="B171" s="438" t="s">
        <v>300</v>
      </c>
      <c r="C171" s="545">
        <v>0</v>
      </c>
      <c r="D171" s="546">
        <v>3000</v>
      </c>
      <c r="E171" s="547">
        <f>C171*D171</f>
        <v>0</v>
      </c>
      <c r="F171" s="547" t="s">
        <v>919</v>
      </c>
      <c r="G171" s="544"/>
    </row>
    <row r="172" spans="1:83" s="539" customFormat="1" ht="14" thickBot="1">
      <c r="A172" s="493"/>
      <c r="B172" s="548" t="s">
        <v>647</v>
      </c>
      <c r="C172" s="545"/>
      <c r="D172" s="546"/>
      <c r="E172" s="549">
        <f>SUM(E156:E171)</f>
        <v>1317000</v>
      </c>
      <c r="F172" s="547"/>
      <c r="G172" s="438"/>
    </row>
    <row r="173" spans="1:83" s="1" customFormat="1" ht="5.25" customHeight="1" thickBot="1">
      <c r="A173" s="381"/>
      <c r="B173" s="382"/>
      <c r="C173" s="383"/>
      <c r="D173" s="384"/>
      <c r="E173" s="385"/>
      <c r="F173" s="390"/>
      <c r="G173" s="386"/>
    </row>
    <row r="174" spans="1:83" s="623" customFormat="1" thickBot="1">
      <c r="A174" s="617"/>
      <c r="B174" s="618" t="s">
        <v>648</v>
      </c>
      <c r="C174" s="619"/>
      <c r="D174" s="620"/>
      <c r="E174" s="649">
        <f>SUM(E155:E171)</f>
        <v>1317000</v>
      </c>
      <c r="F174" s="621"/>
      <c r="G174" s="622"/>
      <c r="H174" s="641"/>
      <c r="I174" s="641"/>
      <c r="J174" s="641"/>
      <c r="K174" s="641"/>
      <c r="L174" s="641"/>
      <c r="M174" s="641"/>
      <c r="N174" s="641"/>
      <c r="O174" s="641"/>
      <c r="P174" s="641"/>
      <c r="Q174" s="641"/>
      <c r="R174" s="641"/>
      <c r="S174" s="641"/>
      <c r="T174" s="641"/>
      <c r="U174" s="641"/>
      <c r="V174" s="641"/>
      <c r="W174" s="641"/>
      <c r="X174" s="641"/>
      <c r="Y174" s="641"/>
      <c r="Z174" s="641"/>
      <c r="AA174" s="641"/>
      <c r="AB174" s="641"/>
      <c r="AC174" s="641"/>
      <c r="AD174" s="641"/>
      <c r="AE174" s="641"/>
      <c r="AF174" s="641"/>
      <c r="AG174" s="641"/>
      <c r="AH174" s="641"/>
      <c r="AI174" s="641"/>
      <c r="AJ174" s="641"/>
      <c r="AK174" s="641"/>
      <c r="AL174" s="641"/>
      <c r="AM174" s="641"/>
      <c r="AN174" s="641"/>
      <c r="AO174" s="641"/>
      <c r="AP174" s="641"/>
      <c r="AQ174" s="641"/>
      <c r="AR174" s="641"/>
      <c r="AS174" s="641"/>
      <c r="AT174" s="641"/>
      <c r="AU174" s="641"/>
      <c r="AV174" s="641"/>
      <c r="AW174" s="641"/>
      <c r="AX174" s="641"/>
      <c r="AY174" s="641"/>
      <c r="AZ174" s="641"/>
      <c r="BA174" s="641"/>
      <c r="BB174" s="641"/>
      <c r="BC174" s="641"/>
      <c r="BD174" s="641"/>
      <c r="BE174" s="641"/>
      <c r="BF174" s="641"/>
      <c r="BG174" s="641"/>
      <c r="BH174" s="641"/>
      <c r="BI174" s="641"/>
      <c r="BJ174" s="641"/>
      <c r="BK174" s="641"/>
      <c r="BL174" s="641"/>
      <c r="BM174" s="641"/>
      <c r="BN174" s="641"/>
      <c r="BO174" s="641"/>
      <c r="BP174" s="641"/>
      <c r="BQ174" s="641"/>
      <c r="BR174" s="641"/>
      <c r="BS174" s="641"/>
      <c r="BT174" s="641"/>
      <c r="BU174" s="641"/>
      <c r="BV174" s="641"/>
      <c r="BW174" s="641"/>
      <c r="BX174" s="641"/>
      <c r="BY174" s="641"/>
      <c r="BZ174" s="641"/>
      <c r="CA174" s="641"/>
      <c r="CB174" s="641"/>
      <c r="CC174" s="641"/>
      <c r="CD174" s="641"/>
      <c r="CE174" s="641"/>
    </row>
    <row r="175" spans="1:83" s="528" customFormat="1" ht="14" customHeight="1" thickBot="1">
      <c r="A175" s="529" t="s">
        <v>649</v>
      </c>
      <c r="B175" s="526"/>
      <c r="C175" s="526"/>
      <c r="D175" s="526"/>
      <c r="E175" s="526"/>
      <c r="F175" s="526"/>
      <c r="G175" s="527"/>
    </row>
    <row r="176" spans="1:83" s="506" customFormat="1" ht="14" thickBot="1">
      <c r="A176" s="530">
        <v>303</v>
      </c>
      <c r="B176" s="530" t="s">
        <v>602</v>
      </c>
      <c r="C176" s="530" t="s">
        <v>409</v>
      </c>
      <c r="D176" s="530" t="s">
        <v>410</v>
      </c>
      <c r="E176" s="530" t="s">
        <v>605</v>
      </c>
      <c r="F176" s="530" t="s">
        <v>639</v>
      </c>
      <c r="G176" s="530" t="s">
        <v>603</v>
      </c>
    </row>
    <row r="177" spans="1:83" s="539" customFormat="1" ht="13">
      <c r="A177" s="507"/>
      <c r="B177" s="540" t="s">
        <v>650</v>
      </c>
      <c r="C177" s="509"/>
      <c r="D177" s="643"/>
      <c r="E177" s="551"/>
      <c r="F177" s="552"/>
      <c r="G177" s="553"/>
    </row>
    <row r="178" spans="1:83" s="539" customFormat="1" ht="13">
      <c r="A178" s="493">
        <f>A177+1</f>
        <v>1</v>
      </c>
      <c r="B178" s="438" t="s">
        <v>651</v>
      </c>
      <c r="C178" s="512"/>
      <c r="D178" s="522"/>
      <c r="E178" s="522"/>
      <c r="F178" s="546" t="s">
        <v>804</v>
      </c>
      <c r="G178" s="554"/>
    </row>
    <row r="179" spans="1:83" s="539" customFormat="1" ht="13">
      <c r="A179" s="493">
        <f>A178+1</f>
        <v>2</v>
      </c>
      <c r="B179" s="438" t="s">
        <v>805</v>
      </c>
      <c r="C179" s="512">
        <v>1</v>
      </c>
      <c r="D179" s="522">
        <v>200000</v>
      </c>
      <c r="E179" s="522">
        <f>D179*C179</f>
        <v>200000</v>
      </c>
      <c r="F179" s="546"/>
      <c r="G179" s="554"/>
    </row>
    <row r="180" spans="1:83" s="539" customFormat="1" ht="13">
      <c r="A180" s="493">
        <f>A179+1</f>
        <v>3</v>
      </c>
      <c r="B180" s="438" t="s">
        <v>652</v>
      </c>
      <c r="C180" s="512">
        <v>110</v>
      </c>
      <c r="D180" s="522">
        <v>2000</v>
      </c>
      <c r="E180" s="522">
        <f>D180*C180</f>
        <v>220000</v>
      </c>
      <c r="F180" s="546"/>
      <c r="G180" s="554"/>
    </row>
    <row r="181" spans="1:83" s="539" customFormat="1" ht="14" thickBot="1">
      <c r="A181" s="532"/>
      <c r="B181" s="556" t="s">
        <v>653</v>
      </c>
      <c r="C181" s="557"/>
      <c r="D181" s="558"/>
      <c r="E181" s="524">
        <f>SUM(E178:E180)</f>
        <v>420000</v>
      </c>
      <c r="F181" s="559"/>
      <c r="G181" s="560"/>
    </row>
    <row r="182" spans="1:83" s="568" customFormat="1" ht="5.25" customHeight="1" thickBot="1">
      <c r="A182" s="533"/>
      <c r="B182" s="562"/>
      <c r="C182" s="563"/>
      <c r="D182" s="564"/>
      <c r="E182" s="644"/>
      <c r="F182" s="566"/>
      <c r="G182" s="567"/>
    </row>
    <row r="183" spans="1:83" s="630" customFormat="1" thickBot="1">
      <c r="A183" s="624"/>
      <c r="B183" s="625" t="s">
        <v>654</v>
      </c>
      <c r="C183" s="626"/>
      <c r="D183" s="627"/>
      <c r="E183" s="645">
        <f>SUM(E177:E180)</f>
        <v>420000</v>
      </c>
      <c r="F183" s="628"/>
      <c r="G183" s="629"/>
      <c r="H183" s="642"/>
      <c r="I183" s="642"/>
      <c r="J183" s="642"/>
      <c r="K183" s="642"/>
      <c r="L183" s="642"/>
      <c r="M183" s="642"/>
      <c r="N183" s="642"/>
      <c r="O183" s="642"/>
      <c r="P183" s="642"/>
      <c r="Q183" s="642"/>
      <c r="R183" s="642"/>
      <c r="S183" s="642"/>
      <c r="T183" s="642"/>
      <c r="U183" s="642"/>
      <c r="V183" s="642"/>
      <c r="W183" s="642"/>
      <c r="X183" s="642"/>
      <c r="Y183" s="642"/>
      <c r="Z183" s="642"/>
      <c r="AA183" s="642"/>
      <c r="AB183" s="642"/>
      <c r="AC183" s="642"/>
      <c r="AD183" s="642"/>
      <c r="AE183" s="642"/>
      <c r="AF183" s="642"/>
      <c r="AG183" s="642"/>
      <c r="AH183" s="642"/>
      <c r="AI183" s="642"/>
      <c r="AJ183" s="642"/>
      <c r="AK183" s="642"/>
      <c r="AL183" s="642"/>
      <c r="AM183" s="642"/>
      <c r="AN183" s="642"/>
      <c r="AO183" s="642"/>
      <c r="AP183" s="642"/>
      <c r="AQ183" s="642"/>
      <c r="AR183" s="642"/>
      <c r="AS183" s="642"/>
      <c r="AT183" s="642"/>
      <c r="AU183" s="642"/>
      <c r="AV183" s="642"/>
      <c r="AW183" s="642"/>
      <c r="AX183" s="642"/>
      <c r="AY183" s="642"/>
      <c r="AZ183" s="642"/>
      <c r="BA183" s="642"/>
      <c r="BB183" s="642"/>
      <c r="BC183" s="642"/>
      <c r="BD183" s="642"/>
      <c r="BE183" s="642"/>
      <c r="BF183" s="642"/>
      <c r="BG183" s="642"/>
      <c r="BH183" s="642"/>
      <c r="BI183" s="642"/>
      <c r="BJ183" s="642"/>
      <c r="BK183" s="642"/>
      <c r="BL183" s="642"/>
      <c r="BM183" s="642"/>
      <c r="BN183" s="642"/>
      <c r="BO183" s="642"/>
      <c r="BP183" s="642"/>
      <c r="BQ183" s="642"/>
      <c r="BR183" s="642"/>
      <c r="BS183" s="642"/>
      <c r="BT183" s="642"/>
      <c r="BU183" s="642"/>
      <c r="BV183" s="642"/>
      <c r="BW183" s="642"/>
      <c r="BX183" s="642"/>
      <c r="BY183" s="642"/>
      <c r="BZ183" s="642"/>
      <c r="CA183" s="642"/>
      <c r="CB183" s="642"/>
      <c r="CC183" s="642"/>
      <c r="CD183" s="642"/>
      <c r="CE183" s="642"/>
    </row>
    <row r="184" spans="1:83" s="528" customFormat="1" ht="14" customHeight="1" thickBot="1">
      <c r="A184" s="529" t="s">
        <v>655</v>
      </c>
      <c r="B184" s="526"/>
      <c r="C184" s="526"/>
      <c r="D184" s="526"/>
      <c r="E184" s="526"/>
      <c r="F184" s="526"/>
      <c r="G184" s="527"/>
    </row>
    <row r="185" spans="1:83" s="506" customFormat="1" ht="14" thickBot="1">
      <c r="A185" s="530">
        <v>304</v>
      </c>
      <c r="B185" s="530" t="s">
        <v>602</v>
      </c>
      <c r="C185" s="530" t="s">
        <v>409</v>
      </c>
      <c r="D185" s="530" t="s">
        <v>410</v>
      </c>
      <c r="E185" s="530" t="s">
        <v>605</v>
      </c>
      <c r="F185" s="530" t="s">
        <v>639</v>
      </c>
      <c r="G185" s="530" t="s">
        <v>603</v>
      </c>
    </row>
    <row r="186" spans="1:83" s="539" customFormat="1" ht="13">
      <c r="A186" s="507"/>
      <c r="B186" s="540" t="s">
        <v>656</v>
      </c>
      <c r="C186" s="541"/>
      <c r="D186" s="569"/>
      <c r="E186" s="570"/>
      <c r="F186" s="571"/>
      <c r="G186" s="542"/>
    </row>
    <row r="187" spans="1:83" s="539" customFormat="1" ht="13">
      <c r="A187" s="507"/>
      <c r="B187" s="540" t="s">
        <v>83</v>
      </c>
      <c r="C187" s="541"/>
      <c r="D187" s="569"/>
      <c r="E187" s="570"/>
      <c r="F187" s="571"/>
      <c r="G187" s="542"/>
    </row>
    <row r="188" spans="1:83" s="539" customFormat="1" ht="13">
      <c r="A188" s="493">
        <f>A186+1</f>
        <v>1</v>
      </c>
      <c r="B188" s="438" t="s">
        <v>657</v>
      </c>
      <c r="C188" s="545">
        <v>1</v>
      </c>
      <c r="D188" s="546">
        <v>50000</v>
      </c>
      <c r="E188" s="546">
        <f>D188*C188</f>
        <v>50000</v>
      </c>
      <c r="F188" s="546"/>
      <c r="G188" s="554"/>
    </row>
    <row r="189" spans="1:83" s="539" customFormat="1" ht="13">
      <c r="A189" s="493">
        <f>A188+1</f>
        <v>2</v>
      </c>
      <c r="B189" s="438" t="s">
        <v>658</v>
      </c>
      <c r="C189" s="545"/>
      <c r="D189" s="546">
        <v>0</v>
      </c>
      <c r="E189" s="546">
        <f>D189*C189</f>
        <v>0</v>
      </c>
      <c r="F189" s="546"/>
      <c r="G189" s="554"/>
    </row>
    <row r="190" spans="1:83" s="539" customFormat="1" ht="13">
      <c r="A190" s="493"/>
      <c r="B190" s="548" t="s">
        <v>30</v>
      </c>
      <c r="C190" s="545"/>
      <c r="D190" s="546"/>
      <c r="E190" s="546"/>
      <c r="F190" s="546"/>
      <c r="G190" s="554"/>
    </row>
    <row r="191" spans="1:83" s="539" customFormat="1" ht="13">
      <c r="A191" s="493">
        <v>1</v>
      </c>
      <c r="B191" s="438" t="s">
        <v>156</v>
      </c>
      <c r="C191" s="545">
        <v>1</v>
      </c>
      <c r="D191" s="546">
        <v>15000</v>
      </c>
      <c r="E191" s="546">
        <f>D191*C191</f>
        <v>15000</v>
      </c>
      <c r="F191" s="546"/>
      <c r="G191" s="554"/>
    </row>
    <row r="192" spans="1:83" s="539" customFormat="1" ht="13">
      <c r="A192" s="493">
        <f>A191+1</f>
        <v>2</v>
      </c>
      <c r="B192" s="438" t="s">
        <v>158</v>
      </c>
      <c r="C192" s="545"/>
      <c r="D192" s="546">
        <v>0</v>
      </c>
      <c r="E192" s="546">
        <f>D192*C192</f>
        <v>0</v>
      </c>
      <c r="F192" s="546"/>
      <c r="G192" s="554"/>
    </row>
    <row r="193" spans="1:83" s="539" customFormat="1" ht="14" thickBot="1">
      <c r="A193" s="532"/>
      <c r="B193" s="556" t="s">
        <v>659</v>
      </c>
      <c r="C193" s="557"/>
      <c r="D193" s="558"/>
      <c r="E193" s="572">
        <f>SUM(E188:E192)</f>
        <v>65000</v>
      </c>
      <c r="F193" s="559"/>
      <c r="G193" s="560"/>
    </row>
    <row r="194" spans="1:83" s="568" customFormat="1" ht="5.25" customHeight="1" thickBot="1">
      <c r="A194" s="533"/>
      <c r="B194" s="562"/>
      <c r="C194" s="563"/>
      <c r="D194" s="564"/>
      <c r="E194" s="565"/>
      <c r="F194" s="566"/>
      <c r="G194" s="567"/>
    </row>
    <row r="195" spans="1:83" s="630" customFormat="1" thickBot="1">
      <c r="A195" s="624"/>
      <c r="B195" s="625" t="s">
        <v>660</v>
      </c>
      <c r="C195" s="626"/>
      <c r="D195" s="627"/>
      <c r="E195" s="628">
        <f>E193</f>
        <v>65000</v>
      </c>
      <c r="F195" s="628"/>
      <c r="G195" s="629"/>
      <c r="H195" s="642"/>
      <c r="I195" s="642"/>
      <c r="J195" s="642"/>
      <c r="K195" s="642"/>
      <c r="L195" s="642"/>
      <c r="M195" s="642"/>
      <c r="N195" s="642"/>
      <c r="O195" s="642"/>
      <c r="P195" s="642"/>
      <c r="Q195" s="642"/>
      <c r="R195" s="642"/>
      <c r="S195" s="642"/>
      <c r="T195" s="642"/>
      <c r="U195" s="642"/>
      <c r="V195" s="642"/>
      <c r="W195" s="642"/>
      <c r="X195" s="642"/>
      <c r="Y195" s="642"/>
      <c r="Z195" s="642"/>
      <c r="AA195" s="642"/>
      <c r="AB195" s="642"/>
      <c r="AC195" s="642"/>
      <c r="AD195" s="642"/>
      <c r="AE195" s="642"/>
      <c r="AF195" s="642"/>
      <c r="AG195" s="642"/>
      <c r="AH195" s="642"/>
      <c r="AI195" s="642"/>
      <c r="AJ195" s="642"/>
      <c r="AK195" s="642"/>
      <c r="AL195" s="642"/>
      <c r="AM195" s="642"/>
      <c r="AN195" s="642"/>
      <c r="AO195" s="642"/>
      <c r="AP195" s="642"/>
      <c r="AQ195" s="642"/>
      <c r="AR195" s="642"/>
      <c r="AS195" s="642"/>
      <c r="AT195" s="642"/>
      <c r="AU195" s="642"/>
      <c r="AV195" s="642"/>
      <c r="AW195" s="642"/>
      <c r="AX195" s="642"/>
      <c r="AY195" s="642"/>
      <c r="AZ195" s="642"/>
      <c r="BA195" s="642"/>
      <c r="BB195" s="642"/>
      <c r="BC195" s="642"/>
      <c r="BD195" s="642"/>
      <c r="BE195" s="642"/>
      <c r="BF195" s="642"/>
      <c r="BG195" s="642"/>
      <c r="BH195" s="642"/>
      <c r="BI195" s="642"/>
      <c r="BJ195" s="642"/>
      <c r="BK195" s="642"/>
      <c r="BL195" s="642"/>
      <c r="BM195" s="642"/>
      <c r="BN195" s="642"/>
      <c r="BO195" s="642"/>
      <c r="BP195" s="642"/>
      <c r="BQ195" s="642"/>
      <c r="BR195" s="642"/>
      <c r="BS195" s="642"/>
      <c r="BT195" s="642"/>
      <c r="BU195" s="642"/>
      <c r="BV195" s="642"/>
      <c r="BW195" s="642"/>
      <c r="BX195" s="642"/>
      <c r="BY195" s="642"/>
      <c r="BZ195" s="642"/>
      <c r="CA195" s="642"/>
      <c r="CB195" s="642"/>
      <c r="CC195" s="642"/>
      <c r="CD195" s="642"/>
      <c r="CE195" s="642"/>
    </row>
    <row r="196" spans="1:83" s="528" customFormat="1" ht="14" customHeight="1" thickBot="1">
      <c r="A196" s="529" t="s">
        <v>661</v>
      </c>
      <c r="B196" s="526"/>
      <c r="C196" s="526"/>
      <c r="D196" s="526"/>
      <c r="E196" s="526"/>
      <c r="F196" s="526"/>
      <c r="G196" s="527"/>
    </row>
    <row r="197" spans="1:83" s="506" customFormat="1" ht="14" thickBot="1">
      <c r="A197" s="530">
        <v>305</v>
      </c>
      <c r="B197" s="530" t="s">
        <v>602</v>
      </c>
      <c r="C197" s="530" t="s">
        <v>409</v>
      </c>
      <c r="D197" s="530" t="s">
        <v>410</v>
      </c>
      <c r="E197" s="530" t="s">
        <v>605</v>
      </c>
      <c r="F197" s="530" t="s">
        <v>639</v>
      </c>
      <c r="G197" s="530" t="s">
        <v>603</v>
      </c>
    </row>
    <row r="198" spans="1:83" s="539" customFormat="1" ht="13">
      <c r="A198" s="540"/>
      <c r="B198" s="540" t="s">
        <v>662</v>
      </c>
      <c r="C198" s="541"/>
      <c r="D198" s="542"/>
      <c r="E198" s="542"/>
      <c r="F198" s="542"/>
      <c r="G198" s="534"/>
    </row>
    <row r="199" spans="1:83" s="539" customFormat="1" ht="13">
      <c r="A199" s="438">
        <v>1</v>
      </c>
      <c r="B199" s="438" t="s">
        <v>663</v>
      </c>
      <c r="C199" s="477">
        <v>1</v>
      </c>
      <c r="D199" s="643">
        <v>400000</v>
      </c>
      <c r="E199" s="522">
        <f>D199*C199</f>
        <v>400000</v>
      </c>
      <c r="F199" s="546"/>
      <c r="G199" s="438"/>
    </row>
    <row r="200" spans="1:83" s="539" customFormat="1" ht="13">
      <c r="A200" s="438"/>
      <c r="B200" s="438"/>
      <c r="C200" s="573"/>
      <c r="D200" s="546"/>
      <c r="E200" s="546"/>
      <c r="F200" s="546"/>
      <c r="G200" s="438"/>
    </row>
    <row r="201" spans="1:83" s="630" customFormat="1" thickBot="1">
      <c r="A201" s="631"/>
      <c r="B201" s="632" t="s">
        <v>664</v>
      </c>
      <c r="C201" s="633"/>
      <c r="D201" s="634"/>
      <c r="E201" s="646">
        <f>SUM(E199:E200)</f>
        <v>400000</v>
      </c>
      <c r="F201" s="635"/>
      <c r="G201" s="631"/>
      <c r="H201" s="642"/>
      <c r="I201" s="642"/>
      <c r="J201" s="642"/>
      <c r="K201" s="642"/>
      <c r="L201" s="642"/>
      <c r="M201" s="642"/>
      <c r="N201" s="642"/>
      <c r="O201" s="642"/>
      <c r="P201" s="642"/>
      <c r="Q201" s="642"/>
      <c r="R201" s="642"/>
      <c r="S201" s="642"/>
      <c r="T201" s="642"/>
      <c r="U201" s="642"/>
      <c r="V201" s="642"/>
      <c r="W201" s="642"/>
      <c r="X201" s="642"/>
      <c r="Y201" s="642"/>
      <c r="Z201" s="642"/>
      <c r="AA201" s="642"/>
      <c r="AB201" s="642"/>
      <c r="AC201" s="642"/>
      <c r="AD201" s="642"/>
      <c r="AE201" s="642"/>
      <c r="AF201" s="642"/>
      <c r="AG201" s="642"/>
      <c r="AH201" s="642"/>
      <c r="AI201" s="642"/>
      <c r="AJ201" s="642"/>
      <c r="AK201" s="642"/>
      <c r="AL201" s="642"/>
      <c r="AM201" s="642"/>
      <c r="AN201" s="642"/>
      <c r="AO201" s="642"/>
      <c r="AP201" s="642"/>
      <c r="AQ201" s="642"/>
      <c r="AR201" s="642"/>
      <c r="AS201" s="642"/>
      <c r="AT201" s="642"/>
      <c r="AU201" s="642"/>
      <c r="AV201" s="642"/>
      <c r="AW201" s="642"/>
      <c r="AX201" s="642"/>
      <c r="AY201" s="642"/>
      <c r="AZ201" s="642"/>
      <c r="BA201" s="642"/>
      <c r="BB201" s="642"/>
      <c r="BC201" s="642"/>
      <c r="BD201" s="642"/>
      <c r="BE201" s="642"/>
      <c r="BF201" s="642"/>
      <c r="BG201" s="642"/>
      <c r="BH201" s="642"/>
      <c r="BI201" s="642"/>
      <c r="BJ201" s="642"/>
      <c r="BK201" s="642"/>
      <c r="BL201" s="642"/>
      <c r="BM201" s="642"/>
      <c r="BN201" s="642"/>
      <c r="BO201" s="642"/>
      <c r="BP201" s="642"/>
      <c r="BQ201" s="642"/>
      <c r="BR201" s="642"/>
      <c r="BS201" s="642"/>
      <c r="BT201" s="642"/>
      <c r="BU201" s="642"/>
      <c r="BV201" s="642"/>
      <c r="BW201" s="642"/>
      <c r="BX201" s="642"/>
      <c r="BY201" s="642"/>
      <c r="BZ201" s="642"/>
      <c r="CA201" s="642"/>
      <c r="CB201" s="642"/>
      <c r="CC201" s="642"/>
      <c r="CD201" s="642"/>
      <c r="CE201" s="642"/>
    </row>
    <row r="202" spans="1:83" s="568" customFormat="1" ht="5.25" customHeight="1" thickBot="1">
      <c r="A202" s="561"/>
      <c r="B202" s="562"/>
      <c r="C202" s="563"/>
      <c r="D202" s="564"/>
      <c r="E202" s="565"/>
      <c r="F202" s="566"/>
      <c r="G202" s="567"/>
    </row>
    <row r="203" spans="1:83" s="539" customFormat="1" ht="13">
      <c r="A203" s="534"/>
      <c r="B203" s="540" t="s">
        <v>665</v>
      </c>
      <c r="C203" s="541"/>
      <c r="D203" s="550"/>
      <c r="E203" s="550"/>
      <c r="F203" s="550"/>
      <c r="G203" s="534"/>
    </row>
    <row r="204" spans="1:83" s="539" customFormat="1" ht="13">
      <c r="A204" s="438">
        <v>1</v>
      </c>
      <c r="B204" s="438" t="s">
        <v>666</v>
      </c>
      <c r="C204" s="477">
        <v>1</v>
      </c>
      <c r="D204" s="643">
        <v>100000</v>
      </c>
      <c r="E204" s="522">
        <f>D204*C204</f>
        <v>100000</v>
      </c>
      <c r="F204" s="546"/>
      <c r="G204" s="438"/>
    </row>
    <row r="205" spans="1:83" s="539" customFormat="1" ht="13">
      <c r="A205" s="489"/>
      <c r="B205" s="489"/>
      <c r="C205" s="573"/>
      <c r="D205" s="546"/>
      <c r="E205" s="546"/>
      <c r="F205" s="596"/>
      <c r="G205" s="489"/>
    </row>
    <row r="206" spans="1:83" s="630" customFormat="1" thickBot="1">
      <c r="A206" s="631"/>
      <c r="B206" s="632" t="s">
        <v>667</v>
      </c>
      <c r="C206" s="633"/>
      <c r="D206" s="634"/>
      <c r="E206" s="650">
        <f>E204</f>
        <v>100000</v>
      </c>
      <c r="F206" s="635"/>
      <c r="G206" s="631"/>
      <c r="H206" s="642"/>
      <c r="I206" s="642"/>
      <c r="J206" s="642"/>
      <c r="K206" s="642"/>
      <c r="L206" s="642"/>
      <c r="M206" s="642"/>
      <c r="N206" s="642"/>
      <c r="O206" s="642"/>
      <c r="P206" s="642"/>
      <c r="Q206" s="642"/>
      <c r="R206" s="642"/>
      <c r="S206" s="642"/>
      <c r="T206" s="642"/>
      <c r="U206" s="642"/>
      <c r="V206" s="642"/>
      <c r="W206" s="642"/>
      <c r="X206" s="642"/>
      <c r="Y206" s="642"/>
      <c r="Z206" s="642"/>
      <c r="AA206" s="642"/>
      <c r="AB206" s="642"/>
      <c r="AC206" s="642"/>
      <c r="AD206" s="642"/>
      <c r="AE206" s="642"/>
      <c r="AF206" s="642"/>
      <c r="AG206" s="642"/>
      <c r="AH206" s="642"/>
      <c r="AI206" s="642"/>
      <c r="AJ206" s="642"/>
      <c r="AK206" s="642"/>
      <c r="AL206" s="642"/>
      <c r="AM206" s="642"/>
      <c r="AN206" s="642"/>
      <c r="AO206" s="642"/>
      <c r="AP206" s="642"/>
      <c r="AQ206" s="642"/>
      <c r="AR206" s="642"/>
      <c r="AS206" s="642"/>
      <c r="AT206" s="642"/>
      <c r="AU206" s="642"/>
      <c r="AV206" s="642"/>
      <c r="AW206" s="642"/>
      <c r="AX206" s="642"/>
      <c r="AY206" s="642"/>
      <c r="AZ206" s="642"/>
      <c r="BA206" s="642"/>
      <c r="BB206" s="642"/>
      <c r="BC206" s="642"/>
      <c r="BD206" s="642"/>
      <c r="BE206" s="642"/>
      <c r="BF206" s="642"/>
      <c r="BG206" s="642"/>
      <c r="BH206" s="642"/>
      <c r="BI206" s="642"/>
      <c r="BJ206" s="642"/>
      <c r="BK206" s="642"/>
      <c r="BL206" s="642"/>
      <c r="BM206" s="642"/>
      <c r="BN206" s="642"/>
      <c r="BO206" s="642"/>
      <c r="BP206" s="642"/>
      <c r="BQ206" s="642"/>
      <c r="BR206" s="642"/>
      <c r="BS206" s="642"/>
      <c r="BT206" s="642"/>
      <c r="BU206" s="642"/>
      <c r="BV206" s="642"/>
      <c r="BW206" s="642"/>
      <c r="BX206" s="642"/>
      <c r="BY206" s="642"/>
      <c r="BZ206" s="642"/>
      <c r="CA206" s="642"/>
      <c r="CB206" s="642"/>
      <c r="CC206" s="642"/>
      <c r="CD206" s="642"/>
      <c r="CE206" s="642"/>
    </row>
    <row r="207" spans="1:83" s="568" customFormat="1" ht="5.25" customHeight="1" thickBot="1">
      <c r="A207" s="561"/>
      <c r="B207" s="562"/>
      <c r="C207" s="563"/>
      <c r="D207" s="564"/>
      <c r="E207" s="565"/>
      <c r="F207" s="566"/>
      <c r="G207" s="567"/>
    </row>
    <row r="208" spans="1:83" s="539" customFormat="1" ht="13">
      <c r="A208" s="534"/>
      <c r="B208" s="540" t="s">
        <v>668</v>
      </c>
      <c r="C208" s="541"/>
      <c r="D208" s="550"/>
      <c r="E208" s="550"/>
      <c r="F208" s="550"/>
      <c r="G208" s="534"/>
    </row>
    <row r="209" spans="1:83" s="539" customFormat="1" ht="13">
      <c r="A209" s="438">
        <v>1</v>
      </c>
      <c r="B209" s="438" t="s">
        <v>669</v>
      </c>
      <c r="C209" s="573">
        <v>1</v>
      </c>
      <c r="D209" s="643">
        <v>150000</v>
      </c>
      <c r="E209" s="522">
        <f>D209*C209</f>
        <v>150000</v>
      </c>
      <c r="F209" s="546" t="s">
        <v>839</v>
      </c>
      <c r="G209" s="544"/>
    </row>
    <row r="210" spans="1:83" s="539" customFormat="1" ht="14" thickBot="1">
      <c r="A210" s="574"/>
      <c r="B210" s="575" t="s">
        <v>670</v>
      </c>
      <c r="C210" s="557"/>
      <c r="D210" s="558"/>
      <c r="E210" s="572">
        <f>E209</f>
        <v>150000</v>
      </c>
      <c r="F210" s="572"/>
      <c r="G210" s="574"/>
    </row>
    <row r="211" spans="1:83" s="568" customFormat="1" ht="5.25" customHeight="1" thickBot="1">
      <c r="A211" s="561"/>
      <c r="B211" s="562"/>
      <c r="C211" s="563"/>
      <c r="D211" s="564"/>
      <c r="E211" s="565"/>
      <c r="F211" s="566"/>
      <c r="G211" s="567"/>
    </row>
    <row r="212" spans="1:83" s="630" customFormat="1" thickBot="1">
      <c r="A212" s="629"/>
      <c r="B212" s="625" t="s">
        <v>671</v>
      </c>
      <c r="C212" s="626"/>
      <c r="D212" s="627"/>
      <c r="E212" s="645">
        <f>E210+E206+E201</f>
        <v>650000</v>
      </c>
      <c r="F212" s="628"/>
      <c r="G212" s="629"/>
      <c r="H212" s="642"/>
      <c r="I212" s="642"/>
      <c r="J212" s="642"/>
      <c r="K212" s="642"/>
      <c r="L212" s="642"/>
      <c r="M212" s="642"/>
      <c r="N212" s="642"/>
      <c r="O212" s="642"/>
      <c r="P212" s="642"/>
      <c r="Q212" s="642"/>
      <c r="R212" s="642"/>
      <c r="S212" s="642"/>
      <c r="T212" s="642"/>
      <c r="U212" s="642"/>
      <c r="V212" s="642"/>
      <c r="W212" s="642"/>
      <c r="X212" s="642"/>
      <c r="Y212" s="642"/>
      <c r="Z212" s="642"/>
      <c r="AA212" s="642"/>
      <c r="AB212" s="642"/>
      <c r="AC212" s="642"/>
      <c r="AD212" s="642"/>
      <c r="AE212" s="642"/>
      <c r="AF212" s="642"/>
      <c r="AG212" s="642"/>
      <c r="AH212" s="642"/>
      <c r="AI212" s="642"/>
      <c r="AJ212" s="642"/>
      <c r="AK212" s="642"/>
      <c r="AL212" s="642"/>
      <c r="AM212" s="642"/>
      <c r="AN212" s="642"/>
      <c r="AO212" s="642"/>
      <c r="AP212" s="642"/>
      <c r="AQ212" s="642"/>
      <c r="AR212" s="642"/>
      <c r="AS212" s="642"/>
      <c r="AT212" s="642"/>
      <c r="AU212" s="642"/>
      <c r="AV212" s="642"/>
      <c r="AW212" s="642"/>
      <c r="AX212" s="642"/>
      <c r="AY212" s="642"/>
      <c r="AZ212" s="642"/>
      <c r="BA212" s="642"/>
      <c r="BB212" s="642"/>
      <c r="BC212" s="642"/>
      <c r="BD212" s="642"/>
      <c r="BE212" s="642"/>
      <c r="BF212" s="642"/>
      <c r="BG212" s="642"/>
      <c r="BH212" s="642"/>
      <c r="BI212" s="642"/>
      <c r="BJ212" s="642"/>
      <c r="BK212" s="642"/>
      <c r="BL212" s="642"/>
      <c r="BM212" s="642"/>
      <c r="BN212" s="642"/>
      <c r="BO212" s="642"/>
      <c r="BP212" s="642"/>
      <c r="BQ212" s="642"/>
      <c r="BR212" s="642"/>
      <c r="BS212" s="642"/>
      <c r="BT212" s="642"/>
      <c r="BU212" s="642"/>
      <c r="BV212" s="642"/>
      <c r="BW212" s="642"/>
      <c r="BX212" s="642"/>
      <c r="BY212" s="642"/>
      <c r="BZ212" s="642"/>
      <c r="CA212" s="642"/>
      <c r="CB212" s="642"/>
      <c r="CC212" s="642"/>
      <c r="CD212" s="642"/>
      <c r="CE212" s="642"/>
    </row>
    <row r="213" spans="1:83" s="528" customFormat="1" ht="14" customHeight="1" thickBot="1">
      <c r="A213" s="529" t="s">
        <v>672</v>
      </c>
      <c r="B213" s="526"/>
      <c r="C213" s="526"/>
      <c r="D213" s="526"/>
      <c r="E213" s="526"/>
      <c r="F213" s="526"/>
      <c r="G213" s="527"/>
    </row>
    <row r="214" spans="1:83" s="506" customFormat="1" ht="14" thickBot="1">
      <c r="A214" s="530">
        <v>306</v>
      </c>
      <c r="B214" s="530" t="s">
        <v>602</v>
      </c>
      <c r="C214" s="530" t="s">
        <v>409</v>
      </c>
      <c r="D214" s="530" t="s">
        <v>410</v>
      </c>
      <c r="E214" s="530" t="s">
        <v>605</v>
      </c>
      <c r="F214" s="530" t="s">
        <v>639</v>
      </c>
      <c r="G214" s="530" t="s">
        <v>603</v>
      </c>
    </row>
    <row r="215" spans="1:83" s="539" customFormat="1" ht="13">
      <c r="A215" s="576"/>
      <c r="B215" s="577" t="s">
        <v>673</v>
      </c>
      <c r="C215" s="578"/>
      <c r="D215" s="579"/>
      <c r="E215" s="580"/>
      <c r="F215" s="581"/>
      <c r="G215" s="582"/>
    </row>
    <row r="216" spans="1:83" s="539" customFormat="1" ht="13">
      <c r="A216" s="534">
        <f>A215+1</f>
        <v>1</v>
      </c>
      <c r="B216" s="534" t="s">
        <v>674</v>
      </c>
      <c r="C216" s="541">
        <v>1</v>
      </c>
      <c r="D216" s="550">
        <v>1000</v>
      </c>
      <c r="E216" s="546">
        <f>D216*C216</f>
        <v>1000</v>
      </c>
      <c r="F216" s="546"/>
      <c r="G216" s="542"/>
    </row>
    <row r="217" spans="1:83" s="539" customFormat="1" ht="13">
      <c r="A217" s="534">
        <v>2</v>
      </c>
      <c r="B217" s="534" t="s">
        <v>180</v>
      </c>
      <c r="C217" s="541">
        <v>1</v>
      </c>
      <c r="D217" s="550">
        <v>1000</v>
      </c>
      <c r="E217" s="546">
        <f>D217*C217</f>
        <v>1000</v>
      </c>
      <c r="F217" s="546"/>
      <c r="G217" s="542"/>
    </row>
    <row r="218" spans="1:83" s="539" customFormat="1" ht="13">
      <c r="A218" s="438">
        <v>3</v>
      </c>
      <c r="B218" s="438" t="s">
        <v>181</v>
      </c>
      <c r="C218" s="545">
        <v>1</v>
      </c>
      <c r="D218" s="550">
        <v>1000</v>
      </c>
      <c r="E218" s="546">
        <f>D218*C218</f>
        <v>1000</v>
      </c>
      <c r="F218" s="546"/>
      <c r="G218" s="554"/>
    </row>
    <row r="219" spans="1:83" s="539" customFormat="1" ht="13">
      <c r="A219" s="438"/>
      <c r="B219" s="438" t="s">
        <v>844</v>
      </c>
      <c r="C219" s="545">
        <v>1</v>
      </c>
      <c r="D219" s="546">
        <v>20000</v>
      </c>
      <c r="E219" s="546">
        <f t="shared" ref="E219" si="13">D219*C219</f>
        <v>20000</v>
      </c>
      <c r="F219" s="546"/>
      <c r="G219" s="584"/>
    </row>
    <row r="220" spans="1:83" s="539" customFormat="1" ht="14" thickBot="1">
      <c r="A220" s="555"/>
      <c r="B220" s="556" t="s">
        <v>675</v>
      </c>
      <c r="C220" s="557"/>
      <c r="D220" s="558"/>
      <c r="E220" s="572">
        <f>SUM(E216:E219)</f>
        <v>23000</v>
      </c>
      <c r="F220" s="559"/>
      <c r="G220" s="585"/>
    </row>
    <row r="221" spans="1:83" s="568" customFormat="1" ht="5.25" customHeight="1" thickBot="1">
      <c r="A221" s="561"/>
      <c r="B221" s="562"/>
      <c r="C221" s="563"/>
      <c r="D221" s="564"/>
      <c r="E221" s="565"/>
      <c r="F221" s="566"/>
      <c r="G221" s="567"/>
    </row>
    <row r="222" spans="1:83" s="539" customFormat="1" ht="13">
      <c r="A222" s="534"/>
      <c r="B222" s="540" t="s">
        <v>195</v>
      </c>
      <c r="C222" s="541"/>
      <c r="D222" s="550"/>
      <c r="E222" s="551"/>
      <c r="F222" s="552"/>
      <c r="G222" s="542"/>
    </row>
    <row r="223" spans="1:83" s="539" customFormat="1" ht="13">
      <c r="A223" s="438">
        <f>A222+1</f>
        <v>1</v>
      </c>
      <c r="B223" s="489" t="s">
        <v>195</v>
      </c>
      <c r="C223" s="545">
        <v>1</v>
      </c>
      <c r="D223" s="546">
        <v>70000</v>
      </c>
      <c r="E223" s="546">
        <f>D223*C223</f>
        <v>70000</v>
      </c>
      <c r="F223" s="546"/>
      <c r="G223" s="554"/>
    </row>
    <row r="224" spans="1:83" s="539" customFormat="1" ht="14" thickBot="1">
      <c r="A224" s="555"/>
      <c r="B224" s="556" t="s">
        <v>728</v>
      </c>
      <c r="C224" s="557"/>
      <c r="D224" s="558"/>
      <c r="E224" s="572">
        <f>E223</f>
        <v>70000</v>
      </c>
      <c r="F224" s="559"/>
      <c r="G224" s="560"/>
    </row>
    <row r="225" spans="1:83" s="568" customFormat="1" ht="5.25" customHeight="1" thickBot="1">
      <c r="A225" s="561"/>
      <c r="B225" s="562"/>
      <c r="C225" s="563"/>
      <c r="D225" s="564"/>
      <c r="E225" s="565"/>
      <c r="F225" s="566"/>
      <c r="G225" s="567"/>
    </row>
    <row r="226" spans="1:83" s="630" customFormat="1" thickBot="1">
      <c r="A226" s="629"/>
      <c r="B226" s="625" t="s">
        <v>676</v>
      </c>
      <c r="C226" s="626"/>
      <c r="D226" s="627"/>
      <c r="E226" s="628">
        <f>E224+E220</f>
        <v>93000</v>
      </c>
      <c r="F226" s="628"/>
      <c r="G226" s="629"/>
      <c r="H226" s="642"/>
      <c r="I226" s="642"/>
      <c r="J226" s="642"/>
      <c r="K226" s="642"/>
      <c r="L226" s="642"/>
      <c r="M226" s="642"/>
      <c r="N226" s="642"/>
      <c r="O226" s="642"/>
      <c r="P226" s="642"/>
      <c r="Q226" s="642"/>
      <c r="R226" s="642"/>
      <c r="S226" s="642"/>
      <c r="T226" s="642"/>
      <c r="U226" s="642"/>
      <c r="V226" s="642"/>
      <c r="W226" s="642"/>
      <c r="X226" s="642"/>
      <c r="Y226" s="642"/>
      <c r="Z226" s="642"/>
      <c r="AA226" s="642"/>
      <c r="AB226" s="642"/>
      <c r="AC226" s="642"/>
      <c r="AD226" s="642"/>
      <c r="AE226" s="642"/>
      <c r="AF226" s="642"/>
      <c r="AG226" s="642"/>
      <c r="AH226" s="642"/>
      <c r="AI226" s="642"/>
      <c r="AJ226" s="642"/>
      <c r="AK226" s="642"/>
      <c r="AL226" s="642"/>
      <c r="AM226" s="642"/>
      <c r="AN226" s="642"/>
      <c r="AO226" s="642"/>
      <c r="AP226" s="642"/>
      <c r="AQ226" s="642"/>
      <c r="AR226" s="642"/>
      <c r="AS226" s="642"/>
      <c r="AT226" s="642"/>
      <c r="AU226" s="642"/>
      <c r="AV226" s="642"/>
      <c r="AW226" s="642"/>
      <c r="AX226" s="642"/>
      <c r="AY226" s="642"/>
      <c r="AZ226" s="642"/>
      <c r="BA226" s="642"/>
      <c r="BB226" s="642"/>
      <c r="BC226" s="642"/>
      <c r="BD226" s="642"/>
      <c r="BE226" s="642"/>
      <c r="BF226" s="642"/>
      <c r="BG226" s="642"/>
      <c r="BH226" s="642"/>
      <c r="BI226" s="642"/>
      <c r="BJ226" s="642"/>
      <c r="BK226" s="642"/>
      <c r="BL226" s="642"/>
      <c r="BM226" s="642"/>
      <c r="BN226" s="642"/>
      <c r="BO226" s="642"/>
      <c r="BP226" s="642"/>
      <c r="BQ226" s="642"/>
      <c r="BR226" s="642"/>
      <c r="BS226" s="642"/>
      <c r="BT226" s="642"/>
      <c r="BU226" s="642"/>
      <c r="BV226" s="642"/>
      <c r="BW226" s="642"/>
      <c r="BX226" s="642"/>
      <c r="BY226" s="642"/>
      <c r="BZ226" s="642"/>
      <c r="CA226" s="642"/>
      <c r="CB226" s="642"/>
      <c r="CC226" s="642"/>
      <c r="CD226" s="642"/>
      <c r="CE226" s="642"/>
    </row>
    <row r="227" spans="1:83" s="528" customFormat="1" ht="14" customHeight="1" thickBot="1">
      <c r="A227" s="529" t="s">
        <v>677</v>
      </c>
      <c r="B227" s="526"/>
      <c r="C227" s="526"/>
      <c r="D227" s="526"/>
      <c r="E227" s="526"/>
      <c r="F227" s="526"/>
      <c r="G227" s="527"/>
    </row>
    <row r="228" spans="1:83" s="377" customFormat="1" ht="12" thickBot="1">
      <c r="A228" s="380">
        <v>307</v>
      </c>
      <c r="B228" s="380" t="s">
        <v>602</v>
      </c>
      <c r="C228" s="380" t="s">
        <v>409</v>
      </c>
      <c r="D228" s="380" t="s">
        <v>410</v>
      </c>
      <c r="E228" s="380" t="s">
        <v>605</v>
      </c>
      <c r="F228" s="380" t="s">
        <v>639</v>
      </c>
      <c r="G228" s="380" t="s">
        <v>603</v>
      </c>
    </row>
    <row r="229" spans="1:83" s="539" customFormat="1" ht="13">
      <c r="A229" s="534"/>
      <c r="B229" s="540" t="s">
        <v>678</v>
      </c>
      <c r="C229" s="541"/>
      <c r="D229" s="542"/>
      <c r="E229" s="542"/>
      <c r="F229" s="542"/>
      <c r="G229" s="534"/>
    </row>
    <row r="230" spans="1:83" s="539" customFormat="1" ht="13">
      <c r="A230" s="438">
        <v>1</v>
      </c>
      <c r="B230" s="438" t="s">
        <v>886</v>
      </c>
      <c r="C230" s="545">
        <v>1</v>
      </c>
      <c r="D230" s="554">
        <v>26000</v>
      </c>
      <c r="E230" s="547">
        <f>D230*C230</f>
        <v>26000</v>
      </c>
      <c r="F230" s="547"/>
      <c r="G230" s="438"/>
    </row>
    <row r="231" spans="1:83" s="539" customFormat="1" ht="14" thickBot="1">
      <c r="A231" s="489"/>
      <c r="B231" s="586" t="s">
        <v>679</v>
      </c>
      <c r="C231" s="583"/>
      <c r="D231" s="584"/>
      <c r="E231" s="587">
        <f>E230</f>
        <v>26000</v>
      </c>
      <c r="F231" s="588"/>
      <c r="G231" s="489"/>
    </row>
    <row r="232" spans="1:83" s="568" customFormat="1" ht="5.25" customHeight="1" thickBot="1">
      <c r="A232" s="561"/>
      <c r="B232" s="562"/>
      <c r="C232" s="563"/>
      <c r="D232" s="564"/>
      <c r="E232" s="565"/>
      <c r="F232" s="566"/>
      <c r="G232" s="567"/>
    </row>
    <row r="233" spans="1:83" s="539" customFormat="1" ht="13">
      <c r="A233" s="589"/>
      <c r="B233" s="488" t="s">
        <v>680</v>
      </c>
      <c r="C233" s="590"/>
      <c r="D233" s="591"/>
      <c r="E233" s="592"/>
      <c r="F233" s="592"/>
      <c r="G233" s="589"/>
    </row>
    <row r="234" spans="1:83" s="539" customFormat="1" ht="13">
      <c r="A234" s="535">
        <f>A233+1</f>
        <v>1</v>
      </c>
      <c r="B234" s="535"/>
      <c r="C234" s="593">
        <v>0</v>
      </c>
      <c r="D234" s="594">
        <v>0</v>
      </c>
      <c r="E234" s="547">
        <f>D234*C234</f>
        <v>0</v>
      </c>
      <c r="F234" s="547"/>
      <c r="G234" s="535"/>
    </row>
    <row r="235" spans="1:83" s="539" customFormat="1" ht="14" thickBot="1">
      <c r="A235" s="489"/>
      <c r="B235" s="586" t="s">
        <v>681</v>
      </c>
      <c r="C235" s="583"/>
      <c r="D235" s="584"/>
      <c r="E235" s="587">
        <f>E234</f>
        <v>0</v>
      </c>
      <c r="F235" s="588"/>
      <c r="G235" s="489"/>
    </row>
    <row r="236" spans="1:83" s="568" customFormat="1" ht="5.25" customHeight="1" thickBot="1">
      <c r="A236" s="561"/>
      <c r="B236" s="562"/>
      <c r="C236" s="563"/>
      <c r="D236" s="564"/>
      <c r="E236" s="565"/>
      <c r="F236" s="566"/>
      <c r="G236" s="567"/>
    </row>
    <row r="237" spans="1:83" s="539" customFormat="1" ht="13">
      <c r="A237" s="534"/>
      <c r="B237" s="540" t="s">
        <v>682</v>
      </c>
      <c r="C237" s="541"/>
      <c r="D237" s="542"/>
      <c r="E237" s="543"/>
      <c r="F237" s="543"/>
      <c r="G237" s="534"/>
    </row>
    <row r="238" spans="1:83" s="539" customFormat="1" ht="13">
      <c r="A238" s="438">
        <f>A237+1</f>
        <v>1</v>
      </c>
      <c r="B238" s="438"/>
      <c r="C238" s="545">
        <v>0</v>
      </c>
      <c r="D238" s="554">
        <v>0</v>
      </c>
      <c r="E238" s="547">
        <f>D238*C238</f>
        <v>0</v>
      </c>
      <c r="F238" s="547"/>
      <c r="G238" s="438"/>
    </row>
    <row r="239" spans="1:83" s="539" customFormat="1" ht="14" thickBot="1">
      <c r="A239" s="589"/>
      <c r="B239" s="488" t="s">
        <v>683</v>
      </c>
      <c r="C239" s="590"/>
      <c r="D239" s="591"/>
      <c r="E239" s="587">
        <f>E238</f>
        <v>0</v>
      </c>
      <c r="F239" s="595"/>
      <c r="G239" s="589"/>
    </row>
    <row r="240" spans="1:83" s="568" customFormat="1" ht="5.25" customHeight="1" thickBot="1">
      <c r="A240" s="561"/>
      <c r="B240" s="562"/>
      <c r="C240" s="563"/>
      <c r="D240" s="564"/>
      <c r="E240" s="565"/>
      <c r="F240" s="566"/>
      <c r="G240" s="567"/>
    </row>
    <row r="241" spans="1:83" s="630" customFormat="1" thickBot="1">
      <c r="A241" s="629"/>
      <c r="B241" s="625" t="s">
        <v>684</v>
      </c>
      <c r="C241" s="626"/>
      <c r="D241" s="636"/>
      <c r="E241" s="656">
        <f>E239+E235+E231</f>
        <v>26000</v>
      </c>
      <c r="F241" s="637"/>
      <c r="G241" s="629"/>
      <c r="H241" s="642"/>
      <c r="I241" s="642"/>
      <c r="J241" s="642"/>
      <c r="K241" s="642"/>
      <c r="L241" s="642"/>
      <c r="M241" s="642"/>
      <c r="N241" s="642"/>
      <c r="O241" s="642"/>
      <c r="P241" s="642"/>
      <c r="Q241" s="642"/>
      <c r="R241" s="642"/>
      <c r="S241" s="642"/>
      <c r="T241" s="642"/>
      <c r="U241" s="642"/>
      <c r="V241" s="642"/>
      <c r="W241" s="642"/>
      <c r="X241" s="642"/>
      <c r="Y241" s="642"/>
      <c r="Z241" s="642"/>
      <c r="AA241" s="642"/>
      <c r="AB241" s="642"/>
      <c r="AC241" s="642"/>
      <c r="AD241" s="642"/>
      <c r="AE241" s="642"/>
      <c r="AF241" s="642"/>
      <c r="AG241" s="642"/>
      <c r="AH241" s="642"/>
      <c r="AI241" s="642"/>
      <c r="AJ241" s="642"/>
      <c r="AK241" s="642"/>
      <c r="AL241" s="642"/>
      <c r="AM241" s="642"/>
      <c r="AN241" s="642"/>
      <c r="AO241" s="642"/>
      <c r="AP241" s="642"/>
      <c r="AQ241" s="642"/>
      <c r="AR241" s="642"/>
      <c r="AS241" s="642"/>
      <c r="AT241" s="642"/>
      <c r="AU241" s="642"/>
      <c r="AV241" s="642"/>
      <c r="AW241" s="642"/>
      <c r="AX241" s="642"/>
      <c r="AY241" s="642"/>
      <c r="AZ241" s="642"/>
      <c r="BA241" s="642"/>
      <c r="BB241" s="642"/>
      <c r="BC241" s="642"/>
      <c r="BD241" s="642"/>
      <c r="BE241" s="642"/>
      <c r="BF241" s="642"/>
      <c r="BG241" s="642"/>
      <c r="BH241" s="642"/>
      <c r="BI241" s="642"/>
      <c r="BJ241" s="642"/>
      <c r="BK241" s="642"/>
      <c r="BL241" s="642"/>
      <c r="BM241" s="642"/>
      <c r="BN241" s="642"/>
      <c r="BO241" s="642"/>
      <c r="BP241" s="642"/>
      <c r="BQ241" s="642"/>
      <c r="BR241" s="642"/>
      <c r="BS241" s="642"/>
      <c r="BT241" s="642"/>
      <c r="BU241" s="642"/>
      <c r="BV241" s="642"/>
      <c r="BW241" s="642"/>
      <c r="BX241" s="642"/>
      <c r="BY241" s="642"/>
      <c r="BZ241" s="642"/>
      <c r="CA241" s="642"/>
      <c r="CB241" s="642"/>
      <c r="CC241" s="642"/>
      <c r="CD241" s="642"/>
      <c r="CE241" s="642"/>
    </row>
    <row r="242" spans="1:83" s="528" customFormat="1" ht="14" customHeight="1" thickBot="1">
      <c r="A242" s="529" t="s">
        <v>685</v>
      </c>
      <c r="B242" s="526"/>
      <c r="C242" s="526"/>
      <c r="D242" s="526"/>
      <c r="E242" s="526"/>
      <c r="F242" s="526"/>
      <c r="G242" s="527"/>
    </row>
    <row r="243" spans="1:83" s="377" customFormat="1" ht="12" thickBot="1">
      <c r="A243" s="380" t="s">
        <v>604</v>
      </c>
      <c r="B243" s="380" t="s">
        <v>602</v>
      </c>
      <c r="C243" s="380" t="s">
        <v>409</v>
      </c>
      <c r="D243" s="380" t="s">
        <v>410</v>
      </c>
      <c r="E243" s="380" t="s">
        <v>605</v>
      </c>
      <c r="F243" s="380" t="s">
        <v>639</v>
      </c>
      <c r="G243" s="380" t="s">
        <v>603</v>
      </c>
    </row>
    <row r="244" spans="1:83" s="539" customFormat="1" ht="13">
      <c r="A244" s="540"/>
      <c r="B244" s="540" t="s">
        <v>686</v>
      </c>
      <c r="C244" s="541"/>
      <c r="D244" s="550"/>
      <c r="E244" s="550"/>
      <c r="F244" s="550"/>
      <c r="G244" s="534"/>
    </row>
    <row r="245" spans="1:83" s="539" customFormat="1" ht="13">
      <c r="A245" s="438">
        <v>1</v>
      </c>
      <c r="B245" s="438" t="s">
        <v>687</v>
      </c>
      <c r="C245" s="545">
        <v>80</v>
      </c>
      <c r="D245" s="546">
        <v>150</v>
      </c>
      <c r="E245" s="546">
        <f>D245*C245</f>
        <v>12000</v>
      </c>
      <c r="F245" s="546"/>
      <c r="G245" s="438"/>
    </row>
    <row r="246" spans="1:83" s="539" customFormat="1" ht="13">
      <c r="A246" s="438">
        <f>A245+1</f>
        <v>2</v>
      </c>
      <c r="B246" s="438" t="s">
        <v>688</v>
      </c>
      <c r="C246" s="545">
        <v>0</v>
      </c>
      <c r="D246" s="546">
        <v>0</v>
      </c>
      <c r="E246" s="546">
        <f>D246*C246</f>
        <v>0</v>
      </c>
      <c r="F246" s="546"/>
      <c r="G246" s="544"/>
    </row>
    <row r="247" spans="1:83" s="539" customFormat="1" ht="13">
      <c r="A247" s="438">
        <f>A246+1</f>
        <v>3</v>
      </c>
      <c r="B247" s="489" t="s">
        <v>193</v>
      </c>
      <c r="C247" s="583">
        <v>2</v>
      </c>
      <c r="D247" s="596">
        <v>500</v>
      </c>
      <c r="E247" s="546">
        <f>D247*C247</f>
        <v>1000</v>
      </c>
      <c r="F247" s="546"/>
      <c r="G247" s="489"/>
    </row>
    <row r="248" spans="1:83" s="539" customFormat="1" ht="14" thickBot="1">
      <c r="A248" s="612"/>
      <c r="B248" s="613" t="s">
        <v>689</v>
      </c>
      <c r="C248" s="614"/>
      <c r="D248" s="615"/>
      <c r="E248" s="616">
        <f>SUM(E245:E247)</f>
        <v>13000</v>
      </c>
      <c r="F248" s="616"/>
      <c r="G248" s="612"/>
    </row>
    <row r="249" spans="1:83" s="568" customFormat="1" ht="5.25" customHeight="1" thickBot="1">
      <c r="A249" s="561"/>
      <c r="B249" s="562"/>
      <c r="C249" s="563"/>
      <c r="D249" s="564"/>
      <c r="E249" s="565"/>
      <c r="F249" s="566"/>
      <c r="G249" s="567"/>
    </row>
    <row r="250" spans="1:83" s="539" customFormat="1" ht="13">
      <c r="A250" s="534"/>
      <c r="B250" s="540" t="s">
        <v>690</v>
      </c>
      <c r="C250" s="541"/>
      <c r="D250" s="550"/>
      <c r="E250" s="550"/>
      <c r="F250" s="550"/>
      <c r="G250" s="534"/>
    </row>
    <row r="251" spans="1:83" s="539" customFormat="1" ht="13">
      <c r="A251" s="438">
        <f>A250+1</f>
        <v>1</v>
      </c>
      <c r="B251" s="438"/>
      <c r="C251" s="545"/>
      <c r="D251" s="546">
        <v>0</v>
      </c>
      <c r="E251" s="546">
        <f>D251*C251</f>
        <v>0</v>
      </c>
      <c r="F251" s="546"/>
      <c r="G251" s="438"/>
    </row>
    <row r="252" spans="1:83" s="539" customFormat="1" ht="14" thickBot="1">
      <c r="A252" s="612"/>
      <c r="B252" s="613" t="s">
        <v>691</v>
      </c>
      <c r="C252" s="614"/>
      <c r="D252" s="615"/>
      <c r="E252" s="616">
        <f>E251</f>
        <v>0</v>
      </c>
      <c r="F252" s="616"/>
      <c r="G252" s="612"/>
    </row>
    <row r="253" spans="1:83" s="568" customFormat="1" ht="5.25" customHeight="1" thickBot="1">
      <c r="A253" s="561"/>
      <c r="B253" s="562"/>
      <c r="C253" s="563"/>
      <c r="D253" s="564"/>
      <c r="E253" s="565"/>
      <c r="F253" s="566"/>
      <c r="G253" s="567"/>
    </row>
    <row r="254" spans="1:83" s="539" customFormat="1" ht="13">
      <c r="A254" s="534"/>
      <c r="B254" s="540" t="s">
        <v>692</v>
      </c>
      <c r="C254" s="541"/>
      <c r="D254" s="550">
        <v>0</v>
      </c>
      <c r="E254" s="550"/>
      <c r="F254" s="550"/>
      <c r="G254" s="534"/>
    </row>
    <row r="255" spans="1:83" s="539" customFormat="1" ht="13">
      <c r="A255" s="489">
        <v>1</v>
      </c>
      <c r="B255" s="489"/>
      <c r="C255" s="545"/>
      <c r="D255" s="546"/>
      <c r="E255" s="546"/>
      <c r="F255" s="546"/>
      <c r="G255" s="489"/>
    </row>
    <row r="256" spans="1:83" s="539" customFormat="1" ht="14" thickBot="1">
      <c r="A256" s="612"/>
      <c r="B256" s="613" t="s">
        <v>693</v>
      </c>
      <c r="C256" s="614"/>
      <c r="D256" s="615"/>
      <c r="E256" s="616">
        <f>E255</f>
        <v>0</v>
      </c>
      <c r="F256" s="616"/>
      <c r="G256" s="612"/>
    </row>
    <row r="257" spans="1:83" s="568" customFormat="1" ht="5.25" customHeight="1" thickBot="1">
      <c r="A257" s="561"/>
      <c r="B257" s="562"/>
      <c r="C257" s="563"/>
      <c r="D257" s="564"/>
      <c r="E257" s="565"/>
      <c r="F257" s="566"/>
      <c r="G257" s="567"/>
    </row>
    <row r="258" spans="1:83" s="539" customFormat="1" ht="13">
      <c r="A258" s="534"/>
      <c r="B258" s="540" t="s">
        <v>694</v>
      </c>
      <c r="C258" s="541"/>
      <c r="D258" s="550"/>
      <c r="E258" s="550"/>
      <c r="F258" s="550"/>
      <c r="G258" s="534"/>
    </row>
    <row r="259" spans="1:83" s="539" customFormat="1" ht="13">
      <c r="A259" s="438">
        <v>1</v>
      </c>
      <c r="B259" s="438" t="s">
        <v>28</v>
      </c>
      <c r="C259" s="545">
        <v>1</v>
      </c>
      <c r="D259" s="546">
        <v>1000</v>
      </c>
      <c r="E259" s="546">
        <f>D259*C259</f>
        <v>1000</v>
      </c>
      <c r="F259" s="546"/>
      <c r="G259" s="438"/>
    </row>
    <row r="260" spans="1:83" s="539" customFormat="1" ht="13">
      <c r="A260" s="438">
        <v>2</v>
      </c>
      <c r="B260" s="438" t="s">
        <v>845</v>
      </c>
      <c r="C260" s="545">
        <v>1</v>
      </c>
      <c r="D260" s="546">
        <v>10000</v>
      </c>
      <c r="E260" s="546">
        <f t="shared" ref="E260" si="14">D260*C260</f>
        <v>10000</v>
      </c>
      <c r="F260" s="546"/>
      <c r="G260" s="438"/>
    </row>
    <row r="261" spans="1:83" s="539" customFormat="1" ht="13">
      <c r="A261" s="438">
        <v>3</v>
      </c>
      <c r="B261" s="438"/>
      <c r="C261" s="545"/>
      <c r="D261" s="546"/>
      <c r="E261" s="546"/>
      <c r="F261" s="546"/>
      <c r="G261" s="438"/>
    </row>
    <row r="262" spans="1:83" s="539" customFormat="1" ht="13">
      <c r="A262" s="438"/>
      <c r="B262" s="536"/>
      <c r="C262" s="597"/>
      <c r="D262" s="598"/>
      <c r="E262" s="546"/>
      <c r="F262" s="598"/>
      <c r="G262" s="536"/>
    </row>
    <row r="263" spans="1:83" s="539" customFormat="1" ht="14" thickBot="1">
      <c r="A263" s="664"/>
      <c r="B263" s="665" t="s">
        <v>695</v>
      </c>
      <c r="C263" s="666"/>
      <c r="D263" s="676"/>
      <c r="E263" s="677">
        <f>SUM(E259:E262)</f>
        <v>11000</v>
      </c>
      <c r="F263" s="678"/>
      <c r="G263" s="664"/>
    </row>
    <row r="264" spans="1:83" s="568" customFormat="1" ht="5.25" customHeight="1" thickBot="1">
      <c r="A264" s="561"/>
      <c r="B264" s="562"/>
      <c r="C264" s="563"/>
      <c r="D264" s="564"/>
      <c r="E264" s="565"/>
      <c r="F264" s="566"/>
      <c r="G264" s="567"/>
    </row>
    <row r="265" spans="1:83" s="539" customFormat="1" ht="13">
      <c r="A265" s="534"/>
      <c r="B265" s="540" t="s">
        <v>696</v>
      </c>
      <c r="C265" s="541"/>
      <c r="D265" s="550"/>
      <c r="E265" s="550"/>
      <c r="F265" s="550"/>
      <c r="G265" s="534"/>
    </row>
    <row r="266" spans="1:83" s="539" customFormat="1" ht="13">
      <c r="A266" s="536">
        <f>A265+1</f>
        <v>1</v>
      </c>
      <c r="B266" s="536" t="s">
        <v>697</v>
      </c>
      <c r="C266" s="597">
        <v>1</v>
      </c>
      <c r="D266" s="598">
        <v>3000</v>
      </c>
      <c r="E266" s="546">
        <f>D266*C266</f>
        <v>3000</v>
      </c>
      <c r="F266" s="546"/>
      <c r="G266" s="536"/>
    </row>
    <row r="267" spans="1:83" s="539" customFormat="1" ht="13">
      <c r="A267" s="536">
        <f>A266+1</f>
        <v>2</v>
      </c>
      <c r="B267" s="536" t="s">
        <v>29</v>
      </c>
      <c r="C267" s="597">
        <v>1</v>
      </c>
      <c r="D267" s="598">
        <v>1000</v>
      </c>
      <c r="E267" s="598">
        <f>D267*C267</f>
        <v>1000</v>
      </c>
      <c r="F267" s="598"/>
      <c r="G267" s="536"/>
    </row>
    <row r="268" spans="1:83" s="539" customFormat="1" ht="13">
      <c r="A268" s="536">
        <v>3</v>
      </c>
      <c r="B268" s="536" t="s">
        <v>698</v>
      </c>
      <c r="C268" s="597">
        <v>1</v>
      </c>
      <c r="D268" s="598">
        <v>1000</v>
      </c>
      <c r="E268" s="598">
        <f>D268*C268</f>
        <v>1000</v>
      </c>
      <c r="F268" s="598"/>
      <c r="G268" s="536"/>
    </row>
    <row r="269" spans="1:83" s="539" customFormat="1" ht="14" thickBot="1">
      <c r="A269" s="664"/>
      <c r="B269" s="665" t="s">
        <v>699</v>
      </c>
      <c r="C269" s="666"/>
      <c r="D269" s="676"/>
      <c r="E269" s="677">
        <f>SUM(E266:E268)</f>
        <v>5000</v>
      </c>
      <c r="F269" s="678"/>
      <c r="G269" s="664"/>
    </row>
    <row r="270" spans="1:83" s="568" customFormat="1" ht="5.25" customHeight="1" thickBot="1">
      <c r="A270" s="561"/>
      <c r="B270" s="562"/>
      <c r="C270" s="563"/>
      <c r="D270" s="564"/>
      <c r="E270" s="565"/>
      <c r="F270" s="566"/>
      <c r="G270" s="567"/>
    </row>
    <row r="271" spans="1:83" s="630" customFormat="1" thickBot="1">
      <c r="A271" s="629"/>
      <c r="B271" s="625" t="s">
        <v>700</v>
      </c>
      <c r="C271" s="638"/>
      <c r="D271" s="627"/>
      <c r="E271" s="628">
        <f>E269+E263+E256+E252+E248</f>
        <v>29000</v>
      </c>
      <c r="F271" s="628"/>
      <c r="G271" s="629"/>
      <c r="H271" s="642"/>
      <c r="I271" s="642"/>
      <c r="J271" s="642"/>
      <c r="K271" s="642"/>
      <c r="L271" s="642"/>
      <c r="M271" s="642"/>
      <c r="N271" s="642"/>
      <c r="O271" s="642"/>
      <c r="P271" s="642"/>
      <c r="Q271" s="642"/>
      <c r="R271" s="642"/>
      <c r="S271" s="642"/>
      <c r="T271" s="642"/>
      <c r="U271" s="642"/>
      <c r="V271" s="642"/>
      <c r="W271" s="642"/>
      <c r="X271" s="642"/>
      <c r="Y271" s="642"/>
      <c r="Z271" s="642"/>
      <c r="AA271" s="642"/>
      <c r="AB271" s="642"/>
      <c r="AC271" s="642"/>
      <c r="AD271" s="642"/>
      <c r="AE271" s="642"/>
      <c r="AF271" s="642"/>
      <c r="AG271" s="642"/>
      <c r="AH271" s="642"/>
      <c r="AI271" s="642"/>
      <c r="AJ271" s="642"/>
      <c r="AK271" s="642"/>
      <c r="AL271" s="642"/>
      <c r="AM271" s="642"/>
      <c r="AN271" s="642"/>
      <c r="AO271" s="642"/>
      <c r="AP271" s="642"/>
      <c r="AQ271" s="642"/>
      <c r="AR271" s="642"/>
      <c r="AS271" s="642"/>
      <c r="AT271" s="642"/>
      <c r="AU271" s="642"/>
      <c r="AV271" s="642"/>
      <c r="AW271" s="642"/>
      <c r="AX271" s="642"/>
      <c r="AY271" s="642"/>
      <c r="AZ271" s="642"/>
      <c r="BA271" s="642"/>
      <c r="BB271" s="642"/>
      <c r="BC271" s="642"/>
      <c r="BD271" s="642"/>
      <c r="BE271" s="642"/>
      <c r="BF271" s="642"/>
      <c r="BG271" s="642"/>
      <c r="BH271" s="642"/>
      <c r="BI271" s="642"/>
      <c r="BJ271" s="642"/>
      <c r="BK271" s="642"/>
      <c r="BL271" s="642"/>
      <c r="BM271" s="642"/>
      <c r="BN271" s="642"/>
      <c r="BO271" s="642"/>
      <c r="BP271" s="642"/>
      <c r="BQ271" s="642"/>
      <c r="BR271" s="642"/>
      <c r="BS271" s="642"/>
      <c r="BT271" s="642"/>
      <c r="BU271" s="642"/>
      <c r="BV271" s="642"/>
      <c r="BW271" s="642"/>
      <c r="BX271" s="642"/>
      <c r="BY271" s="642"/>
      <c r="BZ271" s="642"/>
      <c r="CA271" s="642"/>
      <c r="CB271" s="642"/>
      <c r="CC271" s="642"/>
      <c r="CD271" s="642"/>
      <c r="CE271" s="642"/>
    </row>
    <row r="272" spans="1:83" s="528" customFormat="1" ht="14" customHeight="1" thickBot="1">
      <c r="A272" s="529" t="s">
        <v>701</v>
      </c>
      <c r="B272" s="526"/>
      <c r="C272" s="526"/>
      <c r="D272" s="526"/>
      <c r="E272" s="526"/>
      <c r="F272" s="526"/>
      <c r="G272" s="527"/>
    </row>
    <row r="273" spans="1:7" s="539" customFormat="1" ht="14" thickBot="1">
      <c r="A273" s="538" t="s">
        <v>604</v>
      </c>
      <c r="B273" s="538" t="s">
        <v>602</v>
      </c>
      <c r="C273" s="538" t="s">
        <v>409</v>
      </c>
      <c r="D273" s="538" t="s">
        <v>410</v>
      </c>
      <c r="E273" s="538" t="s">
        <v>605</v>
      </c>
      <c r="F273" s="538" t="s">
        <v>639</v>
      </c>
      <c r="G273" s="538" t="s">
        <v>603</v>
      </c>
    </row>
    <row r="274" spans="1:7" s="539" customFormat="1" ht="13" customHeight="1">
      <c r="A274" s="534"/>
      <c r="B274" s="540" t="s">
        <v>702</v>
      </c>
      <c r="C274" s="541"/>
      <c r="D274" s="542"/>
      <c r="E274" s="542"/>
      <c r="F274" s="542"/>
      <c r="G274" s="534"/>
    </row>
    <row r="275" spans="1:7" s="539" customFormat="1" ht="13" customHeight="1">
      <c r="A275" s="534">
        <v>1</v>
      </c>
      <c r="B275" s="534" t="s">
        <v>703</v>
      </c>
      <c r="C275" s="541"/>
      <c r="D275" s="547">
        <v>0</v>
      </c>
      <c r="E275" s="547">
        <f t="shared" ref="E275:E285" si="15">C275*D275</f>
        <v>0</v>
      </c>
      <c r="F275" s="542"/>
      <c r="G275" s="534"/>
    </row>
    <row r="276" spans="1:7" s="539" customFormat="1" ht="13">
      <c r="A276" s="438">
        <f>A275+1</f>
        <v>2</v>
      </c>
      <c r="B276" s="438" t="s">
        <v>704</v>
      </c>
      <c r="C276" s="545">
        <v>1</v>
      </c>
      <c r="D276" s="547">
        <v>18000</v>
      </c>
      <c r="E276" s="547">
        <f t="shared" si="15"/>
        <v>18000</v>
      </c>
      <c r="F276" s="547"/>
      <c r="G276" s="438"/>
    </row>
    <row r="277" spans="1:7" s="539" customFormat="1" ht="13">
      <c r="A277" s="438">
        <f t="shared" ref="A277:A285" si="16">A276+1</f>
        <v>3</v>
      </c>
      <c r="B277" s="438" t="s">
        <v>705</v>
      </c>
      <c r="C277" s="545">
        <v>1</v>
      </c>
      <c r="D277" s="547">
        <v>30000</v>
      </c>
      <c r="E277" s="547">
        <f t="shared" si="15"/>
        <v>30000</v>
      </c>
      <c r="F277" s="547"/>
      <c r="G277" s="438"/>
    </row>
    <row r="278" spans="1:7" s="539" customFormat="1" ht="13">
      <c r="A278" s="438">
        <f t="shared" si="16"/>
        <v>4</v>
      </c>
      <c r="B278" s="438" t="s">
        <v>843</v>
      </c>
      <c r="C278" s="541">
        <v>1</v>
      </c>
      <c r="D278" s="543">
        <v>35000</v>
      </c>
      <c r="E278" s="547">
        <f t="shared" si="15"/>
        <v>35000</v>
      </c>
      <c r="F278" s="547"/>
      <c r="G278" s="438"/>
    </row>
    <row r="279" spans="1:7" s="539" customFormat="1" ht="13">
      <c r="A279" s="438">
        <f t="shared" si="16"/>
        <v>5</v>
      </c>
      <c r="B279" s="438" t="s">
        <v>194</v>
      </c>
      <c r="C279" s="541">
        <v>1</v>
      </c>
      <c r="D279" s="543">
        <v>25000</v>
      </c>
      <c r="E279" s="547">
        <f t="shared" si="15"/>
        <v>25000</v>
      </c>
      <c r="F279" s="547"/>
      <c r="G279" s="438"/>
    </row>
    <row r="280" spans="1:7" s="539" customFormat="1" ht="13">
      <c r="A280" s="438">
        <f t="shared" si="16"/>
        <v>6</v>
      </c>
      <c r="B280" s="438" t="s">
        <v>706</v>
      </c>
      <c r="C280" s="545">
        <v>1</v>
      </c>
      <c r="D280" s="547">
        <v>5000</v>
      </c>
      <c r="E280" s="547">
        <f t="shared" si="15"/>
        <v>5000</v>
      </c>
      <c r="F280" s="547"/>
      <c r="G280" s="438"/>
    </row>
    <row r="281" spans="1:7" s="539" customFormat="1" ht="13">
      <c r="A281" s="438">
        <f t="shared" si="16"/>
        <v>7</v>
      </c>
      <c r="B281" s="438" t="s">
        <v>707</v>
      </c>
      <c r="C281" s="545">
        <v>1</v>
      </c>
      <c r="D281" s="547">
        <v>12000</v>
      </c>
      <c r="E281" s="547">
        <f t="shared" si="15"/>
        <v>12000</v>
      </c>
      <c r="F281" s="547"/>
      <c r="G281" s="438"/>
    </row>
    <row r="282" spans="1:7" s="539" customFormat="1" ht="13">
      <c r="A282" s="438">
        <f t="shared" si="16"/>
        <v>8</v>
      </c>
      <c r="B282" s="438" t="s">
        <v>846</v>
      </c>
      <c r="C282" s="545">
        <v>1</v>
      </c>
      <c r="D282" s="547">
        <v>30000</v>
      </c>
      <c r="E282" s="547">
        <f t="shared" ref="E282" si="17">C282*D282</f>
        <v>30000</v>
      </c>
      <c r="F282" s="547"/>
      <c r="G282" s="438"/>
    </row>
    <row r="283" spans="1:7" s="539" customFormat="1" ht="13">
      <c r="A283" s="438">
        <f t="shared" si="16"/>
        <v>9</v>
      </c>
      <c r="B283" s="438" t="s">
        <v>708</v>
      </c>
      <c r="C283" s="545">
        <v>1</v>
      </c>
      <c r="D283" s="547">
        <v>30000</v>
      </c>
      <c r="E283" s="547">
        <f t="shared" si="15"/>
        <v>30000</v>
      </c>
      <c r="F283" s="547"/>
      <c r="G283" s="438"/>
    </row>
    <row r="284" spans="1:7" s="539" customFormat="1" ht="13">
      <c r="A284" s="438">
        <f t="shared" si="16"/>
        <v>10</v>
      </c>
      <c r="B284" s="438" t="s">
        <v>709</v>
      </c>
      <c r="C284" s="545">
        <v>1</v>
      </c>
      <c r="D284" s="547">
        <v>1500</v>
      </c>
      <c r="E284" s="547">
        <f t="shared" si="15"/>
        <v>1500</v>
      </c>
      <c r="F284" s="547"/>
      <c r="G284" s="438"/>
    </row>
    <row r="285" spans="1:7" s="539" customFormat="1" ht="13">
      <c r="A285" s="438">
        <f t="shared" si="16"/>
        <v>11</v>
      </c>
      <c r="B285" s="438" t="s">
        <v>710</v>
      </c>
      <c r="C285" s="545">
        <v>1</v>
      </c>
      <c r="D285" s="547">
        <v>7000</v>
      </c>
      <c r="E285" s="547">
        <f t="shared" si="15"/>
        <v>7000</v>
      </c>
      <c r="F285" s="547"/>
      <c r="G285" s="438"/>
    </row>
    <row r="286" spans="1:7" s="539" customFormat="1" ht="14" thickBot="1">
      <c r="A286" s="612"/>
      <c r="B286" s="613" t="s">
        <v>841</v>
      </c>
      <c r="C286" s="614"/>
      <c r="D286" s="657"/>
      <c r="E286" s="658">
        <f>SUM(E275:E285)</f>
        <v>193500</v>
      </c>
      <c r="F286" s="658"/>
      <c r="G286" s="612"/>
    </row>
    <row r="287" spans="1:7" s="568" customFormat="1" ht="5.25" customHeight="1" thickBot="1">
      <c r="A287" s="561"/>
      <c r="B287" s="562"/>
      <c r="C287" s="563"/>
      <c r="D287" s="564"/>
      <c r="E287" s="565"/>
      <c r="F287" s="566"/>
      <c r="G287" s="567"/>
    </row>
    <row r="288" spans="1:7" s="539" customFormat="1" ht="13" customHeight="1">
      <c r="A288" s="438"/>
      <c r="B288" s="548" t="s">
        <v>711</v>
      </c>
      <c r="C288" s="545"/>
      <c r="D288" s="547"/>
      <c r="E288" s="547"/>
      <c r="F288" s="547"/>
      <c r="G288" s="438"/>
    </row>
    <row r="289" spans="1:7" s="539" customFormat="1" ht="13">
      <c r="A289" s="438">
        <v>1</v>
      </c>
      <c r="B289" s="438" t="s">
        <v>712</v>
      </c>
      <c r="C289" s="545">
        <v>1</v>
      </c>
      <c r="D289" s="547">
        <v>500000</v>
      </c>
      <c r="E289" s="547">
        <f>C289*D289</f>
        <v>500000</v>
      </c>
      <c r="F289" s="547" t="s">
        <v>848</v>
      </c>
      <c r="G289" s="438"/>
    </row>
    <row r="290" spans="1:7" s="539" customFormat="1" ht="14" thickBot="1">
      <c r="A290" s="659"/>
      <c r="B290" s="660" t="s">
        <v>829</v>
      </c>
      <c r="C290" s="661"/>
      <c r="D290" s="662"/>
      <c r="E290" s="663">
        <f>E289</f>
        <v>500000</v>
      </c>
      <c r="F290" s="663"/>
      <c r="G290" s="659"/>
    </row>
    <row r="291" spans="1:7" s="568" customFormat="1" ht="5.25" customHeight="1" thickBot="1">
      <c r="A291" s="561"/>
      <c r="B291" s="562"/>
      <c r="C291" s="563"/>
      <c r="D291" s="564"/>
      <c r="E291" s="565"/>
      <c r="F291" s="566"/>
      <c r="G291" s="567"/>
    </row>
    <row r="292" spans="1:7" s="539" customFormat="1" ht="13">
      <c r="A292" s="576"/>
      <c r="B292" s="577" t="s">
        <v>713</v>
      </c>
      <c r="C292" s="599"/>
      <c r="D292" s="600"/>
      <c r="E292" s="600"/>
      <c r="F292" s="600"/>
      <c r="G292" s="576"/>
    </row>
    <row r="293" spans="1:7" s="539" customFormat="1" ht="13">
      <c r="A293" s="438">
        <v>1</v>
      </c>
      <c r="B293" s="438" t="s">
        <v>887</v>
      </c>
      <c r="C293" s="597">
        <v>1</v>
      </c>
      <c r="D293" s="601">
        <v>75000</v>
      </c>
      <c r="E293" s="547">
        <f>D293*C293</f>
        <v>75000</v>
      </c>
      <c r="F293" s="547"/>
      <c r="G293" s="438"/>
    </row>
    <row r="294" spans="1:7" s="605" customFormat="1" ht="13">
      <c r="A294" s="537">
        <f>A293+1</f>
        <v>2</v>
      </c>
      <c r="B294" s="438" t="s">
        <v>714</v>
      </c>
      <c r="C294" s="602">
        <v>1</v>
      </c>
      <c r="D294" s="603">
        <v>200000</v>
      </c>
      <c r="E294" s="604">
        <f>D294*C294</f>
        <v>200000</v>
      </c>
      <c r="F294" s="604"/>
      <c r="G294" s="537"/>
    </row>
    <row r="295" spans="1:7" s="539" customFormat="1" ht="13">
      <c r="A295" s="537">
        <f t="shared" ref="A295:A296" si="18">A294+1</f>
        <v>3</v>
      </c>
      <c r="B295" s="438" t="s">
        <v>890</v>
      </c>
      <c r="C295" s="597">
        <v>1</v>
      </c>
      <c r="D295" s="601">
        <v>10000</v>
      </c>
      <c r="E295" s="547">
        <f>D295*C295</f>
        <v>10000</v>
      </c>
      <c r="F295" s="547"/>
      <c r="G295" s="544"/>
    </row>
    <row r="296" spans="1:7" s="539" customFormat="1" ht="13">
      <c r="A296" s="537">
        <f t="shared" si="18"/>
        <v>4</v>
      </c>
      <c r="B296" s="489" t="s">
        <v>888</v>
      </c>
      <c r="C296" s="593"/>
      <c r="D296" s="606"/>
      <c r="E296" s="547"/>
      <c r="F296" s="697" t="s">
        <v>891</v>
      </c>
      <c r="G296" s="607"/>
    </row>
    <row r="297" spans="1:7" s="539" customFormat="1" ht="13">
      <c r="A297" s="537">
        <f>A296+1</f>
        <v>5</v>
      </c>
      <c r="B297" s="489" t="s">
        <v>889</v>
      </c>
      <c r="C297" s="593"/>
      <c r="D297" s="606"/>
      <c r="E297" s="696"/>
      <c r="F297" s="697"/>
      <c r="G297" s="607"/>
    </row>
    <row r="298" spans="1:7" s="539" customFormat="1" ht="14" thickBot="1">
      <c r="A298" s="664"/>
      <c r="B298" s="665" t="s">
        <v>715</v>
      </c>
      <c r="C298" s="666"/>
      <c r="D298" s="667"/>
      <c r="E298" s="668">
        <f>SUM(E293:E295)</f>
        <v>285000</v>
      </c>
      <c r="F298" s="669"/>
      <c r="G298" s="664"/>
    </row>
    <row r="299" spans="1:7" s="568" customFormat="1" ht="5.25" customHeight="1" thickBot="1">
      <c r="A299" s="561"/>
      <c r="B299" s="562"/>
      <c r="C299" s="563"/>
      <c r="D299" s="564"/>
      <c r="E299" s="565"/>
      <c r="F299" s="566"/>
      <c r="G299" s="567"/>
    </row>
    <row r="300" spans="1:7" s="539" customFormat="1" ht="13">
      <c r="A300" s="576"/>
      <c r="B300" s="577" t="s">
        <v>716</v>
      </c>
      <c r="C300" s="599"/>
      <c r="D300" s="600"/>
      <c r="E300" s="600"/>
      <c r="F300" s="600"/>
      <c r="G300" s="576"/>
    </row>
    <row r="301" spans="1:7" s="539" customFormat="1" ht="13">
      <c r="A301" s="438">
        <v>1</v>
      </c>
      <c r="B301" s="438" t="s">
        <v>717</v>
      </c>
      <c r="C301" s="597">
        <v>1</v>
      </c>
      <c r="D301" s="601">
        <v>1400000</v>
      </c>
      <c r="E301" s="547">
        <f>D301*C301</f>
        <v>1400000</v>
      </c>
      <c r="F301" s="547" t="s">
        <v>847</v>
      </c>
      <c r="G301" s="438"/>
    </row>
    <row r="302" spans="1:7" s="539" customFormat="1" ht="14" thickBot="1">
      <c r="A302" s="664"/>
      <c r="B302" s="665" t="s">
        <v>718</v>
      </c>
      <c r="C302" s="666"/>
      <c r="D302" s="667"/>
      <c r="E302" s="670">
        <f>E301</f>
        <v>1400000</v>
      </c>
      <c r="F302" s="670"/>
      <c r="G302" s="664"/>
    </row>
    <row r="303" spans="1:7" s="568" customFormat="1" ht="5.25" customHeight="1" thickBot="1">
      <c r="A303" s="561"/>
      <c r="B303" s="562"/>
      <c r="C303" s="563"/>
      <c r="D303" s="564"/>
      <c r="E303" s="565"/>
      <c r="F303" s="566"/>
      <c r="G303" s="567"/>
    </row>
    <row r="304" spans="1:7" s="539" customFormat="1" ht="13">
      <c r="A304" s="589"/>
      <c r="B304" s="488" t="s">
        <v>719</v>
      </c>
      <c r="C304" s="590"/>
      <c r="D304" s="592"/>
      <c r="E304" s="592"/>
      <c r="F304" s="592"/>
      <c r="G304" s="589"/>
    </row>
    <row r="305" spans="1:83" s="539" customFormat="1" ht="13">
      <c r="A305" s="438">
        <v>1</v>
      </c>
      <c r="B305" s="438" t="s">
        <v>720</v>
      </c>
      <c r="C305" s="545">
        <v>1</v>
      </c>
      <c r="D305" s="547">
        <v>520000</v>
      </c>
      <c r="E305" s="547">
        <f>C305*D305</f>
        <v>520000</v>
      </c>
      <c r="F305" s="547"/>
      <c r="G305" s="544"/>
    </row>
    <row r="306" spans="1:83" s="539" customFormat="1" ht="13">
      <c r="A306" s="438">
        <v>2</v>
      </c>
      <c r="B306" s="438" t="s">
        <v>721</v>
      </c>
      <c r="C306" s="545"/>
      <c r="D306" s="547">
        <v>0</v>
      </c>
      <c r="E306" s="547">
        <f>C306*D306</f>
        <v>0</v>
      </c>
      <c r="F306" s="547"/>
      <c r="G306" s="438"/>
    </row>
    <row r="307" spans="1:83" s="539" customFormat="1" ht="14" thickBot="1">
      <c r="A307" s="671"/>
      <c r="B307" s="672" t="s">
        <v>892</v>
      </c>
      <c r="C307" s="673"/>
      <c r="D307" s="674"/>
      <c r="E307" s="668">
        <f>SUM(E305:E306)</f>
        <v>520000</v>
      </c>
      <c r="F307" s="675"/>
      <c r="G307" s="671"/>
    </row>
    <row r="308" spans="1:83" s="568" customFormat="1" ht="5.25" customHeight="1" thickBot="1">
      <c r="A308" s="561"/>
      <c r="B308" s="562"/>
      <c r="C308" s="563"/>
      <c r="D308" s="564"/>
      <c r="E308" s="565"/>
      <c r="F308" s="566"/>
      <c r="G308" s="567"/>
    </row>
    <row r="309" spans="1:83" s="630" customFormat="1" thickBot="1">
      <c r="A309" s="629"/>
      <c r="B309" s="625" t="s">
        <v>722</v>
      </c>
      <c r="C309" s="626"/>
      <c r="D309" s="636"/>
      <c r="E309" s="637">
        <f>E307+E302+E298+E290+E286</f>
        <v>2898500</v>
      </c>
      <c r="F309" s="639"/>
      <c r="G309" s="629" t="s">
        <v>723</v>
      </c>
      <c r="H309" s="642"/>
      <c r="I309" s="642"/>
      <c r="J309" s="642"/>
      <c r="K309" s="642"/>
      <c r="L309" s="642"/>
      <c r="M309" s="642"/>
      <c r="N309" s="642"/>
      <c r="O309" s="642"/>
      <c r="P309" s="642"/>
      <c r="Q309" s="642"/>
      <c r="R309" s="642"/>
      <c r="S309" s="642"/>
      <c r="T309" s="642"/>
      <c r="U309" s="642"/>
      <c r="V309" s="642"/>
      <c r="W309" s="642"/>
      <c r="X309" s="642"/>
      <c r="Y309" s="642"/>
      <c r="Z309" s="642"/>
      <c r="AA309" s="642"/>
      <c r="AB309" s="642"/>
      <c r="AC309" s="642"/>
      <c r="AD309" s="642"/>
      <c r="AE309" s="642"/>
      <c r="AF309" s="642"/>
      <c r="AG309" s="642"/>
      <c r="AH309" s="642"/>
      <c r="AI309" s="642"/>
      <c r="AJ309" s="642"/>
      <c r="AK309" s="642"/>
      <c r="AL309" s="642"/>
      <c r="AM309" s="642"/>
      <c r="AN309" s="642"/>
      <c r="AO309" s="642"/>
      <c r="AP309" s="642"/>
      <c r="AQ309" s="642"/>
      <c r="AR309" s="642"/>
      <c r="AS309" s="642"/>
      <c r="AT309" s="642"/>
      <c r="AU309" s="642"/>
      <c r="AV309" s="642"/>
      <c r="AW309" s="642"/>
      <c r="AX309" s="642"/>
      <c r="AY309" s="642"/>
      <c r="AZ309" s="642"/>
      <c r="BA309" s="642"/>
      <c r="BB309" s="642"/>
      <c r="BC309" s="642"/>
      <c r="BD309" s="642"/>
      <c r="BE309" s="642"/>
      <c r="BF309" s="642"/>
      <c r="BG309" s="642"/>
      <c r="BH309" s="642"/>
      <c r="BI309" s="642"/>
      <c r="BJ309" s="642"/>
      <c r="BK309" s="642"/>
      <c r="BL309" s="642"/>
      <c r="BM309" s="642"/>
      <c r="BN309" s="642"/>
      <c r="BO309" s="642"/>
      <c r="BP309" s="642"/>
      <c r="BQ309" s="642"/>
      <c r="BR309" s="642"/>
      <c r="BS309" s="642"/>
      <c r="BT309" s="642"/>
      <c r="BU309" s="642"/>
      <c r="BV309" s="642"/>
      <c r="BW309" s="642"/>
      <c r="BX309" s="642"/>
      <c r="BY309" s="642"/>
      <c r="BZ309" s="642"/>
      <c r="CA309" s="642"/>
      <c r="CB309" s="642"/>
      <c r="CC309" s="642"/>
      <c r="CD309" s="642"/>
      <c r="CE309" s="642"/>
    </row>
    <row r="310" spans="1:83" s="528" customFormat="1" ht="14" customHeight="1" thickBot="1">
      <c r="A310" s="529" t="s">
        <v>724</v>
      </c>
      <c r="B310" s="526"/>
      <c r="C310" s="526"/>
      <c r="D310" s="526"/>
      <c r="E310" s="526"/>
      <c r="F310" s="526"/>
      <c r="G310" s="527"/>
    </row>
    <row r="311" spans="1:83" s="377" customFormat="1" ht="12" thickBot="1">
      <c r="A311" s="380" t="s">
        <v>604</v>
      </c>
      <c r="B311" s="380" t="s">
        <v>602</v>
      </c>
      <c r="C311" s="380" t="s">
        <v>409</v>
      </c>
      <c r="D311" s="380" t="s">
        <v>410</v>
      </c>
      <c r="E311" s="380" t="s">
        <v>605</v>
      </c>
      <c r="F311" s="380" t="s">
        <v>639</v>
      </c>
      <c r="G311" s="380" t="s">
        <v>603</v>
      </c>
    </row>
    <row r="312" spans="1:83" s="539" customFormat="1" ht="13">
      <c r="A312" s="589"/>
      <c r="B312" s="589"/>
      <c r="C312" s="608"/>
      <c r="D312" s="592"/>
      <c r="E312" s="609"/>
      <c r="F312" s="609"/>
      <c r="G312" s="589"/>
    </row>
    <row r="313" spans="1:83" s="539" customFormat="1" ht="13">
      <c r="A313" s="438">
        <v>1</v>
      </c>
      <c r="B313" s="438" t="s">
        <v>828</v>
      </c>
      <c r="C313" s="610">
        <v>1</v>
      </c>
      <c r="D313" s="547">
        <v>1750000</v>
      </c>
      <c r="E313" s="547">
        <f>D313*C313</f>
        <v>1750000</v>
      </c>
      <c r="F313" s="547"/>
      <c r="G313" s="438"/>
    </row>
    <row r="314" spans="1:83" s="539" customFormat="1" ht="14" thickBot="1">
      <c r="A314" s="589"/>
      <c r="B314" s="589"/>
      <c r="C314" s="608"/>
      <c r="D314" s="592"/>
      <c r="E314" s="611">
        <f>E313</f>
        <v>1750000</v>
      </c>
      <c r="F314" s="609"/>
      <c r="G314" s="589"/>
    </row>
    <row r="315" spans="1:83" s="568" customFormat="1" ht="5.25" customHeight="1" thickBot="1">
      <c r="A315" s="561"/>
      <c r="B315" s="562"/>
      <c r="C315" s="563"/>
      <c r="D315" s="564"/>
      <c r="E315" s="565"/>
      <c r="F315" s="566"/>
      <c r="G315" s="567"/>
    </row>
    <row r="316" spans="1:83" s="630" customFormat="1" thickBot="1">
      <c r="A316" s="629"/>
      <c r="B316" s="625" t="s">
        <v>840</v>
      </c>
      <c r="C316" s="626"/>
      <c r="D316" s="640"/>
      <c r="E316" s="637">
        <f>E314</f>
        <v>1750000</v>
      </c>
      <c r="F316" s="637"/>
      <c r="G316" s="629"/>
      <c r="H316" s="642"/>
      <c r="I316" s="642"/>
      <c r="J316" s="642"/>
      <c r="K316" s="642"/>
      <c r="L316" s="642"/>
      <c r="M316" s="642"/>
      <c r="N316" s="642"/>
      <c r="O316" s="642"/>
      <c r="P316" s="642"/>
      <c r="Q316" s="642"/>
      <c r="R316" s="642"/>
      <c r="S316" s="642"/>
      <c r="T316" s="642"/>
      <c r="U316" s="642"/>
      <c r="V316" s="642"/>
      <c r="W316" s="642"/>
      <c r="X316" s="642"/>
      <c r="Y316" s="642"/>
      <c r="Z316" s="642"/>
      <c r="AA316" s="642"/>
      <c r="AB316" s="642"/>
      <c r="AC316" s="642"/>
      <c r="AD316" s="642"/>
      <c r="AE316" s="642"/>
      <c r="AF316" s="642"/>
      <c r="AG316" s="642"/>
      <c r="AH316" s="642"/>
      <c r="AI316" s="642"/>
      <c r="AJ316" s="642"/>
      <c r="AK316" s="642"/>
      <c r="AL316" s="642"/>
      <c r="AM316" s="642"/>
      <c r="AN316" s="642"/>
      <c r="AO316" s="642"/>
      <c r="AP316" s="642"/>
      <c r="AQ316" s="642"/>
      <c r="AR316" s="642"/>
      <c r="AS316" s="642"/>
      <c r="AT316" s="642"/>
      <c r="AU316" s="642"/>
      <c r="AV316" s="642"/>
      <c r="AW316" s="642"/>
      <c r="AX316" s="642"/>
      <c r="AY316" s="642"/>
      <c r="AZ316" s="642"/>
      <c r="BA316" s="642"/>
      <c r="BB316" s="642"/>
      <c r="BC316" s="642"/>
      <c r="BD316" s="642"/>
      <c r="BE316" s="642"/>
      <c r="BF316" s="642"/>
      <c r="BG316" s="642"/>
      <c r="BH316" s="642"/>
      <c r="BI316" s="642"/>
      <c r="BJ316" s="642"/>
      <c r="BK316" s="642"/>
      <c r="BL316" s="642"/>
      <c r="BM316" s="642"/>
      <c r="BN316" s="642"/>
      <c r="BO316" s="642"/>
      <c r="BP316" s="642"/>
      <c r="BQ316" s="642"/>
      <c r="BR316" s="642"/>
      <c r="BS316" s="642"/>
      <c r="BT316" s="642"/>
      <c r="BU316" s="642"/>
      <c r="BV316" s="642"/>
      <c r="BW316" s="642"/>
      <c r="BX316" s="642"/>
      <c r="BY316" s="642"/>
      <c r="BZ316" s="642"/>
      <c r="CA316" s="642"/>
      <c r="CB316" s="642"/>
      <c r="CC316" s="642"/>
      <c r="CD316" s="642"/>
      <c r="CE316" s="642"/>
    </row>
    <row r="317" spans="1:83" s="377" customFormat="1" ht="11">
      <c r="A317" s="378"/>
      <c r="D317" s="379"/>
      <c r="E317" s="378"/>
    </row>
    <row r="318" spans="1:83" s="377" customFormat="1" ht="11">
      <c r="A318" s="378"/>
      <c r="D318" s="379"/>
      <c r="E318" s="378"/>
    </row>
    <row r="319" spans="1:83" s="377" customFormat="1" ht="11">
      <c r="A319" s="378"/>
      <c r="D319" s="379"/>
      <c r="E319" s="378"/>
    </row>
    <row r="320" spans="1:83" s="377" customFormat="1" ht="11">
      <c r="A320" s="378"/>
      <c r="D320" s="379"/>
      <c r="E320" s="378"/>
    </row>
  </sheetData>
  <mergeCells count="2">
    <mergeCell ref="A7:E7"/>
    <mergeCell ref="A1:F1"/>
  </mergeCells>
  <phoneticPr fontId="25" type="noConversion"/>
  <pageMargins left="0.2361111111111111" right="0.7" top="0.75" bottom="0.75" header="0.3" footer="0.3"/>
  <pageSetup orientation="landscape" horizontalDpi="0" verticalDpi="0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B7B7-163C-4121-89DF-FE3E4DE6080F}">
  <sheetPr>
    <tabColor rgb="FFFF0000"/>
  </sheetPr>
  <dimension ref="A1:F58"/>
  <sheetViews>
    <sheetView zoomScale="125" zoomScaleNormal="145" workbookViewId="0">
      <selection activeCell="F24" sqref="F24"/>
    </sheetView>
  </sheetViews>
  <sheetFormatPr baseColWidth="10" defaultColWidth="9.1640625" defaultRowHeight="15"/>
  <cols>
    <col min="1" max="1" width="10.5" style="1" customWidth="1"/>
    <col min="2" max="2" width="59" style="1" customWidth="1"/>
    <col min="3" max="4" width="16.5" style="1" customWidth="1"/>
    <col min="5" max="5" width="30.33203125" style="1" customWidth="1"/>
    <col min="6" max="6" width="20.5" style="1" customWidth="1"/>
    <col min="7" max="7" width="42.33203125" style="1" customWidth="1"/>
    <col min="8" max="16384" width="9.1640625" style="1"/>
  </cols>
  <sheetData>
    <row r="1" spans="1:5" ht="16">
      <c r="A1" s="758" t="s">
        <v>282</v>
      </c>
      <c r="B1" s="746"/>
      <c r="C1" s="746"/>
      <c r="D1" s="746"/>
      <c r="E1" s="746"/>
    </row>
    <row r="2" spans="1:5" ht="16">
      <c r="A2" s="273" t="s">
        <v>405</v>
      </c>
      <c r="B2" s="402" t="str">
        <f>'Soft Cost &amp; FF&amp;E Budget Detail'!B2</f>
        <v xml:space="preserve">Warehouse Conversion / Add Second Level &amp; Roof Decks							</v>
      </c>
      <c r="C2" s="234"/>
      <c r="D2" s="234"/>
      <c r="E2" s="234"/>
    </row>
    <row r="3" spans="1:5" ht="16">
      <c r="A3" s="273" t="s">
        <v>401</v>
      </c>
      <c r="B3" s="402">
        <v>7440</v>
      </c>
      <c r="C3" s="234"/>
      <c r="D3" s="234"/>
      <c r="E3" s="234"/>
    </row>
    <row r="4" spans="1:5" ht="16">
      <c r="A4" s="273" t="s">
        <v>402</v>
      </c>
      <c r="B4" s="402">
        <f>'Soft Cost &amp; FF&amp;E Budget Detail'!B4</f>
        <v>135953</v>
      </c>
      <c r="C4" s="234"/>
      <c r="D4" s="234"/>
      <c r="E4" s="234"/>
    </row>
    <row r="5" spans="1:5" ht="16">
      <c r="A5" s="273" t="s">
        <v>403</v>
      </c>
      <c r="B5" s="403">
        <v>46281</v>
      </c>
      <c r="C5" s="234"/>
      <c r="D5" s="234"/>
      <c r="E5" s="234"/>
    </row>
    <row r="6" spans="1:5" ht="16">
      <c r="A6" s="273" t="s">
        <v>404</v>
      </c>
      <c r="B6" s="402">
        <f>'Soft Cost &amp; FF&amp;E Budget Detail'!B6</f>
        <v>1</v>
      </c>
      <c r="C6" s="234"/>
      <c r="D6" s="234"/>
      <c r="E6" s="234"/>
    </row>
    <row r="7" spans="1:5" ht="17" thickBot="1">
      <c r="A7" s="747"/>
      <c r="B7" s="748"/>
      <c r="C7" s="748"/>
      <c r="D7" s="748"/>
      <c r="E7" s="748"/>
    </row>
    <row r="8" spans="1:5" ht="17" thickBot="1">
      <c r="A8" s="235"/>
      <c r="B8" s="234"/>
      <c r="C8" s="234"/>
      <c r="D8" s="234"/>
      <c r="E8" s="234"/>
    </row>
    <row r="9" spans="1:5" ht="16" thickBot="1">
      <c r="A9" s="373">
        <v>100</v>
      </c>
      <c r="B9" s="376" t="s">
        <v>638</v>
      </c>
      <c r="C9" s="374"/>
      <c r="D9" s="374"/>
      <c r="E9" s="375"/>
    </row>
    <row r="10" spans="1:5" ht="16" thickBot="1">
      <c r="A10" s="290" t="s">
        <v>308</v>
      </c>
      <c r="B10" s="291" t="s">
        <v>309</v>
      </c>
      <c r="C10" s="292" t="s">
        <v>605</v>
      </c>
      <c r="D10" s="293" t="s">
        <v>310</v>
      </c>
      <c r="E10" s="294" t="s">
        <v>603</v>
      </c>
    </row>
    <row r="11" spans="1:5">
      <c r="A11" s="717" t="s">
        <v>311</v>
      </c>
      <c r="B11" s="738" t="s">
        <v>312</v>
      </c>
      <c r="C11" s="739">
        <f>'Building &amp; Fit-out Breakdown'!F27</f>
        <v>3034000</v>
      </c>
      <c r="D11" s="720">
        <f t="shared" ref="D11:D52" si="0">C11/$B$4</f>
        <v>22.316535861658075</v>
      </c>
      <c r="E11" s="739"/>
    </row>
    <row r="12" spans="1:5">
      <c r="A12" s="717" t="s">
        <v>313</v>
      </c>
      <c r="B12" s="738" t="s">
        <v>314</v>
      </c>
      <c r="C12" s="719">
        <f>'Building &amp; Fit-out Breakdown'!F37</f>
        <v>6170000</v>
      </c>
      <c r="D12" s="720">
        <f t="shared" si="0"/>
        <v>45.383331004097002</v>
      </c>
      <c r="E12" s="719"/>
    </row>
    <row r="13" spans="1:5">
      <c r="A13" s="717" t="s">
        <v>315</v>
      </c>
      <c r="B13" s="718" t="s">
        <v>316</v>
      </c>
      <c r="C13" s="719">
        <f>'Building &amp; Fit-out Breakdown'!F63</f>
        <v>1287817</v>
      </c>
      <c r="D13" s="720">
        <f t="shared" si="0"/>
        <v>9.4725162372290423</v>
      </c>
      <c r="E13" s="719"/>
    </row>
    <row r="14" spans="1:5">
      <c r="A14" s="264" t="s">
        <v>317</v>
      </c>
      <c r="B14" s="789" t="s">
        <v>318</v>
      </c>
      <c r="C14" s="265">
        <f>'Building &amp; Fit-out Breakdown'!F93</f>
        <v>177450</v>
      </c>
      <c r="D14" s="682">
        <f t="shared" si="0"/>
        <v>1.3052304840643458</v>
      </c>
      <c r="E14" s="265"/>
    </row>
    <row r="15" spans="1:5">
      <c r="A15" s="264" t="s">
        <v>319</v>
      </c>
      <c r="B15" s="789" t="s">
        <v>320</v>
      </c>
      <c r="C15" s="265">
        <f>'Building &amp; Fit-out Breakdown'!F119</f>
        <v>530010</v>
      </c>
      <c r="D15" s="682">
        <f t="shared" si="0"/>
        <v>3.898479621633947</v>
      </c>
      <c r="E15" s="265"/>
    </row>
    <row r="16" spans="1:5">
      <c r="A16" s="717" t="s">
        <v>321</v>
      </c>
      <c r="B16" s="718" t="s">
        <v>322</v>
      </c>
      <c r="C16" s="719">
        <f>'Building &amp; Fit-out Breakdown'!F127</f>
        <v>764340</v>
      </c>
      <c r="D16" s="720">
        <f t="shared" si="0"/>
        <v>5.6220899869807948</v>
      </c>
      <c r="E16" s="719"/>
    </row>
    <row r="17" spans="1:5">
      <c r="A17" s="264" t="s">
        <v>323</v>
      </c>
      <c r="B17" s="790" t="s">
        <v>399</v>
      </c>
      <c r="C17" s="265">
        <f>'Building &amp; Fit-out Breakdown'!F151</f>
        <v>0</v>
      </c>
      <c r="D17" s="682">
        <f t="shared" si="0"/>
        <v>0</v>
      </c>
      <c r="E17" s="265"/>
    </row>
    <row r="18" spans="1:5">
      <c r="A18" s="264" t="s">
        <v>324</v>
      </c>
      <c r="B18" s="790" t="s">
        <v>325</v>
      </c>
      <c r="C18" s="265">
        <f>'Building &amp; Fit-out Breakdown'!F160</f>
        <v>0</v>
      </c>
      <c r="D18" s="682">
        <f t="shared" si="0"/>
        <v>0</v>
      </c>
      <c r="E18" s="265"/>
    </row>
    <row r="19" spans="1:5">
      <c r="A19" s="264" t="s">
        <v>326</v>
      </c>
      <c r="B19" s="789" t="s">
        <v>327</v>
      </c>
      <c r="C19" s="265">
        <f>'Building &amp; Fit-out Breakdown'!F182</f>
        <v>0</v>
      </c>
      <c r="D19" s="682">
        <f t="shared" si="0"/>
        <v>0</v>
      </c>
      <c r="E19" s="265"/>
    </row>
    <row r="20" spans="1:5">
      <c r="A20" s="717" t="s">
        <v>328</v>
      </c>
      <c r="B20" s="718" t="s">
        <v>329</v>
      </c>
      <c r="C20" s="719">
        <f>'Building &amp; Fit-out Breakdown'!F196</f>
        <v>2557428</v>
      </c>
      <c r="D20" s="720">
        <f t="shared" si="0"/>
        <v>18.811118548321847</v>
      </c>
      <c r="E20" s="719"/>
    </row>
    <row r="21" spans="1:5">
      <c r="A21" s="264" t="s">
        <v>330</v>
      </c>
      <c r="B21" s="789" t="s">
        <v>331</v>
      </c>
      <c r="C21" s="265">
        <f>'Building &amp; Fit-out Breakdown'!F204</f>
        <v>0</v>
      </c>
      <c r="D21" s="682">
        <f t="shared" si="0"/>
        <v>0</v>
      </c>
      <c r="E21" s="265"/>
    </row>
    <row r="22" spans="1:5">
      <c r="A22" s="264" t="s">
        <v>332</v>
      </c>
      <c r="B22" s="789" t="s">
        <v>333</v>
      </c>
      <c r="C22" s="265">
        <f>'Building &amp; Fit-out Breakdown'!F213</f>
        <v>0</v>
      </c>
      <c r="D22" s="682">
        <f t="shared" si="0"/>
        <v>0</v>
      </c>
      <c r="E22" s="265"/>
    </row>
    <row r="23" spans="1:5">
      <c r="A23" s="717" t="s">
        <v>334</v>
      </c>
      <c r="B23" s="718" t="s">
        <v>335</v>
      </c>
      <c r="C23" s="719">
        <f>'Building &amp; Fit-out Breakdown'!F219</f>
        <v>76000</v>
      </c>
      <c r="D23" s="720">
        <f t="shared" si="0"/>
        <v>0.55901671901318839</v>
      </c>
      <c r="E23" s="719"/>
    </row>
    <row r="24" spans="1:5">
      <c r="A24" s="264" t="s">
        <v>336</v>
      </c>
      <c r="B24" s="789" t="s">
        <v>337</v>
      </c>
      <c r="C24" s="265">
        <f>'Building &amp; Fit-out Breakdown'!F229</f>
        <v>0</v>
      </c>
      <c r="D24" s="682">
        <f t="shared" si="0"/>
        <v>0</v>
      </c>
      <c r="E24" s="265"/>
    </row>
    <row r="25" spans="1:5">
      <c r="A25" s="264" t="s">
        <v>338</v>
      </c>
      <c r="B25" s="789" t="s">
        <v>339</v>
      </c>
      <c r="C25" s="265">
        <f>'Building &amp; Fit-out Breakdown'!F237</f>
        <v>0</v>
      </c>
      <c r="D25" s="682">
        <f t="shared" si="0"/>
        <v>0</v>
      </c>
      <c r="E25" s="265"/>
    </row>
    <row r="26" spans="1:5">
      <c r="A26" s="264" t="s">
        <v>340</v>
      </c>
      <c r="B26" s="789" t="s">
        <v>341</v>
      </c>
      <c r="C26" s="265">
        <f>'Building &amp; Fit-out Breakdown'!F270</f>
        <v>119664</v>
      </c>
      <c r="D26" s="682">
        <f t="shared" si="0"/>
        <v>0.88018653505255495</v>
      </c>
      <c r="E26" s="265"/>
    </row>
    <row r="27" spans="1:5">
      <c r="A27" s="264" t="s">
        <v>342</v>
      </c>
      <c r="B27" s="789" t="s">
        <v>343</v>
      </c>
      <c r="C27" s="265">
        <f>'Building &amp; Fit-out Breakdown'!F279</f>
        <v>0</v>
      </c>
      <c r="D27" s="682">
        <f t="shared" si="0"/>
        <v>0</v>
      </c>
      <c r="E27" s="265"/>
    </row>
    <row r="28" spans="1:5">
      <c r="A28" s="264" t="s">
        <v>344</v>
      </c>
      <c r="B28" s="789" t="s">
        <v>345</v>
      </c>
      <c r="C28" s="265">
        <f>'Building &amp; Fit-out Breakdown'!F294</f>
        <v>765048</v>
      </c>
      <c r="D28" s="682">
        <f t="shared" si="0"/>
        <v>5.6272976690473913</v>
      </c>
      <c r="E28" s="265"/>
    </row>
    <row r="29" spans="1:5">
      <c r="A29" s="264" t="s">
        <v>346</v>
      </c>
      <c r="B29" s="789" t="s">
        <v>347</v>
      </c>
      <c r="C29" s="267">
        <f>'Building &amp; Fit-out Breakdown'!F302</f>
        <v>515298</v>
      </c>
      <c r="D29" s="682">
        <f t="shared" si="0"/>
        <v>3.7902657536060258</v>
      </c>
      <c r="E29" s="267"/>
    </row>
    <row r="30" spans="1:5">
      <c r="A30" s="717" t="s">
        <v>348</v>
      </c>
      <c r="B30" s="718" t="s">
        <v>349</v>
      </c>
      <c r="C30" s="794">
        <f>'Building &amp; Fit-out Breakdown'!F308</f>
        <v>373050</v>
      </c>
      <c r="D30" s="720">
        <f t="shared" si="0"/>
        <v>2.7439629872088149</v>
      </c>
      <c r="E30" s="794"/>
    </row>
    <row r="31" spans="1:5">
      <c r="A31" s="717" t="s">
        <v>350</v>
      </c>
      <c r="B31" s="718" t="s">
        <v>351</v>
      </c>
      <c r="C31" s="719">
        <f>'Building &amp; Fit-out Breakdown'!F316</f>
        <v>1091765</v>
      </c>
      <c r="D31" s="720">
        <f t="shared" si="0"/>
        <v>8.0304590557030746</v>
      </c>
      <c r="E31" s="719"/>
    </row>
    <row r="32" spans="1:5">
      <c r="A32" s="717" t="s">
        <v>352</v>
      </c>
      <c r="B32" s="718" t="s">
        <v>353</v>
      </c>
      <c r="C32" s="719">
        <f>'Building &amp; Fit-out Breakdown'!F328</f>
        <v>1548500</v>
      </c>
      <c r="D32" s="720">
        <f t="shared" si="0"/>
        <v>11.389965649893714</v>
      </c>
      <c r="E32" s="719"/>
    </row>
    <row r="33" spans="1:6">
      <c r="A33" s="717" t="s">
        <v>354</v>
      </c>
      <c r="B33" s="718" t="s">
        <v>355</v>
      </c>
      <c r="C33" s="719">
        <f>'Building &amp; Fit-out Breakdown'!F334</f>
        <v>581802</v>
      </c>
      <c r="D33" s="720">
        <f t="shared" si="0"/>
        <v>4.2794348046751454</v>
      </c>
      <c r="E33" s="719"/>
    </row>
    <row r="34" spans="1:6">
      <c r="A34" s="721" t="s">
        <v>400</v>
      </c>
      <c r="B34" s="718" t="s">
        <v>356</v>
      </c>
      <c r="C34" s="719">
        <f>'Building &amp; Fit-out Breakdown'!F341</f>
        <v>50000</v>
      </c>
      <c r="D34" s="720">
        <f t="shared" si="0"/>
        <v>0.36777415724551865</v>
      </c>
      <c r="E34" s="719"/>
    </row>
    <row r="35" spans="1:6">
      <c r="A35" s="736" t="s">
        <v>357</v>
      </c>
      <c r="B35" s="718" t="s">
        <v>973</v>
      </c>
      <c r="C35" s="737">
        <f>'Building &amp; Fit-out Breakdown'!F346</f>
        <v>50000</v>
      </c>
      <c r="D35" s="720">
        <f t="shared" si="0"/>
        <v>0.36777415724551865</v>
      </c>
      <c r="E35" s="737"/>
    </row>
    <row r="36" spans="1:6">
      <c r="A36" s="721" t="s">
        <v>359</v>
      </c>
      <c r="B36" s="718" t="s">
        <v>360</v>
      </c>
      <c r="C36" s="719">
        <f>'Building &amp; Fit-out Breakdown'!F354</f>
        <v>50000</v>
      </c>
      <c r="D36" s="720">
        <f t="shared" si="0"/>
        <v>0.36777415724551865</v>
      </c>
      <c r="E36" s="719"/>
    </row>
    <row r="37" spans="1:6">
      <c r="A37" s="721" t="s">
        <v>361</v>
      </c>
      <c r="B37" s="718" t="s">
        <v>362</v>
      </c>
      <c r="C37" s="719">
        <f>'Building &amp; Fit-out Breakdown'!F361</f>
        <v>480000</v>
      </c>
      <c r="D37" s="720">
        <f t="shared" si="0"/>
        <v>3.5306319095569791</v>
      </c>
      <c r="E37" s="719"/>
    </row>
    <row r="38" spans="1:6">
      <c r="A38" s="717" t="s">
        <v>363</v>
      </c>
      <c r="B38" s="718" t="s">
        <v>364</v>
      </c>
      <c r="C38" s="719">
        <f>'Building &amp; Fit-out Breakdown'!F371</f>
        <v>1334070</v>
      </c>
      <c r="D38" s="720">
        <f t="shared" si="0"/>
        <v>9.812729399130582</v>
      </c>
      <c r="E38" s="719"/>
    </row>
    <row r="39" spans="1:6">
      <c r="A39" s="717" t="s">
        <v>365</v>
      </c>
      <c r="B39" s="718" t="s">
        <v>366</v>
      </c>
      <c r="C39" s="719">
        <f>'Building &amp; Fit-out Breakdown'!F412</f>
        <v>3717250</v>
      </c>
      <c r="D39" s="720">
        <f t="shared" si="0"/>
        <v>27.342169720418084</v>
      </c>
      <c r="E39" s="719"/>
    </row>
    <row r="40" spans="1:6">
      <c r="A40" s="717" t="s">
        <v>367</v>
      </c>
      <c r="B40" s="718" t="s">
        <v>368</v>
      </c>
      <c r="C40" s="719">
        <f>'Building &amp; Fit-out Breakdown'!F417</f>
        <v>5964390</v>
      </c>
      <c r="D40" s="720">
        <f t="shared" si="0"/>
        <v>43.870970114671984</v>
      </c>
      <c r="E40" s="719"/>
    </row>
    <row r="41" spans="1:6">
      <c r="A41" s="717" t="s">
        <v>369</v>
      </c>
      <c r="B41" s="718" t="s">
        <v>370</v>
      </c>
      <c r="C41" s="719">
        <f>'Building &amp; Fit-out Breakdown'!F456</f>
        <v>5512336.75</v>
      </c>
      <c r="D41" s="720">
        <f t="shared" si="0"/>
        <v>40.545900053695028</v>
      </c>
      <c r="E41" s="719"/>
    </row>
    <row r="42" spans="1:6">
      <c r="A42" s="717" t="s">
        <v>371</v>
      </c>
      <c r="B42" s="718" t="s">
        <v>372</v>
      </c>
      <c r="C42" s="719">
        <f>'Building &amp; Fit-out Breakdown'!F464</f>
        <v>227500</v>
      </c>
      <c r="D42" s="720">
        <f t="shared" si="0"/>
        <v>1.6733724154671099</v>
      </c>
      <c r="E42" s="719"/>
    </row>
    <row r="43" spans="1:6">
      <c r="A43" s="717" t="s">
        <v>373</v>
      </c>
      <c r="B43" s="718" t="s">
        <v>374</v>
      </c>
      <c r="C43" s="719">
        <f>'Building &amp; Fit-out Breakdown'!F474</f>
        <v>40000</v>
      </c>
      <c r="D43" s="720">
        <f t="shared" si="0"/>
        <v>0.29421932579641491</v>
      </c>
      <c r="E43" s="719"/>
    </row>
    <row r="44" spans="1:6">
      <c r="A44" s="717" t="s">
        <v>375</v>
      </c>
      <c r="B44" s="718" t="s">
        <v>376</v>
      </c>
      <c r="C44" s="719">
        <f>'Building &amp; Fit-out Breakdown'!F480</f>
        <v>521906</v>
      </c>
      <c r="D44" s="720">
        <f t="shared" si="0"/>
        <v>3.8388707862275933</v>
      </c>
      <c r="E44" s="719"/>
    </row>
    <row r="45" spans="1:6">
      <c r="A45" s="717" t="s">
        <v>377</v>
      </c>
      <c r="B45" s="718" t="s">
        <v>601</v>
      </c>
      <c r="C45" s="719">
        <f>'Building &amp; Fit-out Breakdown'!F488</f>
        <v>346335</v>
      </c>
      <c r="D45" s="720">
        <f t="shared" si="0"/>
        <v>2.5474612549925344</v>
      </c>
      <c r="E45" s="719"/>
    </row>
    <row r="46" spans="1:6">
      <c r="A46" s="717" t="s">
        <v>378</v>
      </c>
      <c r="B46" s="722" t="s">
        <v>379</v>
      </c>
      <c r="C46" s="719">
        <v>60000</v>
      </c>
      <c r="D46" s="720">
        <f t="shared" si="0"/>
        <v>0.44132898869462239</v>
      </c>
      <c r="E46" s="719"/>
      <c r="F46" s="759"/>
    </row>
    <row r="47" spans="1:6">
      <c r="A47" s="264" t="s">
        <v>380</v>
      </c>
      <c r="B47" s="266" t="s">
        <v>381</v>
      </c>
      <c r="C47" s="265">
        <v>0</v>
      </c>
      <c r="D47" s="682">
        <f t="shared" si="0"/>
        <v>0</v>
      </c>
      <c r="E47" s="788" t="s">
        <v>1024</v>
      </c>
      <c r="F47" s="759"/>
    </row>
    <row r="48" spans="1:6" ht="16" thickBot="1">
      <c r="A48" s="264" t="s">
        <v>398</v>
      </c>
      <c r="B48" s="266" t="s">
        <v>382</v>
      </c>
      <c r="C48" s="683">
        <v>0</v>
      </c>
      <c r="D48" s="684">
        <f t="shared" si="0"/>
        <v>0</v>
      </c>
      <c r="E48" s="788" t="s">
        <v>1025</v>
      </c>
      <c r="F48" s="759"/>
    </row>
    <row r="49" spans="1:5" ht="16" thickBot="1">
      <c r="A49" s="286"/>
      <c r="B49" s="289" t="s">
        <v>383</v>
      </c>
      <c r="C49" s="287">
        <f>SUM(C11:C47)</f>
        <v>37945959.75</v>
      </c>
      <c r="D49" s="685">
        <f>C49/$B$4</f>
        <v>279.11086735857242</v>
      </c>
      <c r="E49" s="287"/>
    </row>
    <row r="50" spans="1:5">
      <c r="A50" s="278" t="s">
        <v>384</v>
      </c>
      <c r="B50" s="279" t="s">
        <v>385</v>
      </c>
      <c r="C50" s="277">
        <v>0</v>
      </c>
      <c r="D50" s="274">
        <f t="shared" si="0"/>
        <v>0</v>
      </c>
      <c r="E50" s="277"/>
    </row>
    <row r="51" spans="1:5">
      <c r="A51" s="275" t="s">
        <v>386</v>
      </c>
      <c r="B51" s="276" t="s">
        <v>387</v>
      </c>
      <c r="C51" s="277">
        <v>0</v>
      </c>
      <c r="D51" s="274">
        <f t="shared" si="0"/>
        <v>0</v>
      </c>
      <c r="E51" s="277"/>
    </row>
    <row r="52" spans="1:5" ht="16" thickBot="1">
      <c r="A52" s="271"/>
      <c r="B52" s="270" t="s">
        <v>388</v>
      </c>
      <c r="C52" s="268">
        <v>0</v>
      </c>
      <c r="D52" s="274">
        <f t="shared" si="0"/>
        <v>0</v>
      </c>
      <c r="E52" s="268"/>
    </row>
    <row r="53" spans="1:5" ht="16" thickBot="1">
      <c r="A53" s="286"/>
      <c r="B53" s="289" t="s">
        <v>383</v>
      </c>
      <c r="C53" s="287">
        <f>SUM(C49:C52)</f>
        <v>37945959.75</v>
      </c>
      <c r="D53" s="288"/>
      <c r="E53" s="287"/>
    </row>
    <row r="54" spans="1:5">
      <c r="A54" s="281" t="s">
        <v>389</v>
      </c>
      <c r="B54" s="282" t="s">
        <v>390</v>
      </c>
      <c r="C54" s="280">
        <v>0</v>
      </c>
      <c r="D54" s="274">
        <f>C54/$B$4</f>
        <v>0</v>
      </c>
      <c r="E54" s="280"/>
    </row>
    <row r="55" spans="1:5">
      <c r="A55" s="283" t="s">
        <v>391</v>
      </c>
      <c r="B55" s="284" t="s">
        <v>392</v>
      </c>
      <c r="C55" s="285">
        <v>0</v>
      </c>
      <c r="D55" s="274">
        <f>C55/$B$4</f>
        <v>0</v>
      </c>
      <c r="E55" s="285"/>
    </row>
    <row r="56" spans="1:5">
      <c r="A56" s="283" t="s">
        <v>393</v>
      </c>
      <c r="B56" s="284" t="s">
        <v>394</v>
      </c>
      <c r="C56" s="285">
        <v>0</v>
      </c>
      <c r="D56" s="274">
        <f>C56/$B$4</f>
        <v>0</v>
      </c>
      <c r="E56" s="285"/>
    </row>
    <row r="57" spans="1:5" ht="16" thickBot="1">
      <c r="A57" s="269" t="s">
        <v>395</v>
      </c>
      <c r="B57" s="272" t="s">
        <v>396</v>
      </c>
      <c r="C57" s="268">
        <v>0</v>
      </c>
      <c r="D57" s="274">
        <f>C57/$B$4</f>
        <v>0</v>
      </c>
      <c r="E57" s="268"/>
    </row>
    <row r="58" spans="1:5" ht="16" thickBot="1">
      <c r="A58" s="286"/>
      <c r="B58" s="289" t="s">
        <v>397</v>
      </c>
      <c r="C58" s="287">
        <f>SUM(C53:C57)</f>
        <v>37945959.75</v>
      </c>
      <c r="D58" s="288"/>
      <c r="E58" s="287"/>
    </row>
  </sheetData>
  <mergeCells count="3">
    <mergeCell ref="A7:E7"/>
    <mergeCell ref="A1:E1"/>
    <mergeCell ref="F46:F48"/>
  </mergeCells>
  <phoneticPr fontId="25" type="noConversion"/>
  <pageMargins left="0.7" right="0.7" top="0.75" bottom="0.75" header="0.3" footer="0.3"/>
  <pageSetup orientation="portrait" r:id="rId1"/>
  <ignoredErrors>
    <ignoredError sqref="C53 C58" unlockedFormula="1"/>
    <ignoredError sqref="D11:D40 D50:D57 D42:D48" evalError="1"/>
    <ignoredError sqref="C36" formula="1"/>
    <ignoredError sqref="A11:A57" numberStoredAsText="1"/>
    <ignoredError sqref="D41" evalError="1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8E0C-724C-4BE0-B1EA-BE51112FF925}">
  <sheetPr>
    <tabColor rgb="FFFF0000"/>
  </sheetPr>
  <dimension ref="A1:J488"/>
  <sheetViews>
    <sheetView zoomScale="109" zoomScaleNormal="110" workbookViewId="0">
      <pane ySplit="10" topLeftCell="A173" activePane="bottomLeft" state="frozen"/>
      <selection pane="bottomLeft" activeCell="B176" sqref="B176"/>
    </sheetView>
  </sheetViews>
  <sheetFormatPr baseColWidth="10" defaultColWidth="9.1640625" defaultRowHeight="15"/>
  <cols>
    <col min="1" max="1" width="10.1640625" style="1" customWidth="1"/>
    <col min="2" max="2" width="71.33203125" style="1" bestFit="1" customWidth="1"/>
    <col min="3" max="4" width="10.5" style="1" customWidth="1"/>
    <col min="5" max="5" width="14" style="1" bestFit="1" customWidth="1"/>
    <col min="6" max="6" width="12.6640625" style="1" customWidth="1"/>
    <col min="7" max="7" width="30.33203125" style="1" bestFit="1" customWidth="1"/>
    <col min="8" max="16384" width="9.1640625" style="1"/>
  </cols>
  <sheetData>
    <row r="1" spans="1:7" ht="19.5" customHeight="1">
      <c r="A1" s="758" t="s">
        <v>282</v>
      </c>
      <c r="B1" s="758"/>
      <c r="C1" s="758"/>
      <c r="D1" s="758"/>
      <c r="E1" s="758"/>
      <c r="F1" s="758"/>
      <c r="G1" s="758"/>
    </row>
    <row r="2" spans="1:7" ht="15" customHeight="1">
      <c r="A2" s="387" t="s">
        <v>406</v>
      </c>
      <c r="B2" s="402" t="str">
        <f>'Building &amp; Fit-outBudget Detail'!B2</f>
        <v xml:space="preserve">Warehouse Conversion / Add Second Level &amp; Roof Decks							</v>
      </c>
      <c r="C2" s="234"/>
      <c r="D2" s="234"/>
    </row>
    <row r="3" spans="1:7" ht="15" customHeight="1">
      <c r="A3" s="387" t="s">
        <v>401</v>
      </c>
      <c r="B3" s="686">
        <v>7440</v>
      </c>
      <c r="C3" s="234"/>
      <c r="D3" s="234"/>
    </row>
    <row r="4" spans="1:7" ht="15" customHeight="1">
      <c r="A4" s="387" t="s">
        <v>402</v>
      </c>
      <c r="B4" s="402">
        <f>3500+69722+53379+9352</f>
        <v>135953</v>
      </c>
      <c r="C4" s="234"/>
      <c r="D4" s="234"/>
    </row>
    <row r="5" spans="1:7" ht="15" customHeight="1">
      <c r="A5" s="387" t="s">
        <v>403</v>
      </c>
      <c r="B5" s="403">
        <f>'Building &amp; Fit-outBudget Detail'!B5</f>
        <v>46281</v>
      </c>
      <c r="C5" s="234"/>
      <c r="D5" s="234"/>
    </row>
    <row r="6" spans="1:7" ht="15" customHeight="1">
      <c r="A6" s="387" t="s">
        <v>407</v>
      </c>
      <c r="B6" s="402" t="s">
        <v>870</v>
      </c>
      <c r="C6" s="234"/>
      <c r="D6" s="234"/>
    </row>
    <row r="7" spans="1:7" ht="15" customHeight="1">
      <c r="A7" s="387" t="s">
        <v>404</v>
      </c>
      <c r="B7" s="402">
        <f>'Building &amp; Fit-outBudget Detail'!B6</f>
        <v>1</v>
      </c>
      <c r="C7" s="234"/>
      <c r="D7" s="234"/>
    </row>
    <row r="8" spans="1:7" ht="7" customHeight="1" thickBot="1">
      <c r="A8" s="747"/>
      <c r="B8" s="748"/>
      <c r="C8" s="748"/>
      <c r="D8" s="748"/>
      <c r="E8" s="295"/>
      <c r="F8" s="295"/>
      <c r="G8" s="295"/>
    </row>
    <row r="9" spans="1:7" ht="16" thickBot="1"/>
    <row r="10" spans="1:7" ht="30" customHeight="1" thickBot="1">
      <c r="A10" s="296" t="s">
        <v>408</v>
      </c>
      <c r="B10" s="296" t="s">
        <v>602</v>
      </c>
      <c r="C10" s="296" t="s">
        <v>409</v>
      </c>
      <c r="D10" s="315" t="s">
        <v>921</v>
      </c>
      <c r="E10" s="707" t="s">
        <v>920</v>
      </c>
      <c r="F10" s="297" t="s">
        <v>218</v>
      </c>
      <c r="G10" s="325" t="s">
        <v>603</v>
      </c>
    </row>
    <row r="11" spans="1:7">
      <c r="A11" s="300"/>
      <c r="B11" s="300"/>
      <c r="C11" s="300"/>
      <c r="D11" s="316"/>
      <c r="E11" s="319"/>
      <c r="F11" s="330"/>
      <c r="G11" s="326"/>
    </row>
    <row r="12" spans="1:7">
      <c r="A12" s="301" t="s">
        <v>311</v>
      </c>
      <c r="B12" s="301" t="s">
        <v>312</v>
      </c>
      <c r="C12" s="302"/>
      <c r="D12" s="316"/>
      <c r="E12" s="319"/>
      <c r="F12" s="313"/>
      <c r="G12" s="298"/>
    </row>
    <row r="13" spans="1:7">
      <c r="A13" s="679">
        <v>1</v>
      </c>
      <c r="B13" s="340" t="s">
        <v>859</v>
      </c>
      <c r="C13" s="302">
        <v>1</v>
      </c>
      <c r="D13" s="316" t="s">
        <v>412</v>
      </c>
      <c r="E13" s="320">
        <v>30000</v>
      </c>
      <c r="F13" s="330">
        <f t="shared" ref="F13:F25" si="0">C13*E13</f>
        <v>30000</v>
      </c>
      <c r="G13" s="298"/>
    </row>
    <row r="14" spans="1:7">
      <c r="A14" s="679">
        <f>A13+1</f>
        <v>2</v>
      </c>
      <c r="B14" s="340" t="s">
        <v>850</v>
      </c>
      <c r="C14" s="302">
        <v>1</v>
      </c>
      <c r="D14" s="316" t="s">
        <v>854</v>
      </c>
      <c r="E14" s="320">
        <v>7500</v>
      </c>
      <c r="F14" s="330">
        <f t="shared" si="0"/>
        <v>7500</v>
      </c>
      <c r="G14" s="298"/>
    </row>
    <row r="15" spans="1:7">
      <c r="A15" s="679">
        <f t="shared" ref="A15:A25" si="1">A14+1</f>
        <v>3</v>
      </c>
      <c r="B15" s="340" t="s">
        <v>851</v>
      </c>
      <c r="C15" s="302">
        <v>1</v>
      </c>
      <c r="D15" s="316" t="s">
        <v>412</v>
      </c>
      <c r="E15" s="320">
        <v>12000</v>
      </c>
      <c r="F15" s="330">
        <f t="shared" si="0"/>
        <v>12000</v>
      </c>
      <c r="G15" s="298"/>
    </row>
    <row r="16" spans="1:7">
      <c r="A16" s="679">
        <f t="shared" si="1"/>
        <v>4</v>
      </c>
      <c r="B16" s="340" t="s">
        <v>858</v>
      </c>
      <c r="C16" s="302">
        <v>1</v>
      </c>
      <c r="D16" s="316" t="s">
        <v>412</v>
      </c>
      <c r="E16" s="320">
        <v>200000</v>
      </c>
      <c r="F16" s="330">
        <f t="shared" si="0"/>
        <v>200000</v>
      </c>
      <c r="G16" s="298"/>
    </row>
    <row r="17" spans="1:9">
      <c r="A17" s="679">
        <f t="shared" si="1"/>
        <v>5</v>
      </c>
      <c r="B17" s="340" t="s">
        <v>852</v>
      </c>
      <c r="C17" s="302">
        <v>1</v>
      </c>
      <c r="D17" s="316" t="s">
        <v>854</v>
      </c>
      <c r="E17" s="320">
        <v>4500</v>
      </c>
      <c r="F17" s="330">
        <f t="shared" si="0"/>
        <v>4500</v>
      </c>
      <c r="G17" s="298"/>
    </row>
    <row r="18" spans="1:9">
      <c r="A18" s="679">
        <f t="shared" si="1"/>
        <v>6</v>
      </c>
      <c r="B18" s="340" t="s">
        <v>853</v>
      </c>
      <c r="C18" s="302">
        <v>1</v>
      </c>
      <c r="D18" s="316" t="s">
        <v>412</v>
      </c>
      <c r="E18" s="320">
        <v>13000</v>
      </c>
      <c r="F18" s="330">
        <f t="shared" si="0"/>
        <v>13000</v>
      </c>
      <c r="G18" s="298"/>
    </row>
    <row r="19" spans="1:9">
      <c r="A19" s="679">
        <f t="shared" si="1"/>
        <v>7</v>
      </c>
      <c r="B19" s="340" t="s">
        <v>857</v>
      </c>
      <c r="C19" s="302">
        <v>1</v>
      </c>
      <c r="D19" s="316" t="s">
        <v>412</v>
      </c>
      <c r="E19" s="320">
        <v>400000</v>
      </c>
      <c r="F19" s="330">
        <f t="shared" si="0"/>
        <v>400000</v>
      </c>
      <c r="G19" s="298"/>
    </row>
    <row r="20" spans="1:9">
      <c r="A20" s="679">
        <f t="shared" si="1"/>
        <v>8</v>
      </c>
      <c r="B20" s="340" t="s">
        <v>413</v>
      </c>
      <c r="C20" s="302">
        <v>80</v>
      </c>
      <c r="D20" s="316" t="s">
        <v>849</v>
      </c>
      <c r="E20" s="320">
        <v>400</v>
      </c>
      <c r="F20" s="330">
        <f>C20*E20</f>
        <v>32000</v>
      </c>
      <c r="G20" s="298"/>
    </row>
    <row r="21" spans="1:9">
      <c r="A21" s="679">
        <f t="shared" si="1"/>
        <v>9</v>
      </c>
      <c r="B21" s="340" t="s">
        <v>414</v>
      </c>
      <c r="C21" s="302">
        <v>1</v>
      </c>
      <c r="D21" s="316" t="s">
        <v>412</v>
      </c>
      <c r="E21" s="320">
        <v>65000</v>
      </c>
      <c r="F21" s="330">
        <f>C21*E21</f>
        <v>65000</v>
      </c>
      <c r="G21" s="298"/>
    </row>
    <row r="22" spans="1:9">
      <c r="A22" s="679">
        <f t="shared" si="1"/>
        <v>10</v>
      </c>
      <c r="B22" s="340" t="s">
        <v>415</v>
      </c>
      <c r="C22" s="302">
        <v>1</v>
      </c>
      <c r="D22" s="316" t="s">
        <v>412</v>
      </c>
      <c r="E22" s="320">
        <v>50000</v>
      </c>
      <c r="F22" s="330">
        <f>C22*E22</f>
        <v>50000</v>
      </c>
      <c r="G22" s="298"/>
    </row>
    <row r="23" spans="1:9">
      <c r="A23" s="679">
        <f t="shared" si="1"/>
        <v>11</v>
      </c>
      <c r="B23" s="340" t="s">
        <v>856</v>
      </c>
      <c r="C23" s="302">
        <v>1</v>
      </c>
      <c r="D23" s="316" t="s">
        <v>412</v>
      </c>
      <c r="E23" s="320">
        <v>2000000</v>
      </c>
      <c r="F23" s="330">
        <f t="shared" si="0"/>
        <v>2000000</v>
      </c>
      <c r="G23" s="298"/>
    </row>
    <row r="24" spans="1:9">
      <c r="A24" s="679">
        <f t="shared" si="1"/>
        <v>12</v>
      </c>
      <c r="B24" s="340" t="s">
        <v>411</v>
      </c>
      <c r="C24" s="302">
        <v>1</v>
      </c>
      <c r="D24" s="316" t="s">
        <v>412</v>
      </c>
      <c r="E24" s="320">
        <v>120000</v>
      </c>
      <c r="F24" s="330">
        <f t="shared" si="0"/>
        <v>120000</v>
      </c>
      <c r="G24" s="298"/>
    </row>
    <row r="25" spans="1:9">
      <c r="A25" s="679">
        <f t="shared" si="1"/>
        <v>13</v>
      </c>
      <c r="B25" s="340" t="s">
        <v>416</v>
      </c>
      <c r="C25" s="302">
        <v>1</v>
      </c>
      <c r="D25" s="316" t="s">
        <v>854</v>
      </c>
      <c r="E25" s="320">
        <v>100000</v>
      </c>
      <c r="F25" s="330">
        <f t="shared" si="0"/>
        <v>100000</v>
      </c>
      <c r="G25" s="298"/>
    </row>
    <row r="26" spans="1:9" ht="16" thickBot="1">
      <c r="A26" s="302"/>
      <c r="B26" s="302"/>
      <c r="C26" s="302"/>
      <c r="D26" s="316"/>
      <c r="E26" s="320"/>
      <c r="F26" s="330"/>
      <c r="G26" s="298"/>
    </row>
    <row r="27" spans="1:9" ht="16" thickBot="1">
      <c r="A27" s="335" t="s">
        <v>417</v>
      </c>
      <c r="B27" s="335" t="str">
        <f>B12</f>
        <v>PROJECT REQUIREMENTS</v>
      </c>
      <c r="C27" s="335"/>
      <c r="D27" s="336"/>
      <c r="E27" s="337"/>
      <c r="F27" s="338">
        <f>SUM(F11:F26)</f>
        <v>3034000</v>
      </c>
      <c r="G27" s="339"/>
    </row>
    <row r="28" spans="1:9">
      <c r="A28" s="302"/>
      <c r="B28" s="302"/>
      <c r="C28" s="302"/>
      <c r="D28" s="316"/>
      <c r="E28" s="319"/>
      <c r="F28" s="330"/>
      <c r="G28" s="298"/>
    </row>
    <row r="29" spans="1:9">
      <c r="A29" s="301" t="s">
        <v>418</v>
      </c>
      <c r="B29" s="301" t="s">
        <v>855</v>
      </c>
      <c r="C29" s="302"/>
      <c r="D29" s="316"/>
      <c r="E29" s="319"/>
      <c r="F29" s="330"/>
      <c r="G29" s="298"/>
    </row>
    <row r="30" spans="1:9">
      <c r="A30" s="303">
        <v>1</v>
      </c>
      <c r="B30" s="341" t="s">
        <v>806</v>
      </c>
      <c r="C30" s="303">
        <v>1</v>
      </c>
      <c r="D30" s="317" t="s">
        <v>412</v>
      </c>
      <c r="E30" s="321">
        <v>4000000</v>
      </c>
      <c r="F30" s="331">
        <f>E30*C30</f>
        <v>4000000</v>
      </c>
      <c r="G30" s="327"/>
      <c r="I30" s="1" t="s">
        <v>942</v>
      </c>
    </row>
    <row r="31" spans="1:9" hidden="1">
      <c r="A31" s="303"/>
      <c r="B31" s="341"/>
      <c r="C31" s="303">
        <v>1126</v>
      </c>
      <c r="D31" s="317" t="s">
        <v>427</v>
      </c>
      <c r="E31" s="321">
        <v>500</v>
      </c>
      <c r="F31" s="331"/>
      <c r="G31" s="327"/>
    </row>
    <row r="32" spans="1:9" hidden="1">
      <c r="A32" s="303"/>
      <c r="B32" s="341"/>
      <c r="C32" s="303">
        <f>(1126*6)*4</f>
        <v>27024</v>
      </c>
      <c r="D32" s="317" t="s">
        <v>283</v>
      </c>
      <c r="E32" s="321">
        <v>75</v>
      </c>
      <c r="F32" s="331"/>
      <c r="G32" s="327"/>
    </row>
    <row r="33" spans="1:9">
      <c r="A33" s="303">
        <v>2</v>
      </c>
      <c r="B33" s="341" t="s">
        <v>941</v>
      </c>
      <c r="C33" s="303">
        <v>1</v>
      </c>
      <c r="D33" s="317" t="s">
        <v>412</v>
      </c>
      <c r="E33" s="321">
        <v>2000000</v>
      </c>
      <c r="F33" s="331">
        <f>E33*C33</f>
        <v>2000000</v>
      </c>
      <c r="G33" s="327"/>
      <c r="I33" s="1" t="s">
        <v>943</v>
      </c>
    </row>
    <row r="34" spans="1:9">
      <c r="A34" s="303">
        <v>3</v>
      </c>
      <c r="B34" s="341" t="s">
        <v>944</v>
      </c>
      <c r="C34" s="303">
        <v>1</v>
      </c>
      <c r="D34" s="317" t="s">
        <v>412</v>
      </c>
      <c r="E34" s="321">
        <v>150000</v>
      </c>
      <c r="F34" s="331">
        <f>E34*C34</f>
        <v>150000</v>
      </c>
      <c r="G34" s="327"/>
    </row>
    <row r="35" spans="1:9">
      <c r="A35" s="303"/>
      <c r="B35" s="342" t="s">
        <v>419</v>
      </c>
      <c r="C35" s="303">
        <v>1</v>
      </c>
      <c r="D35" s="317" t="s">
        <v>412</v>
      </c>
      <c r="E35" s="321">
        <v>20000</v>
      </c>
      <c r="F35" s="331">
        <f>E35*C35</f>
        <v>20000</v>
      </c>
      <c r="G35" s="327"/>
    </row>
    <row r="36" spans="1:9" ht="16" thickBot="1">
      <c r="A36" s="302">
        <v>4</v>
      </c>
      <c r="B36" s="302"/>
      <c r="C36" s="302"/>
      <c r="D36" s="316"/>
      <c r="E36" s="319"/>
      <c r="F36" s="330"/>
      <c r="G36" s="298"/>
    </row>
    <row r="37" spans="1:9" ht="16" thickBot="1">
      <c r="A37" s="335" t="s">
        <v>417</v>
      </c>
      <c r="B37" s="335" t="str">
        <f>B29</f>
        <v>SCAFFOLDING &amp; HOARDING</v>
      </c>
      <c r="C37" s="335"/>
      <c r="D37" s="336"/>
      <c r="E37" s="337"/>
      <c r="F37" s="338">
        <f>SUM(F28:F36)</f>
        <v>6170000</v>
      </c>
      <c r="G37" s="339"/>
    </row>
    <row r="38" spans="1:9">
      <c r="A38" s="302"/>
      <c r="B38" s="302"/>
      <c r="C38" s="302"/>
      <c r="D38" s="316"/>
      <c r="E38" s="319"/>
      <c r="F38" s="330"/>
      <c r="G38" s="298"/>
    </row>
    <row r="39" spans="1:9">
      <c r="A39" s="301" t="s">
        <v>315</v>
      </c>
      <c r="B39" s="308" t="s">
        <v>316</v>
      </c>
      <c r="C39" s="302"/>
      <c r="D39" s="316"/>
      <c r="E39" s="319"/>
      <c r="F39" s="330"/>
      <c r="G39" s="298"/>
    </row>
    <row r="40" spans="1:9">
      <c r="A40" s="303">
        <v>1</v>
      </c>
      <c r="B40" s="340" t="s">
        <v>929</v>
      </c>
      <c r="C40" s="302">
        <v>2500</v>
      </c>
      <c r="D40" s="316" t="s">
        <v>283</v>
      </c>
      <c r="E40" s="319">
        <v>12</v>
      </c>
      <c r="F40" s="330">
        <f t="shared" ref="F40:F61" si="2">C40*E40</f>
        <v>30000</v>
      </c>
      <c r="G40" s="298"/>
    </row>
    <row r="41" spans="1:9">
      <c r="A41" s="706">
        <f>A40+1</f>
        <v>2</v>
      </c>
      <c r="B41" s="340" t="s">
        <v>930</v>
      </c>
      <c r="C41" s="302">
        <v>1975</v>
      </c>
      <c r="D41" s="316" t="s">
        <v>283</v>
      </c>
      <c r="E41" s="319">
        <v>12</v>
      </c>
      <c r="F41" s="330">
        <f t="shared" si="2"/>
        <v>23700</v>
      </c>
      <c r="G41" s="298"/>
    </row>
    <row r="42" spans="1:9">
      <c r="A42" s="706">
        <f t="shared" ref="A42:A61" si="3">A41+1</f>
        <v>3</v>
      </c>
      <c r="B42" s="340" t="s">
        <v>931</v>
      </c>
      <c r="C42" s="302">
        <f>628*12</f>
        <v>7536</v>
      </c>
      <c r="D42" s="316" t="s">
        <v>283</v>
      </c>
      <c r="E42" s="319">
        <v>12</v>
      </c>
      <c r="F42" s="330">
        <f t="shared" si="2"/>
        <v>90432</v>
      </c>
      <c r="G42" s="298"/>
    </row>
    <row r="43" spans="1:9">
      <c r="A43" s="706">
        <f t="shared" si="3"/>
        <v>4</v>
      </c>
      <c r="B43" s="340" t="s">
        <v>932</v>
      </c>
      <c r="C43" s="302">
        <v>6825</v>
      </c>
      <c r="D43" s="316" t="s">
        <v>283</v>
      </c>
      <c r="E43" s="319">
        <v>5</v>
      </c>
      <c r="F43" s="330">
        <f t="shared" si="2"/>
        <v>34125</v>
      </c>
      <c r="G43" s="298"/>
    </row>
    <row r="44" spans="1:9">
      <c r="A44" s="706">
        <f t="shared" si="3"/>
        <v>5</v>
      </c>
      <c r="B44" s="340" t="s">
        <v>884</v>
      </c>
      <c r="C44" s="302">
        <v>8</v>
      </c>
      <c r="D44" s="316" t="s">
        <v>429</v>
      </c>
      <c r="E44" s="319">
        <v>5000</v>
      </c>
      <c r="F44" s="330">
        <f t="shared" si="2"/>
        <v>40000</v>
      </c>
      <c r="G44" s="298"/>
    </row>
    <row r="45" spans="1:9">
      <c r="A45" s="706">
        <f t="shared" si="3"/>
        <v>6</v>
      </c>
      <c r="B45" s="340" t="s">
        <v>885</v>
      </c>
      <c r="C45" s="302">
        <v>7</v>
      </c>
      <c r="D45" s="316" t="s">
        <v>429</v>
      </c>
      <c r="E45" s="319">
        <v>250</v>
      </c>
      <c r="F45" s="330">
        <f t="shared" si="2"/>
        <v>1750</v>
      </c>
      <c r="G45" s="298"/>
    </row>
    <row r="46" spans="1:9">
      <c r="A46" s="706">
        <f t="shared" si="3"/>
        <v>7</v>
      </c>
      <c r="B46" s="340" t="s">
        <v>895</v>
      </c>
      <c r="C46" s="302">
        <v>34</v>
      </c>
      <c r="D46" s="316" t="s">
        <v>429</v>
      </c>
      <c r="E46" s="319">
        <v>300</v>
      </c>
      <c r="F46" s="330">
        <f t="shared" si="2"/>
        <v>10200</v>
      </c>
      <c r="G46" s="298"/>
    </row>
    <row r="47" spans="1:9">
      <c r="A47" s="706">
        <f t="shared" si="3"/>
        <v>8</v>
      </c>
      <c r="B47" s="340" t="s">
        <v>913</v>
      </c>
      <c r="C47" s="302">
        <v>28</v>
      </c>
      <c r="D47" s="316" t="s">
        <v>429</v>
      </c>
      <c r="E47" s="319">
        <v>750</v>
      </c>
      <c r="F47" s="330">
        <f t="shared" si="2"/>
        <v>21000</v>
      </c>
      <c r="G47" s="298"/>
    </row>
    <row r="48" spans="1:9">
      <c r="A48" s="706">
        <f t="shared" si="3"/>
        <v>9</v>
      </c>
      <c r="B48" s="340" t="s">
        <v>914</v>
      </c>
      <c r="C48" s="302">
        <v>2</v>
      </c>
      <c r="D48" s="316" t="s">
        <v>429</v>
      </c>
      <c r="E48" s="319">
        <v>20000</v>
      </c>
      <c r="F48" s="330">
        <f t="shared" si="2"/>
        <v>40000</v>
      </c>
      <c r="G48" s="298"/>
    </row>
    <row r="49" spans="1:8">
      <c r="A49" s="706">
        <f t="shared" si="3"/>
        <v>10</v>
      </c>
      <c r="B49" s="340" t="s">
        <v>933</v>
      </c>
      <c r="C49" s="302">
        <v>1</v>
      </c>
      <c r="D49" s="316" t="s">
        <v>283</v>
      </c>
      <c r="E49" s="319">
        <v>74000</v>
      </c>
      <c r="F49" s="330">
        <f t="shared" si="2"/>
        <v>74000</v>
      </c>
      <c r="G49" s="298"/>
    </row>
    <row r="50" spans="1:8">
      <c r="A50" s="706">
        <f t="shared" si="3"/>
        <v>11</v>
      </c>
      <c r="B50" s="340" t="s">
        <v>924</v>
      </c>
      <c r="C50" s="302">
        <v>3</v>
      </c>
      <c r="D50" s="316" t="s">
        <v>429</v>
      </c>
      <c r="E50" s="319">
        <v>2500</v>
      </c>
      <c r="F50" s="330">
        <f t="shared" si="2"/>
        <v>7500</v>
      </c>
      <c r="G50" s="298"/>
    </row>
    <row r="51" spans="1:8">
      <c r="A51" s="706">
        <f t="shared" si="3"/>
        <v>12</v>
      </c>
      <c r="B51" s="340" t="s">
        <v>934</v>
      </c>
      <c r="C51" s="302">
        <v>1423</v>
      </c>
      <c r="D51" s="316" t="s">
        <v>283</v>
      </c>
      <c r="E51" s="319">
        <v>10</v>
      </c>
      <c r="F51" s="330">
        <f t="shared" si="2"/>
        <v>14230</v>
      </c>
      <c r="G51" s="298"/>
    </row>
    <row r="52" spans="1:8">
      <c r="A52" s="706">
        <f t="shared" si="3"/>
        <v>13</v>
      </c>
      <c r="B52" s="340" t="s">
        <v>927</v>
      </c>
      <c r="C52" s="302">
        <v>132</v>
      </c>
      <c r="D52" s="316" t="s">
        <v>427</v>
      </c>
      <c r="E52" s="319">
        <v>100</v>
      </c>
      <c r="F52" s="330">
        <f t="shared" si="2"/>
        <v>13200</v>
      </c>
      <c r="G52" s="298"/>
      <c r="H52" s="1" t="s">
        <v>945</v>
      </c>
    </row>
    <row r="53" spans="1:8">
      <c r="A53" s="706">
        <f t="shared" si="3"/>
        <v>14</v>
      </c>
      <c r="B53" s="340" t="s">
        <v>928</v>
      </c>
      <c r="C53" s="302">
        <f>890+1750</f>
        <v>2640</v>
      </c>
      <c r="D53" s="316" t="s">
        <v>283</v>
      </c>
      <c r="E53" s="319">
        <v>12</v>
      </c>
      <c r="F53" s="330">
        <f t="shared" si="2"/>
        <v>31680</v>
      </c>
      <c r="G53" s="298"/>
      <c r="H53" s="1" t="s">
        <v>945</v>
      </c>
    </row>
    <row r="54" spans="1:8">
      <c r="A54" s="706">
        <f t="shared" si="3"/>
        <v>15</v>
      </c>
      <c r="B54" s="340" t="s">
        <v>936</v>
      </c>
      <c r="C54" s="302">
        <v>800</v>
      </c>
      <c r="D54" s="316" t="s">
        <v>427</v>
      </c>
      <c r="E54" s="319">
        <v>80</v>
      </c>
      <c r="F54" s="330">
        <f t="shared" si="2"/>
        <v>64000</v>
      </c>
      <c r="G54" s="298"/>
      <c r="H54" s="1" t="s">
        <v>947</v>
      </c>
    </row>
    <row r="55" spans="1:8">
      <c r="A55" s="706">
        <f t="shared" si="3"/>
        <v>16</v>
      </c>
      <c r="B55" s="340" t="s">
        <v>935</v>
      </c>
      <c r="C55" s="302">
        <v>2</v>
      </c>
      <c r="D55" s="316" t="s">
        <v>429</v>
      </c>
      <c r="E55" s="319">
        <v>25000</v>
      </c>
      <c r="F55" s="330">
        <f t="shared" si="2"/>
        <v>50000</v>
      </c>
      <c r="G55" s="298"/>
      <c r="H55" s="1" t="s">
        <v>946</v>
      </c>
    </row>
    <row r="56" spans="1:8">
      <c r="A56" s="706">
        <f t="shared" si="3"/>
        <v>17</v>
      </c>
      <c r="B56" s="340" t="s">
        <v>948</v>
      </c>
      <c r="C56" s="302">
        <v>1</v>
      </c>
      <c r="D56" s="316" t="s">
        <v>412</v>
      </c>
      <c r="E56" s="319">
        <v>50000</v>
      </c>
      <c r="F56" s="330">
        <f t="shared" si="2"/>
        <v>50000</v>
      </c>
      <c r="G56" s="298"/>
    </row>
    <row r="57" spans="1:8">
      <c r="A57" s="706">
        <f t="shared" si="3"/>
        <v>18</v>
      </c>
      <c r="B57" s="340" t="s">
        <v>950</v>
      </c>
      <c r="C57" s="302">
        <v>1</v>
      </c>
      <c r="D57" s="316" t="s">
        <v>429</v>
      </c>
      <c r="E57" s="319">
        <v>100000</v>
      </c>
      <c r="F57" s="330">
        <f t="shared" si="2"/>
        <v>100000</v>
      </c>
      <c r="G57" s="298"/>
    </row>
    <row r="58" spans="1:8">
      <c r="A58" s="706">
        <f t="shared" si="3"/>
        <v>19</v>
      </c>
      <c r="B58" s="340" t="s">
        <v>911</v>
      </c>
      <c r="C58" s="302">
        <v>74000</v>
      </c>
      <c r="D58" s="316" t="s">
        <v>283</v>
      </c>
      <c r="E58" s="319">
        <v>8</v>
      </c>
      <c r="F58" s="330">
        <f t="shared" si="2"/>
        <v>592000</v>
      </c>
      <c r="G58" s="298" t="s">
        <v>912</v>
      </c>
    </row>
    <row r="59" spans="1:8">
      <c r="A59" s="706">
        <f t="shared" si="3"/>
        <v>20</v>
      </c>
      <c r="B59" s="340" t="s">
        <v>420</v>
      </c>
      <c r="C59" s="302">
        <v>0</v>
      </c>
      <c r="D59" s="316" t="s">
        <v>412</v>
      </c>
      <c r="E59" s="319">
        <v>50000</v>
      </c>
      <c r="F59" s="330">
        <f t="shared" si="2"/>
        <v>0</v>
      </c>
      <c r="G59" s="298"/>
    </row>
    <row r="60" spans="1:8">
      <c r="A60" s="706">
        <f t="shared" si="3"/>
        <v>21</v>
      </c>
      <c r="B60" s="343" t="s">
        <v>421</v>
      </c>
      <c r="C60" s="302">
        <v>0</v>
      </c>
      <c r="D60" s="316" t="s">
        <v>283</v>
      </c>
      <c r="E60" s="319">
        <v>0</v>
      </c>
      <c r="F60" s="330">
        <f t="shared" si="2"/>
        <v>0</v>
      </c>
      <c r="G60" s="298" t="s">
        <v>422</v>
      </c>
    </row>
    <row r="61" spans="1:8">
      <c r="A61" s="706">
        <f t="shared" si="3"/>
        <v>22</v>
      </c>
      <c r="B61" s="343" t="s">
        <v>423</v>
      </c>
      <c r="C61" s="302">
        <v>0</v>
      </c>
      <c r="D61" s="316" t="s">
        <v>412</v>
      </c>
      <c r="E61" s="319">
        <v>20000</v>
      </c>
      <c r="F61" s="330">
        <f t="shared" si="2"/>
        <v>0</v>
      </c>
      <c r="G61" s="298"/>
    </row>
    <row r="62" spans="1:8" ht="16" thickBot="1">
      <c r="A62" s="302"/>
      <c r="B62" s="302"/>
      <c r="C62" s="302"/>
      <c r="D62" s="316"/>
      <c r="E62" s="320"/>
      <c r="F62" s="330"/>
      <c r="G62" s="298"/>
    </row>
    <row r="63" spans="1:8" ht="16" thickBot="1">
      <c r="A63" s="335" t="s">
        <v>417</v>
      </c>
      <c r="B63" s="335" t="str">
        <f>B39</f>
        <v>DEMOLITION</v>
      </c>
      <c r="C63" s="335"/>
      <c r="D63" s="336"/>
      <c r="E63" s="337"/>
      <c r="F63" s="338">
        <f>SUM(F38:F62)</f>
        <v>1287817</v>
      </c>
      <c r="G63" s="339" t="s">
        <v>949</v>
      </c>
    </row>
    <row r="64" spans="1:8">
      <c r="A64" s="303"/>
      <c r="B64" s="303"/>
      <c r="C64" s="303"/>
      <c r="D64" s="317"/>
      <c r="E64" s="321"/>
      <c r="F64" s="331"/>
      <c r="G64" s="327"/>
    </row>
    <row r="65" spans="1:8">
      <c r="A65" s="304" t="s">
        <v>317</v>
      </c>
      <c r="B65" s="309" t="s">
        <v>318</v>
      </c>
      <c r="C65" s="303"/>
      <c r="D65" s="317"/>
      <c r="E65" s="321"/>
      <c r="F65" s="331"/>
      <c r="G65" s="327"/>
    </row>
    <row r="66" spans="1:8">
      <c r="A66" s="303">
        <v>1</v>
      </c>
      <c r="B66" s="341" t="s">
        <v>424</v>
      </c>
      <c r="C66" s="303">
        <v>0</v>
      </c>
      <c r="D66" s="317" t="s">
        <v>283</v>
      </c>
      <c r="E66" s="321">
        <v>6.5</v>
      </c>
      <c r="F66" s="331">
        <f>E66*C66</f>
        <v>0</v>
      </c>
      <c r="G66" s="327" t="s">
        <v>425</v>
      </c>
    </row>
    <row r="67" spans="1:8" ht="30">
      <c r="A67" s="303">
        <v>2</v>
      </c>
      <c r="B67" s="341" t="s">
        <v>426</v>
      </c>
      <c r="C67" s="303">
        <v>0</v>
      </c>
      <c r="D67" s="317" t="s">
        <v>427</v>
      </c>
      <c r="E67" s="321">
        <v>150</v>
      </c>
      <c r="F67" s="331">
        <f>E67*C67</f>
        <v>0</v>
      </c>
      <c r="G67" s="327"/>
    </row>
    <row r="68" spans="1:8">
      <c r="A68" s="303">
        <v>3</v>
      </c>
      <c r="B68" s="341" t="s">
        <v>428</v>
      </c>
      <c r="C68" s="303">
        <v>0</v>
      </c>
      <c r="D68" s="317" t="s">
        <v>429</v>
      </c>
      <c r="E68" s="321">
        <v>7500</v>
      </c>
      <c r="F68" s="331">
        <f>E68*C68</f>
        <v>0</v>
      </c>
      <c r="G68" s="327"/>
    </row>
    <row r="69" spans="1:8">
      <c r="A69" s="303"/>
      <c r="B69" s="341" t="s">
        <v>833</v>
      </c>
      <c r="C69" s="303"/>
      <c r="D69" s="317"/>
      <c r="E69" s="321"/>
      <c r="F69" s="331">
        <f t="shared" ref="F69:F82" si="4">E69*C69</f>
        <v>0</v>
      </c>
      <c r="G69" s="327"/>
    </row>
    <row r="70" spans="1:8">
      <c r="A70" s="303"/>
      <c r="B70" s="341"/>
      <c r="C70" s="303"/>
      <c r="D70" s="317"/>
      <c r="E70" s="321"/>
      <c r="F70" s="331">
        <f t="shared" si="4"/>
        <v>0</v>
      </c>
      <c r="G70" s="327"/>
      <c r="H70" s="1">
        <v>4</v>
      </c>
    </row>
    <row r="71" spans="1:8">
      <c r="A71" s="303"/>
      <c r="B71" s="341" t="s">
        <v>882</v>
      </c>
      <c r="C71" s="712">
        <v>1500</v>
      </c>
      <c r="D71" s="713" t="s">
        <v>883</v>
      </c>
      <c r="E71" s="714">
        <v>70</v>
      </c>
      <c r="F71" s="331">
        <f t="shared" si="4"/>
        <v>105000</v>
      </c>
      <c r="G71" s="327" t="s">
        <v>923</v>
      </c>
    </row>
    <row r="72" spans="1:8">
      <c r="A72" s="303"/>
      <c r="B72" s="341" t="s">
        <v>910</v>
      </c>
      <c r="C72" s="303"/>
      <c r="D72" s="317"/>
      <c r="E72" s="321"/>
      <c r="F72" s="331">
        <f t="shared" si="4"/>
        <v>0</v>
      </c>
      <c r="G72" s="327"/>
    </row>
    <row r="73" spans="1:8">
      <c r="A73" s="303"/>
      <c r="B73" s="342" t="s">
        <v>915</v>
      </c>
      <c r="C73" s="303">
        <v>0</v>
      </c>
      <c r="D73" s="317" t="s">
        <v>283</v>
      </c>
      <c r="E73" s="321">
        <v>50</v>
      </c>
      <c r="F73" s="331">
        <f t="shared" si="4"/>
        <v>0</v>
      </c>
      <c r="G73" s="327"/>
    </row>
    <row r="74" spans="1:8">
      <c r="A74" s="303"/>
      <c r="B74" s="342" t="s">
        <v>442</v>
      </c>
      <c r="C74" s="303">
        <v>0</v>
      </c>
      <c r="D74" s="317" t="s">
        <v>283</v>
      </c>
      <c r="E74" s="321">
        <v>50</v>
      </c>
      <c r="F74" s="331">
        <f t="shared" si="4"/>
        <v>0</v>
      </c>
      <c r="G74" s="327"/>
    </row>
    <row r="75" spans="1:8">
      <c r="A75" s="303"/>
      <c r="B75" s="341"/>
      <c r="C75" s="303"/>
      <c r="D75" s="317"/>
      <c r="E75" s="321"/>
      <c r="F75" s="331">
        <f t="shared" si="4"/>
        <v>0</v>
      </c>
      <c r="G75" s="327"/>
    </row>
    <row r="76" spans="1:8">
      <c r="A76" s="303"/>
      <c r="B76" s="341"/>
      <c r="C76" s="303"/>
      <c r="D76" s="317"/>
      <c r="E76" s="321"/>
      <c r="F76" s="331">
        <f t="shared" si="4"/>
        <v>0</v>
      </c>
      <c r="G76" s="327"/>
    </row>
    <row r="77" spans="1:8">
      <c r="A77" s="303"/>
      <c r="B77" s="341" t="s">
        <v>922</v>
      </c>
      <c r="C77" s="303">
        <v>132</v>
      </c>
      <c r="D77" s="317" t="s">
        <v>427</v>
      </c>
      <c r="E77" s="321">
        <v>300</v>
      </c>
      <c r="F77" s="331">
        <f t="shared" si="4"/>
        <v>39600</v>
      </c>
      <c r="G77" s="327"/>
      <c r="H77" s="1" t="s">
        <v>951</v>
      </c>
    </row>
    <row r="78" spans="1:8">
      <c r="A78" s="303"/>
      <c r="B78" s="341" t="s">
        <v>925</v>
      </c>
      <c r="C78" s="303">
        <v>219</v>
      </c>
      <c r="D78" s="317" t="s">
        <v>427</v>
      </c>
      <c r="E78" s="321">
        <v>150</v>
      </c>
      <c r="F78" s="331">
        <f t="shared" si="4"/>
        <v>32850</v>
      </c>
      <c r="G78" s="327" t="s">
        <v>926</v>
      </c>
      <c r="H78" s="1" t="s">
        <v>952</v>
      </c>
    </row>
    <row r="79" spans="1:8">
      <c r="A79" s="303">
        <v>4</v>
      </c>
      <c r="B79" s="342" t="s">
        <v>430</v>
      </c>
      <c r="C79" s="303">
        <v>0</v>
      </c>
      <c r="D79" s="317" t="s">
        <v>427</v>
      </c>
      <c r="E79" s="321">
        <v>100</v>
      </c>
      <c r="F79" s="331">
        <f t="shared" si="4"/>
        <v>0</v>
      </c>
      <c r="G79" s="327"/>
    </row>
    <row r="80" spans="1:8">
      <c r="A80" s="303">
        <v>5</v>
      </c>
      <c r="B80" s="342" t="s">
        <v>431</v>
      </c>
      <c r="C80" s="303">
        <v>0</v>
      </c>
      <c r="D80" s="317" t="s">
        <v>283</v>
      </c>
      <c r="E80" s="321">
        <v>30</v>
      </c>
      <c r="F80" s="331">
        <f t="shared" si="4"/>
        <v>0</v>
      </c>
      <c r="G80" s="327"/>
    </row>
    <row r="81" spans="1:7">
      <c r="A81" s="303">
        <v>6</v>
      </c>
      <c r="B81" s="342" t="s">
        <v>432</v>
      </c>
      <c r="C81" s="303">
        <v>0</v>
      </c>
      <c r="D81" s="317" t="s">
        <v>283</v>
      </c>
      <c r="E81" s="321">
        <v>30</v>
      </c>
      <c r="F81" s="331">
        <f t="shared" si="4"/>
        <v>0</v>
      </c>
      <c r="G81" s="327"/>
    </row>
    <row r="82" spans="1:7">
      <c r="A82" s="303">
        <f>A81+1</f>
        <v>7</v>
      </c>
      <c r="B82" s="342" t="s">
        <v>433</v>
      </c>
      <c r="C82" s="303">
        <v>0</v>
      </c>
      <c r="D82" s="317" t="s">
        <v>283</v>
      </c>
      <c r="E82" s="321">
        <v>30</v>
      </c>
      <c r="F82" s="331">
        <f t="shared" si="4"/>
        <v>0</v>
      </c>
      <c r="G82" s="327"/>
    </row>
    <row r="83" spans="1:7">
      <c r="A83" s="303">
        <f>A82+1</f>
        <v>8</v>
      </c>
      <c r="B83" s="342" t="s">
        <v>434</v>
      </c>
      <c r="C83" s="303">
        <v>0</v>
      </c>
      <c r="D83" s="317" t="s">
        <v>283</v>
      </c>
      <c r="E83" s="321">
        <v>0</v>
      </c>
      <c r="F83" s="331">
        <f t="shared" ref="F83:F91" si="5">E83*C83</f>
        <v>0</v>
      </c>
      <c r="G83" s="327" t="s">
        <v>422</v>
      </c>
    </row>
    <row r="84" spans="1:7">
      <c r="A84" s="303">
        <f t="shared" ref="A84:A91" si="6">A83+1</f>
        <v>9</v>
      </c>
      <c r="B84" s="342" t="s">
        <v>435</v>
      </c>
      <c r="C84" s="303">
        <v>0</v>
      </c>
      <c r="D84" s="317" t="s">
        <v>283</v>
      </c>
      <c r="E84" s="321">
        <v>25</v>
      </c>
      <c r="F84" s="331">
        <f t="shared" si="5"/>
        <v>0</v>
      </c>
      <c r="G84" s="327"/>
    </row>
    <row r="85" spans="1:7">
      <c r="A85" s="303">
        <f t="shared" si="6"/>
        <v>10</v>
      </c>
      <c r="B85" s="342" t="s">
        <v>436</v>
      </c>
      <c r="C85" s="303">
        <v>0</v>
      </c>
      <c r="D85" s="317" t="s">
        <v>429</v>
      </c>
      <c r="E85" s="321">
        <v>4000</v>
      </c>
      <c r="F85" s="331">
        <f t="shared" si="5"/>
        <v>0</v>
      </c>
      <c r="G85" s="327" t="s">
        <v>437</v>
      </c>
    </row>
    <row r="86" spans="1:7">
      <c r="A86" s="303">
        <f t="shared" si="6"/>
        <v>11</v>
      </c>
      <c r="B86" s="342" t="s">
        <v>438</v>
      </c>
      <c r="C86" s="303">
        <v>0</v>
      </c>
      <c r="D86" s="317" t="s">
        <v>412</v>
      </c>
      <c r="E86" s="321">
        <v>15000</v>
      </c>
      <c r="F86" s="331">
        <f t="shared" si="5"/>
        <v>0</v>
      </c>
      <c r="G86" s="327"/>
    </row>
    <row r="87" spans="1:7">
      <c r="A87" s="303">
        <f t="shared" si="6"/>
        <v>12</v>
      </c>
      <c r="B87" s="342" t="s">
        <v>439</v>
      </c>
      <c r="C87" s="303">
        <v>0</v>
      </c>
      <c r="D87" s="317" t="s">
        <v>283</v>
      </c>
      <c r="E87" s="321">
        <v>8</v>
      </c>
      <c r="F87" s="331">
        <f t="shared" si="5"/>
        <v>0</v>
      </c>
      <c r="G87" s="327"/>
    </row>
    <row r="88" spans="1:7">
      <c r="A88" s="303">
        <f t="shared" si="6"/>
        <v>13</v>
      </c>
      <c r="B88" s="342" t="s">
        <v>966</v>
      </c>
      <c r="C88" s="303">
        <v>0</v>
      </c>
      <c r="D88" s="317" t="s">
        <v>412</v>
      </c>
      <c r="E88" s="321">
        <v>10000</v>
      </c>
      <c r="F88" s="331">
        <f t="shared" si="5"/>
        <v>0</v>
      </c>
      <c r="G88" s="327"/>
    </row>
    <row r="89" spans="1:7">
      <c r="A89" s="303">
        <f t="shared" si="6"/>
        <v>14</v>
      </c>
      <c r="B89" s="342" t="s">
        <v>440</v>
      </c>
      <c r="C89" s="303">
        <v>0</v>
      </c>
      <c r="D89" s="317" t="s">
        <v>412</v>
      </c>
      <c r="E89" s="321">
        <v>35000</v>
      </c>
      <c r="F89" s="331">
        <f t="shared" si="5"/>
        <v>0</v>
      </c>
      <c r="G89" s="327"/>
    </row>
    <row r="90" spans="1:7">
      <c r="A90" s="303">
        <f t="shared" si="6"/>
        <v>15</v>
      </c>
      <c r="B90" s="342" t="s">
        <v>441</v>
      </c>
      <c r="C90" s="303">
        <v>0</v>
      </c>
      <c r="D90" s="317" t="s">
        <v>412</v>
      </c>
      <c r="E90" s="321">
        <v>25000</v>
      </c>
      <c r="F90" s="331">
        <f t="shared" si="5"/>
        <v>0</v>
      </c>
      <c r="G90" s="327"/>
    </row>
    <row r="91" spans="1:7">
      <c r="A91" s="303">
        <f t="shared" si="6"/>
        <v>16</v>
      </c>
      <c r="B91" s="342" t="s">
        <v>442</v>
      </c>
      <c r="C91" s="303">
        <v>0</v>
      </c>
      <c r="D91" s="317" t="s">
        <v>283</v>
      </c>
      <c r="E91" s="321">
        <v>50</v>
      </c>
      <c r="F91" s="331">
        <f t="shared" si="5"/>
        <v>0</v>
      </c>
      <c r="G91" s="327"/>
    </row>
    <row r="92" spans="1:7" ht="16" thickBot="1">
      <c r="A92" s="302"/>
      <c r="B92" s="302"/>
      <c r="C92" s="302"/>
      <c r="D92" s="316"/>
      <c r="E92" s="319"/>
      <c r="F92" s="330"/>
      <c r="G92" s="298"/>
    </row>
    <row r="93" spans="1:7" ht="16" thickBot="1">
      <c r="A93" s="335" t="s">
        <v>417</v>
      </c>
      <c r="B93" s="335" t="str">
        <f>B65</f>
        <v>CONCRETE</v>
      </c>
      <c r="C93" s="335"/>
      <c r="D93" s="336"/>
      <c r="E93" s="337"/>
      <c r="F93" s="338">
        <f>SUM(F64:F92)</f>
        <v>177450</v>
      </c>
      <c r="G93" s="339"/>
    </row>
    <row r="94" spans="1:7">
      <c r="A94" s="302"/>
      <c r="B94" s="302"/>
      <c r="C94" s="302"/>
      <c r="D94" s="316"/>
      <c r="E94" s="319"/>
      <c r="F94" s="330"/>
      <c r="G94" s="298"/>
    </row>
    <row r="95" spans="1:7">
      <c r="A95" s="301" t="s">
        <v>319</v>
      </c>
      <c r="B95" s="308" t="s">
        <v>320</v>
      </c>
      <c r="C95" s="302"/>
      <c r="D95" s="316"/>
      <c r="E95" s="319"/>
      <c r="F95" s="330"/>
      <c r="G95" s="298"/>
    </row>
    <row r="96" spans="1:7">
      <c r="A96" s="301"/>
      <c r="B96" s="308" t="s">
        <v>824</v>
      </c>
      <c r="C96" s="302"/>
      <c r="D96" s="316"/>
      <c r="E96" s="319"/>
      <c r="F96" s="330"/>
      <c r="G96" s="298"/>
    </row>
    <row r="97" spans="1:7">
      <c r="A97" s="302">
        <v>1</v>
      </c>
      <c r="B97" s="340" t="s">
        <v>825</v>
      </c>
      <c r="C97" s="703">
        <v>9972</v>
      </c>
      <c r="D97" s="316" t="s">
        <v>283</v>
      </c>
      <c r="E97" s="319">
        <v>10</v>
      </c>
      <c r="F97" s="330">
        <f>C97*E97</f>
        <v>99720</v>
      </c>
      <c r="G97" s="298"/>
    </row>
    <row r="98" spans="1:7">
      <c r="A98" s="302"/>
      <c r="B98" s="340" t="s">
        <v>896</v>
      </c>
      <c r="C98" s="302">
        <v>2022</v>
      </c>
      <c r="D98" s="316" t="s">
        <v>283</v>
      </c>
      <c r="E98" s="319"/>
      <c r="F98" s="330"/>
      <c r="G98" s="298"/>
    </row>
    <row r="99" spans="1:7">
      <c r="A99" s="302"/>
      <c r="B99" s="340" t="s">
        <v>907</v>
      </c>
      <c r="C99" s="302">
        <v>34</v>
      </c>
      <c r="D99" s="316" t="s">
        <v>283</v>
      </c>
      <c r="E99" s="319"/>
      <c r="F99" s="330"/>
      <c r="G99" s="298"/>
    </row>
    <row r="100" spans="1:7">
      <c r="A100" s="302"/>
      <c r="B100" s="340" t="s">
        <v>905</v>
      </c>
      <c r="C100" s="302"/>
      <c r="D100" s="316"/>
      <c r="E100" s="319"/>
      <c r="F100" s="330"/>
      <c r="G100" s="298"/>
    </row>
    <row r="101" spans="1:7">
      <c r="A101" s="302"/>
      <c r="B101" s="340" t="s">
        <v>906</v>
      </c>
      <c r="C101" s="302"/>
      <c r="D101" s="316"/>
      <c r="E101" s="319"/>
      <c r="F101" s="330"/>
      <c r="G101" s="298"/>
    </row>
    <row r="102" spans="1:7">
      <c r="A102" s="302"/>
      <c r="B102" s="340" t="s">
        <v>897</v>
      </c>
      <c r="C102" s="302"/>
      <c r="D102" s="316"/>
      <c r="E102" s="319"/>
      <c r="F102" s="330"/>
      <c r="G102" s="298"/>
    </row>
    <row r="103" spans="1:7">
      <c r="A103" s="302"/>
      <c r="B103" s="340" t="s">
        <v>904</v>
      </c>
      <c r="C103" s="302"/>
      <c r="D103" s="316"/>
      <c r="E103" s="319"/>
      <c r="F103" s="330"/>
      <c r="G103" s="298"/>
    </row>
    <row r="104" spans="1:7">
      <c r="A104" s="302"/>
      <c r="B104" s="340"/>
      <c r="C104" s="302"/>
      <c r="D104" s="316"/>
      <c r="E104" s="319"/>
      <c r="F104" s="330"/>
      <c r="G104" s="298"/>
    </row>
    <row r="105" spans="1:7">
      <c r="A105" s="302"/>
      <c r="B105" s="340" t="s">
        <v>903</v>
      </c>
      <c r="C105" s="302">
        <v>0</v>
      </c>
      <c r="D105" s="316" t="s">
        <v>283</v>
      </c>
      <c r="E105" s="319">
        <v>35</v>
      </c>
      <c r="F105" s="330"/>
      <c r="G105" s="298"/>
    </row>
    <row r="106" spans="1:7" ht="16" customHeight="1">
      <c r="A106" s="302"/>
      <c r="B106" s="340" t="s">
        <v>898</v>
      </c>
      <c r="C106" s="302"/>
      <c r="D106" s="316"/>
      <c r="E106" s="319"/>
      <c r="F106" s="330"/>
      <c r="G106" s="298"/>
    </row>
    <row r="107" spans="1:7" ht="16" customHeight="1">
      <c r="A107" s="302"/>
      <c r="B107" s="340" t="s">
        <v>902</v>
      </c>
      <c r="C107" s="302"/>
      <c r="D107" s="316"/>
      <c r="E107" s="319"/>
      <c r="F107" s="330"/>
      <c r="G107" s="298"/>
    </row>
    <row r="108" spans="1:7" ht="16" customHeight="1">
      <c r="A108" s="302"/>
      <c r="B108" s="340" t="s">
        <v>899</v>
      </c>
      <c r="C108" s="302"/>
      <c r="D108" s="316"/>
      <c r="E108" s="319"/>
      <c r="F108" s="330"/>
      <c r="G108" s="298"/>
    </row>
    <row r="109" spans="1:7" ht="16" customHeight="1">
      <c r="A109" s="302"/>
      <c r="B109" s="340" t="s">
        <v>901</v>
      </c>
      <c r="C109" s="302"/>
      <c r="D109" s="316"/>
      <c r="E109" s="319"/>
      <c r="F109" s="330"/>
      <c r="G109" s="298"/>
    </row>
    <row r="110" spans="1:7" ht="16" customHeight="1">
      <c r="A110" s="302"/>
      <c r="B110" s="340" t="s">
        <v>900</v>
      </c>
      <c r="C110" s="302"/>
      <c r="D110" s="316"/>
      <c r="E110" s="319"/>
      <c r="F110" s="330"/>
      <c r="G110" s="298"/>
    </row>
    <row r="111" spans="1:7" ht="16" customHeight="1">
      <c r="A111" s="302"/>
      <c r="B111" s="340" t="s">
        <v>908</v>
      </c>
      <c r="C111" s="302">
        <v>3220</v>
      </c>
      <c r="D111" s="316" t="s">
        <v>283</v>
      </c>
      <c r="E111" s="319">
        <v>35</v>
      </c>
      <c r="F111" s="330">
        <f t="shared" ref="F111:F112" si="7">C111*E111</f>
        <v>112700</v>
      </c>
      <c r="G111" s="298"/>
    </row>
    <row r="112" spans="1:7" ht="16" customHeight="1">
      <c r="A112" s="302"/>
      <c r="B112" s="340" t="s">
        <v>909</v>
      </c>
      <c r="C112" s="302">
        <v>2977</v>
      </c>
      <c r="D112" s="316" t="s">
        <v>283</v>
      </c>
      <c r="E112" s="319">
        <v>35</v>
      </c>
      <c r="F112" s="330">
        <f t="shared" si="7"/>
        <v>104195</v>
      </c>
      <c r="G112" s="298"/>
    </row>
    <row r="113" spans="1:7">
      <c r="A113" s="302"/>
      <c r="B113" s="340" t="s">
        <v>443</v>
      </c>
      <c r="C113" s="302">
        <v>6097</v>
      </c>
      <c r="D113" s="316" t="s">
        <v>283</v>
      </c>
      <c r="E113" s="319">
        <v>35</v>
      </c>
      <c r="F113" s="330">
        <f>C113*E113</f>
        <v>213395</v>
      </c>
      <c r="G113" s="298"/>
    </row>
    <row r="114" spans="1:7">
      <c r="A114" s="302">
        <v>2</v>
      </c>
      <c r="B114" s="340" t="s">
        <v>444</v>
      </c>
      <c r="C114" s="302">
        <v>0</v>
      </c>
      <c r="D114" s="316" t="s">
        <v>283</v>
      </c>
      <c r="E114" s="319">
        <v>35</v>
      </c>
      <c r="F114" s="330">
        <f>C114*E114</f>
        <v>0</v>
      </c>
      <c r="G114" s="298"/>
    </row>
    <row r="115" spans="1:7">
      <c r="A115" s="302">
        <v>3</v>
      </c>
      <c r="B115" s="340" t="s">
        <v>445</v>
      </c>
      <c r="C115" s="302">
        <v>0</v>
      </c>
      <c r="D115" s="316" t="s">
        <v>283</v>
      </c>
      <c r="E115" s="319">
        <v>70</v>
      </c>
      <c r="F115" s="330">
        <f>C115*E115</f>
        <v>0</v>
      </c>
      <c r="G115" s="298"/>
    </row>
    <row r="116" spans="1:7">
      <c r="A116" s="302">
        <v>4</v>
      </c>
      <c r="B116" s="340" t="s">
        <v>446</v>
      </c>
      <c r="C116" s="302">
        <v>0</v>
      </c>
      <c r="D116" s="316" t="s">
        <v>283</v>
      </c>
      <c r="E116" s="319">
        <v>10</v>
      </c>
      <c r="F116" s="330">
        <f>E116*C116</f>
        <v>0</v>
      </c>
      <c r="G116" s="298"/>
    </row>
    <row r="117" spans="1:7">
      <c r="A117" s="302">
        <v>5</v>
      </c>
      <c r="B117" s="340" t="s">
        <v>447</v>
      </c>
      <c r="C117" s="302">
        <v>0</v>
      </c>
      <c r="D117" s="316" t="s">
        <v>412</v>
      </c>
      <c r="E117" s="319">
        <v>5000</v>
      </c>
      <c r="F117" s="330">
        <f>E117*C117</f>
        <v>0</v>
      </c>
      <c r="G117" s="298"/>
    </row>
    <row r="118" spans="1:7" ht="16" thickBot="1">
      <c r="A118" s="302"/>
      <c r="B118" s="302"/>
      <c r="C118" s="302"/>
      <c r="D118" s="316"/>
      <c r="E118" s="319"/>
      <c r="F118" s="330"/>
      <c r="G118" s="298"/>
    </row>
    <row r="119" spans="1:7" ht="16" thickBot="1">
      <c r="A119" s="335" t="s">
        <v>417</v>
      </c>
      <c r="B119" s="335" t="str">
        <f>B95</f>
        <v>MASONRY</v>
      </c>
      <c r="C119" s="335"/>
      <c r="D119" s="336"/>
      <c r="E119" s="337"/>
      <c r="F119" s="338">
        <f>SUM(F94:F118)</f>
        <v>530010</v>
      </c>
      <c r="G119" s="339"/>
    </row>
    <row r="120" spans="1:7">
      <c r="A120" s="302"/>
      <c r="B120" s="302"/>
      <c r="C120" s="302"/>
      <c r="D120" s="316"/>
      <c r="E120" s="319"/>
      <c r="F120" s="330"/>
      <c r="G120" s="298"/>
    </row>
    <row r="121" spans="1:7">
      <c r="A121" s="301" t="s">
        <v>448</v>
      </c>
      <c r="B121" s="308" t="s">
        <v>322</v>
      </c>
      <c r="C121" s="302"/>
      <c r="D121" s="316"/>
      <c r="E121" s="319"/>
      <c r="F121" s="330"/>
      <c r="G121" s="298"/>
    </row>
    <row r="122" spans="1:7">
      <c r="A122" s="302">
        <v>1</v>
      </c>
      <c r="B122" s="340" t="s">
        <v>1034</v>
      </c>
      <c r="C122" s="302">
        <f>5420+495+527</f>
        <v>6442</v>
      </c>
      <c r="D122" s="316" t="s">
        <v>283</v>
      </c>
      <c r="E122" s="319">
        <v>45</v>
      </c>
      <c r="F122" s="330">
        <f>E122*C122</f>
        <v>289890</v>
      </c>
      <c r="G122" s="298"/>
    </row>
    <row r="123" spans="1:7">
      <c r="A123" s="302">
        <v>2</v>
      </c>
      <c r="B123" s="340" t="s">
        <v>1035</v>
      </c>
      <c r="C123" s="302">
        <v>1614</v>
      </c>
      <c r="D123" s="316" t="s">
        <v>283</v>
      </c>
      <c r="E123" s="319">
        <v>45</v>
      </c>
      <c r="F123" s="330">
        <f t="shared" ref="F123:F125" si="8">E123*C123</f>
        <v>72630</v>
      </c>
      <c r="G123" s="298"/>
    </row>
    <row r="124" spans="1:7">
      <c r="A124" s="302">
        <v>3</v>
      </c>
      <c r="B124" s="340" t="s">
        <v>1036</v>
      </c>
      <c r="C124" s="302">
        <f>1545+271</f>
        <v>1816</v>
      </c>
      <c r="D124" s="316" t="s">
        <v>283</v>
      </c>
      <c r="E124" s="319">
        <v>45</v>
      </c>
      <c r="F124" s="330">
        <f t="shared" si="8"/>
        <v>81720</v>
      </c>
      <c r="G124" s="298"/>
    </row>
    <row r="125" spans="1:7">
      <c r="A125" s="302">
        <v>4</v>
      </c>
      <c r="B125" s="340" t="s">
        <v>1039</v>
      </c>
      <c r="C125" s="302">
        <v>4268</v>
      </c>
      <c r="D125" s="316" t="s">
        <v>283</v>
      </c>
      <c r="E125" s="319">
        <v>75</v>
      </c>
      <c r="F125" s="330">
        <f t="shared" si="8"/>
        <v>320100</v>
      </c>
      <c r="G125" s="298"/>
    </row>
    <row r="126" spans="1:7" ht="16" thickBot="1">
      <c r="A126" s="302"/>
      <c r="B126" s="302"/>
      <c r="C126" s="302"/>
      <c r="D126" s="316"/>
      <c r="E126" s="319"/>
      <c r="F126" s="330"/>
      <c r="G126" s="298"/>
    </row>
    <row r="127" spans="1:7" ht="16" thickBot="1">
      <c r="A127" s="335" t="s">
        <v>417</v>
      </c>
      <c r="B127" s="335" t="str">
        <f>B121</f>
        <v>STONE &amp; CERAMICS</v>
      </c>
      <c r="C127" s="335"/>
      <c r="D127" s="336"/>
      <c r="E127" s="337"/>
      <c r="F127" s="338">
        <f>SUM(F120:F126)</f>
        <v>764340</v>
      </c>
      <c r="G127" s="339"/>
    </row>
    <row r="128" spans="1:7">
      <c r="A128" s="302"/>
      <c r="B128" s="302"/>
      <c r="C128" s="302"/>
      <c r="D128" s="316"/>
      <c r="E128" s="320"/>
      <c r="F128" s="330"/>
      <c r="G128" s="298"/>
    </row>
    <row r="129" spans="1:7">
      <c r="A129" s="301" t="s">
        <v>323</v>
      </c>
      <c r="B129" s="308" t="s">
        <v>399</v>
      </c>
      <c r="C129" s="302"/>
      <c r="D129" s="316"/>
      <c r="E129" s="319"/>
      <c r="F129" s="330"/>
      <c r="G129" s="298"/>
    </row>
    <row r="130" spans="1:7">
      <c r="A130" s="302">
        <v>1</v>
      </c>
      <c r="B130" s="340" t="s">
        <v>449</v>
      </c>
      <c r="C130" s="302">
        <v>0</v>
      </c>
      <c r="D130" s="316" t="s">
        <v>283</v>
      </c>
      <c r="E130" s="319">
        <v>5</v>
      </c>
      <c r="F130" s="330">
        <f>C130*E130</f>
        <v>0</v>
      </c>
      <c r="G130" s="298"/>
    </row>
    <row r="131" spans="1:7">
      <c r="A131" s="302">
        <v>2</v>
      </c>
      <c r="B131" s="340" t="s">
        <v>450</v>
      </c>
      <c r="C131" s="302">
        <v>0</v>
      </c>
      <c r="D131" s="316" t="s">
        <v>451</v>
      </c>
      <c r="E131" s="319">
        <v>6000</v>
      </c>
      <c r="F131" s="330">
        <f>C131*E131</f>
        <v>0</v>
      </c>
      <c r="G131" s="298"/>
    </row>
    <row r="132" spans="1:7">
      <c r="A132" s="302">
        <v>3</v>
      </c>
      <c r="B132" s="340" t="s">
        <v>452</v>
      </c>
      <c r="C132" s="302">
        <v>0</v>
      </c>
      <c r="D132" s="316" t="s">
        <v>283</v>
      </c>
      <c r="E132" s="319">
        <v>4</v>
      </c>
      <c r="F132" s="330">
        <f>E132*C132</f>
        <v>0</v>
      </c>
      <c r="G132" s="298"/>
    </row>
    <row r="133" spans="1:7">
      <c r="A133" s="302"/>
      <c r="B133" s="340" t="s">
        <v>834</v>
      </c>
      <c r="C133" s="302"/>
      <c r="D133" s="316"/>
      <c r="E133" s="319"/>
      <c r="F133" s="330"/>
      <c r="G133" s="298"/>
    </row>
    <row r="134" spans="1:7">
      <c r="A134" s="302"/>
      <c r="B134" s="340"/>
      <c r="C134" s="302"/>
      <c r="D134" s="316"/>
      <c r="E134" s="319"/>
      <c r="F134" s="330"/>
      <c r="G134" s="298"/>
    </row>
    <row r="135" spans="1:7">
      <c r="A135" s="302"/>
      <c r="B135" s="340"/>
      <c r="C135" s="302"/>
      <c r="D135" s="316"/>
      <c r="E135" s="319"/>
      <c r="F135" s="330"/>
      <c r="G135" s="298"/>
    </row>
    <row r="136" spans="1:7">
      <c r="A136" s="302"/>
      <c r="B136" s="340" t="s">
        <v>835</v>
      </c>
      <c r="C136" s="302"/>
      <c r="D136" s="316"/>
      <c r="E136" s="319"/>
      <c r="F136" s="330"/>
      <c r="G136" s="298"/>
    </row>
    <row r="137" spans="1:7">
      <c r="A137" s="302"/>
      <c r="B137" s="340"/>
      <c r="C137" s="302"/>
      <c r="D137" s="316"/>
      <c r="E137" s="319"/>
      <c r="F137" s="330"/>
      <c r="G137" s="298"/>
    </row>
    <row r="138" spans="1:7">
      <c r="A138" s="302">
        <v>4</v>
      </c>
      <c r="B138" s="343" t="s">
        <v>453</v>
      </c>
      <c r="C138" s="302">
        <v>0</v>
      </c>
      <c r="D138" s="316" t="s">
        <v>451</v>
      </c>
      <c r="E138" s="319">
        <v>6000</v>
      </c>
      <c r="F138" s="330">
        <f>E138*C138</f>
        <v>0</v>
      </c>
      <c r="G138" s="298"/>
    </row>
    <row r="139" spans="1:7">
      <c r="A139" s="302">
        <v>5</v>
      </c>
      <c r="B139" s="340" t="s">
        <v>454</v>
      </c>
      <c r="C139" s="302">
        <v>0</v>
      </c>
      <c r="D139" s="316" t="s">
        <v>451</v>
      </c>
      <c r="E139" s="319">
        <v>6000</v>
      </c>
      <c r="F139" s="330">
        <f>E139*C139</f>
        <v>0</v>
      </c>
      <c r="G139" s="298"/>
    </row>
    <row r="140" spans="1:7">
      <c r="A140" s="302">
        <v>6</v>
      </c>
      <c r="B140" s="340" t="s">
        <v>455</v>
      </c>
      <c r="C140" s="302">
        <v>0</v>
      </c>
      <c r="D140" s="316" t="s">
        <v>456</v>
      </c>
      <c r="E140" s="319">
        <v>8</v>
      </c>
      <c r="F140" s="330">
        <f>C140*E140</f>
        <v>0</v>
      </c>
      <c r="G140" s="298"/>
    </row>
    <row r="141" spans="1:7">
      <c r="A141" s="302">
        <v>7</v>
      </c>
      <c r="B141" s="340" t="s">
        <v>457</v>
      </c>
      <c r="C141" s="302">
        <v>0</v>
      </c>
      <c r="D141" s="316" t="s">
        <v>429</v>
      </c>
      <c r="E141" s="319">
        <v>13000</v>
      </c>
      <c r="F141" s="330">
        <f>C141*E141</f>
        <v>0</v>
      </c>
      <c r="G141" s="298"/>
    </row>
    <row r="142" spans="1:7">
      <c r="A142" s="302">
        <v>8</v>
      </c>
      <c r="B142" s="340" t="s">
        <v>458</v>
      </c>
      <c r="C142" s="302">
        <v>0</v>
      </c>
      <c r="D142" s="316" t="s">
        <v>459</v>
      </c>
      <c r="E142" s="319">
        <v>20000</v>
      </c>
      <c r="F142" s="330">
        <f t="shared" ref="F142:F149" si="9">C142*E142</f>
        <v>0</v>
      </c>
      <c r="G142" s="298"/>
    </row>
    <row r="143" spans="1:7">
      <c r="A143" s="302">
        <v>9</v>
      </c>
      <c r="B143" s="340" t="s">
        <v>460</v>
      </c>
      <c r="C143" s="302">
        <v>0</v>
      </c>
      <c r="D143" s="316" t="s">
        <v>412</v>
      </c>
      <c r="E143" s="319">
        <v>25000</v>
      </c>
      <c r="F143" s="330">
        <f t="shared" si="9"/>
        <v>0</v>
      </c>
      <c r="G143" s="298"/>
    </row>
    <row r="144" spans="1:7">
      <c r="A144" s="302">
        <v>10</v>
      </c>
      <c r="B144" s="340" t="s">
        <v>461</v>
      </c>
      <c r="C144" s="302">
        <v>0</v>
      </c>
      <c r="D144" s="316" t="s">
        <v>462</v>
      </c>
      <c r="E144" s="319">
        <v>30000</v>
      </c>
      <c r="F144" s="330">
        <f t="shared" si="9"/>
        <v>0</v>
      </c>
      <c r="G144" s="298"/>
    </row>
    <row r="145" spans="1:7">
      <c r="A145" s="302">
        <v>11</v>
      </c>
      <c r="B145" s="340" t="s">
        <v>463</v>
      </c>
      <c r="C145" s="302">
        <v>0</v>
      </c>
      <c r="D145" s="316" t="s">
        <v>283</v>
      </c>
      <c r="E145" s="319">
        <v>35</v>
      </c>
      <c r="F145" s="330">
        <f t="shared" si="9"/>
        <v>0</v>
      </c>
      <c r="G145" s="298"/>
    </row>
    <row r="146" spans="1:7">
      <c r="A146" s="302">
        <v>12</v>
      </c>
      <c r="B146" s="340" t="s">
        <v>464</v>
      </c>
      <c r="C146" s="302">
        <v>0</v>
      </c>
      <c r="D146" s="316" t="s">
        <v>427</v>
      </c>
      <c r="E146" s="319">
        <v>500</v>
      </c>
      <c r="F146" s="330">
        <f t="shared" si="9"/>
        <v>0</v>
      </c>
      <c r="G146" s="298"/>
    </row>
    <row r="147" spans="1:7">
      <c r="A147" s="302">
        <v>13</v>
      </c>
      <c r="B147" s="340" t="s">
        <v>465</v>
      </c>
      <c r="C147" s="302">
        <v>0</v>
      </c>
      <c r="D147" s="316" t="s">
        <v>427</v>
      </c>
      <c r="E147" s="319">
        <v>275</v>
      </c>
      <c r="F147" s="330">
        <f t="shared" si="9"/>
        <v>0</v>
      </c>
      <c r="G147" s="298"/>
    </row>
    <row r="148" spans="1:7">
      <c r="A148" s="302">
        <v>14</v>
      </c>
      <c r="B148" s="340" t="s">
        <v>466</v>
      </c>
      <c r="C148" s="302">
        <v>0</v>
      </c>
      <c r="D148" s="316" t="s">
        <v>412</v>
      </c>
      <c r="E148" s="319">
        <v>10000</v>
      </c>
      <c r="F148" s="330">
        <f t="shared" si="9"/>
        <v>0</v>
      </c>
      <c r="G148" s="298"/>
    </row>
    <row r="149" spans="1:7">
      <c r="A149" s="302">
        <v>15</v>
      </c>
      <c r="B149" s="340" t="s">
        <v>467</v>
      </c>
      <c r="C149" s="302">
        <v>0</v>
      </c>
      <c r="D149" s="316" t="s">
        <v>412</v>
      </c>
      <c r="E149" s="319">
        <v>15000</v>
      </c>
      <c r="F149" s="330">
        <f t="shared" si="9"/>
        <v>0</v>
      </c>
      <c r="G149" s="298"/>
    </row>
    <row r="150" spans="1:7" ht="16" thickBot="1">
      <c r="A150" s="302"/>
      <c r="B150" s="302"/>
      <c r="C150" s="302"/>
      <c r="D150" s="316"/>
      <c r="E150" s="319"/>
      <c r="F150" s="330"/>
      <c r="G150" s="298"/>
    </row>
    <row r="151" spans="1:7" ht="16" thickBot="1">
      <c r="A151" s="335" t="s">
        <v>417</v>
      </c>
      <c r="B151" s="335" t="str">
        <f>B129</f>
        <v>STRUCTURAL STEEL &amp; MISC METALS</v>
      </c>
      <c r="C151" s="335"/>
      <c r="D151" s="336"/>
      <c r="E151" s="337"/>
      <c r="F151" s="338">
        <f>SUM(F128:F150)</f>
        <v>0</v>
      </c>
      <c r="G151" s="339"/>
    </row>
    <row r="152" spans="1:7">
      <c r="A152" s="302"/>
      <c r="B152" s="302"/>
      <c r="C152" s="302"/>
      <c r="D152" s="316"/>
      <c r="E152" s="319"/>
      <c r="F152" s="330"/>
      <c r="G152" s="298"/>
    </row>
    <row r="153" spans="1:7">
      <c r="A153" s="305" t="s">
        <v>468</v>
      </c>
      <c r="B153" s="308" t="s">
        <v>469</v>
      </c>
      <c r="C153" s="302"/>
      <c r="D153" s="316"/>
      <c r="E153" s="319"/>
      <c r="F153" s="330"/>
      <c r="G153" s="298"/>
    </row>
    <row r="154" spans="1:7">
      <c r="A154" s="302">
        <v>1</v>
      </c>
      <c r="B154" s="340" t="s">
        <v>470</v>
      </c>
      <c r="C154" s="302">
        <v>0</v>
      </c>
      <c r="D154" s="316" t="s">
        <v>412</v>
      </c>
      <c r="E154" s="319">
        <v>35000</v>
      </c>
      <c r="F154" s="330">
        <f t="shared" ref="F154:F158" si="10">C154*E154</f>
        <v>0</v>
      </c>
      <c r="G154" s="298"/>
    </row>
    <row r="155" spans="1:7">
      <c r="A155" s="302">
        <f>1+A154</f>
        <v>2</v>
      </c>
      <c r="B155" s="340" t="s">
        <v>471</v>
      </c>
      <c r="C155" s="302">
        <v>0</v>
      </c>
      <c r="D155" s="316" t="s">
        <v>412</v>
      </c>
      <c r="E155" s="319">
        <v>30000</v>
      </c>
      <c r="F155" s="330">
        <f t="shared" si="10"/>
        <v>0</v>
      </c>
      <c r="G155" s="298"/>
    </row>
    <row r="156" spans="1:7">
      <c r="A156" s="302">
        <v>2</v>
      </c>
      <c r="B156" s="340" t="s">
        <v>472</v>
      </c>
      <c r="C156" s="302">
        <v>0</v>
      </c>
      <c r="D156" s="316" t="s">
        <v>283</v>
      </c>
      <c r="E156" s="319">
        <v>40</v>
      </c>
      <c r="F156" s="330">
        <f t="shared" si="10"/>
        <v>0</v>
      </c>
      <c r="G156" s="298"/>
    </row>
    <row r="157" spans="1:7">
      <c r="A157" s="302">
        <f t="shared" ref="A157" si="11">1+A156</f>
        <v>3</v>
      </c>
      <c r="B157" s="340" t="s">
        <v>473</v>
      </c>
      <c r="C157" s="302">
        <v>0</v>
      </c>
      <c r="D157" s="316" t="s">
        <v>283</v>
      </c>
      <c r="E157" s="319">
        <v>2</v>
      </c>
      <c r="F157" s="330">
        <f t="shared" si="10"/>
        <v>0</v>
      </c>
      <c r="G157" s="298"/>
    </row>
    <row r="158" spans="1:7">
      <c r="A158" s="302">
        <v>3</v>
      </c>
      <c r="B158" s="340" t="s">
        <v>474</v>
      </c>
      <c r="C158" s="302">
        <v>0</v>
      </c>
      <c r="D158" s="316" t="s">
        <v>283</v>
      </c>
      <c r="E158" s="319">
        <v>5</v>
      </c>
      <c r="F158" s="330">
        <f t="shared" si="10"/>
        <v>0</v>
      </c>
      <c r="G158" s="298"/>
    </row>
    <row r="159" spans="1:7" ht="16" thickBot="1">
      <c r="A159" s="302"/>
      <c r="B159" s="302"/>
      <c r="C159" s="302"/>
      <c r="D159" s="316"/>
      <c r="E159" s="319"/>
      <c r="F159" s="330"/>
      <c r="G159" s="298"/>
    </row>
    <row r="160" spans="1:7" ht="16" thickBot="1">
      <c r="A160" s="335" t="s">
        <v>417</v>
      </c>
      <c r="B160" s="335" t="str">
        <f>B153</f>
        <v>Rough Carpentry/OSHA Protection</v>
      </c>
      <c r="C160" s="335"/>
      <c r="D160" s="336"/>
      <c r="E160" s="337"/>
      <c r="F160" s="338">
        <f>SUM(F152:F159)</f>
        <v>0</v>
      </c>
      <c r="G160" s="339"/>
    </row>
    <row r="161" spans="1:7">
      <c r="A161" s="306"/>
      <c r="B161" s="306"/>
      <c r="C161" s="310"/>
      <c r="D161" s="318"/>
      <c r="E161" s="322"/>
      <c r="F161" s="332"/>
      <c r="G161" s="299"/>
    </row>
    <row r="162" spans="1:7">
      <c r="A162" s="301" t="s">
        <v>326</v>
      </c>
      <c r="B162" s="308" t="s">
        <v>475</v>
      </c>
      <c r="C162" s="302"/>
      <c r="D162" s="316"/>
      <c r="E162" s="319"/>
      <c r="F162" s="330"/>
      <c r="G162" s="298"/>
    </row>
    <row r="163" spans="1:7">
      <c r="A163" s="302">
        <v>1</v>
      </c>
      <c r="B163" s="340" t="s">
        <v>476</v>
      </c>
      <c r="C163" s="302">
        <v>0</v>
      </c>
      <c r="D163" s="316" t="s">
        <v>427</v>
      </c>
      <c r="E163" s="319">
        <v>2000</v>
      </c>
      <c r="F163" s="330">
        <f t="shared" ref="F163:F172" si="12">C163*E163</f>
        <v>0</v>
      </c>
      <c r="G163" s="298"/>
    </row>
    <row r="164" spans="1:7">
      <c r="A164" s="302">
        <v>2</v>
      </c>
      <c r="B164" s="340" t="s">
        <v>477</v>
      </c>
      <c r="C164" s="302">
        <v>0</v>
      </c>
      <c r="D164" s="316" t="s">
        <v>427</v>
      </c>
      <c r="E164" s="319">
        <v>2000</v>
      </c>
      <c r="F164" s="330">
        <f t="shared" si="12"/>
        <v>0</v>
      </c>
      <c r="G164" s="298"/>
    </row>
    <row r="165" spans="1:7">
      <c r="A165" s="302">
        <f>A164+1</f>
        <v>3</v>
      </c>
      <c r="B165" s="340" t="s">
        <v>478</v>
      </c>
      <c r="C165" s="302">
        <v>0</v>
      </c>
      <c r="D165" s="316" t="s">
        <v>427</v>
      </c>
      <c r="E165" s="319">
        <v>2000</v>
      </c>
      <c r="F165" s="330">
        <f t="shared" si="12"/>
        <v>0</v>
      </c>
      <c r="G165" s="298"/>
    </row>
    <row r="166" spans="1:7">
      <c r="A166" s="302">
        <f t="shared" ref="A166:A180" si="13">A165+1</f>
        <v>4</v>
      </c>
      <c r="B166" s="340" t="s">
        <v>479</v>
      </c>
      <c r="C166" s="302">
        <v>0</v>
      </c>
      <c r="D166" s="316" t="s">
        <v>427</v>
      </c>
      <c r="E166" s="319">
        <v>2000</v>
      </c>
      <c r="F166" s="330">
        <f t="shared" si="12"/>
        <v>0</v>
      </c>
      <c r="G166" s="298"/>
    </row>
    <row r="167" spans="1:7">
      <c r="A167" s="302">
        <f t="shared" si="13"/>
        <v>5</v>
      </c>
      <c r="B167" s="340" t="s">
        <v>480</v>
      </c>
      <c r="C167" s="302">
        <v>0</v>
      </c>
      <c r="D167" s="316" t="s">
        <v>427</v>
      </c>
      <c r="E167" s="319">
        <v>2000</v>
      </c>
      <c r="F167" s="330">
        <f t="shared" si="12"/>
        <v>0</v>
      </c>
      <c r="G167" s="298"/>
    </row>
    <row r="168" spans="1:7">
      <c r="A168" s="302">
        <f t="shared" si="13"/>
        <v>6</v>
      </c>
      <c r="B168" s="340" t="s">
        <v>481</v>
      </c>
      <c r="C168" s="302">
        <v>0</v>
      </c>
      <c r="D168" s="316" t="s">
        <v>427</v>
      </c>
      <c r="E168" s="319">
        <v>2000</v>
      </c>
      <c r="F168" s="330">
        <f>C168*E168</f>
        <v>0</v>
      </c>
      <c r="G168" s="298"/>
    </row>
    <row r="169" spans="1:7">
      <c r="A169" s="302">
        <f t="shared" si="13"/>
        <v>7</v>
      </c>
      <c r="B169" s="340" t="s">
        <v>482</v>
      </c>
      <c r="C169" s="302">
        <v>0</v>
      </c>
      <c r="D169" s="316" t="s">
        <v>427</v>
      </c>
      <c r="E169" s="319">
        <v>2000</v>
      </c>
      <c r="F169" s="330">
        <f t="shared" si="12"/>
        <v>0</v>
      </c>
      <c r="G169" s="298"/>
    </row>
    <row r="170" spans="1:7">
      <c r="A170" s="302">
        <f t="shared" si="13"/>
        <v>8</v>
      </c>
      <c r="B170" s="340" t="s">
        <v>483</v>
      </c>
      <c r="C170" s="302">
        <v>0</v>
      </c>
      <c r="D170" s="316" t="s">
        <v>427</v>
      </c>
      <c r="E170" s="319">
        <v>2000</v>
      </c>
      <c r="F170" s="330">
        <f t="shared" si="12"/>
        <v>0</v>
      </c>
      <c r="G170" s="298"/>
    </row>
    <row r="171" spans="1:7">
      <c r="A171" s="302">
        <f t="shared" si="13"/>
        <v>9</v>
      </c>
      <c r="B171" s="340" t="s">
        <v>484</v>
      </c>
      <c r="C171" s="302">
        <v>0</v>
      </c>
      <c r="D171" s="316" t="s">
        <v>429</v>
      </c>
      <c r="E171" s="319">
        <v>10000</v>
      </c>
      <c r="F171" s="330">
        <f t="shared" si="12"/>
        <v>0</v>
      </c>
      <c r="G171" s="298"/>
    </row>
    <row r="172" spans="1:7">
      <c r="A172" s="302">
        <f t="shared" si="13"/>
        <v>10</v>
      </c>
      <c r="B172" s="340" t="s">
        <v>485</v>
      </c>
      <c r="C172" s="302">
        <v>0</v>
      </c>
      <c r="D172" s="316" t="s">
        <v>427</v>
      </c>
      <c r="E172" s="319">
        <v>350</v>
      </c>
      <c r="F172" s="330">
        <f t="shared" si="12"/>
        <v>0</v>
      </c>
      <c r="G172" s="298"/>
    </row>
    <row r="173" spans="1:7">
      <c r="A173" s="302">
        <f t="shared" si="13"/>
        <v>11</v>
      </c>
      <c r="B173" s="340" t="s">
        <v>486</v>
      </c>
      <c r="C173" s="302">
        <v>0</v>
      </c>
      <c r="D173" s="316" t="s">
        <v>427</v>
      </c>
      <c r="E173" s="319">
        <v>400</v>
      </c>
      <c r="F173" s="330">
        <f t="shared" ref="F173:F180" si="14">E173*C173</f>
        <v>0</v>
      </c>
      <c r="G173" s="298"/>
    </row>
    <row r="174" spans="1:7">
      <c r="A174" s="302">
        <f t="shared" si="13"/>
        <v>12</v>
      </c>
      <c r="B174" s="340" t="s">
        <v>487</v>
      </c>
      <c r="C174" s="302">
        <v>0</v>
      </c>
      <c r="D174" s="316" t="s">
        <v>412</v>
      </c>
      <c r="E174" s="319">
        <v>12000</v>
      </c>
      <c r="F174" s="330">
        <f t="shared" si="14"/>
        <v>0</v>
      </c>
      <c r="G174" s="298" t="s">
        <v>358</v>
      </c>
    </row>
    <row r="175" spans="1:7">
      <c r="A175" s="302">
        <f t="shared" si="13"/>
        <v>13</v>
      </c>
      <c r="B175" s="340" t="s">
        <v>488</v>
      </c>
      <c r="C175" s="302">
        <v>0</v>
      </c>
      <c r="D175" s="316" t="s">
        <v>427</v>
      </c>
      <c r="E175" s="319">
        <v>850</v>
      </c>
      <c r="F175" s="330">
        <f t="shared" si="14"/>
        <v>0</v>
      </c>
      <c r="G175" s="298"/>
    </row>
    <row r="176" spans="1:7">
      <c r="A176" s="302">
        <f t="shared" si="13"/>
        <v>14</v>
      </c>
      <c r="B176" s="340" t="s">
        <v>489</v>
      </c>
      <c r="C176" s="302">
        <v>0</v>
      </c>
      <c r="D176" s="316" t="s">
        <v>427</v>
      </c>
      <c r="E176" s="319">
        <v>150</v>
      </c>
      <c r="F176" s="330">
        <f t="shared" si="14"/>
        <v>0</v>
      </c>
      <c r="G176" s="298"/>
    </row>
    <row r="177" spans="1:7">
      <c r="A177" s="302">
        <f t="shared" si="13"/>
        <v>15</v>
      </c>
      <c r="B177" s="340" t="s">
        <v>490</v>
      </c>
      <c r="C177" s="302">
        <v>0</v>
      </c>
      <c r="D177" s="316" t="s">
        <v>412</v>
      </c>
      <c r="E177" s="319">
        <v>25000</v>
      </c>
      <c r="F177" s="330">
        <f t="shared" si="14"/>
        <v>0</v>
      </c>
      <c r="G177" s="298"/>
    </row>
    <row r="178" spans="1:7">
      <c r="A178" s="302">
        <f t="shared" si="13"/>
        <v>16</v>
      </c>
      <c r="B178" s="340" t="s">
        <v>491</v>
      </c>
      <c r="C178" s="302">
        <v>0</v>
      </c>
      <c r="D178" s="316" t="s">
        <v>412</v>
      </c>
      <c r="E178" s="319">
        <v>30000</v>
      </c>
      <c r="F178" s="330">
        <f t="shared" si="14"/>
        <v>0</v>
      </c>
      <c r="G178" s="298"/>
    </row>
    <row r="179" spans="1:7">
      <c r="A179" s="302">
        <f t="shared" si="13"/>
        <v>17</v>
      </c>
      <c r="B179" s="340" t="s">
        <v>492</v>
      </c>
      <c r="C179" s="302">
        <v>0</v>
      </c>
      <c r="D179" s="316" t="s">
        <v>429</v>
      </c>
      <c r="E179" s="319">
        <v>10000</v>
      </c>
      <c r="F179" s="330">
        <f t="shared" si="14"/>
        <v>0</v>
      </c>
      <c r="G179" s="298"/>
    </row>
    <row r="180" spans="1:7">
      <c r="A180" s="302">
        <f t="shared" si="13"/>
        <v>18</v>
      </c>
      <c r="B180" s="340" t="s">
        <v>493</v>
      </c>
      <c r="C180" s="302">
        <v>0</v>
      </c>
      <c r="D180" s="316" t="s">
        <v>427</v>
      </c>
      <c r="E180" s="319">
        <v>500</v>
      </c>
      <c r="F180" s="330">
        <f t="shared" si="14"/>
        <v>0</v>
      </c>
      <c r="G180" s="298"/>
    </row>
    <row r="181" spans="1:7" ht="16" thickBot="1">
      <c r="A181" s="302"/>
      <c r="B181" s="302"/>
      <c r="C181" s="302"/>
      <c r="D181" s="316"/>
      <c r="E181" s="320"/>
      <c r="F181" s="330"/>
      <c r="G181" s="298"/>
    </row>
    <row r="182" spans="1:7" ht="16" thickBot="1">
      <c r="A182" s="335" t="s">
        <v>417</v>
      </c>
      <c r="B182" s="335" t="str">
        <f>B162</f>
        <v>MILLWORK</v>
      </c>
      <c r="C182" s="335"/>
      <c r="D182" s="336"/>
      <c r="E182" s="337"/>
      <c r="F182" s="338">
        <f>SUM(F161:F181)</f>
        <v>0</v>
      </c>
      <c r="G182" s="339"/>
    </row>
    <row r="183" spans="1:7">
      <c r="A183" s="302"/>
      <c r="B183" s="302"/>
      <c r="C183" s="302"/>
      <c r="D183" s="316"/>
      <c r="E183" s="320"/>
      <c r="F183" s="330"/>
      <c r="G183" s="298"/>
    </row>
    <row r="184" spans="1:7">
      <c r="A184" s="301" t="s">
        <v>328</v>
      </c>
      <c r="B184" s="308" t="s">
        <v>329</v>
      </c>
      <c r="C184" s="302"/>
      <c r="D184" s="316"/>
      <c r="E184" s="320"/>
      <c r="F184" s="330"/>
      <c r="G184" s="298"/>
    </row>
    <row r="185" spans="1:7">
      <c r="A185" s="302">
        <v>1</v>
      </c>
      <c r="B185" s="340" t="s">
        <v>873</v>
      </c>
      <c r="C185" s="302">
        <v>2041</v>
      </c>
      <c r="D185" s="316" t="s">
        <v>283</v>
      </c>
      <c r="E185" s="320">
        <v>36</v>
      </c>
      <c r="F185" s="330">
        <f>E185*C185</f>
        <v>73476</v>
      </c>
      <c r="G185" s="298" t="s">
        <v>358</v>
      </c>
    </row>
    <row r="186" spans="1:7">
      <c r="A186" s="302">
        <f>A185+1</f>
        <v>2</v>
      </c>
      <c r="B186" s="340" t="s">
        <v>874</v>
      </c>
      <c r="C186" s="302">
        <v>1592</v>
      </c>
      <c r="D186" s="316" t="s">
        <v>283</v>
      </c>
      <c r="E186" s="320">
        <v>36</v>
      </c>
      <c r="F186" s="330">
        <f t="shared" ref="F186:F190" si="15">E186*C186</f>
        <v>57312</v>
      </c>
      <c r="G186" s="298"/>
    </row>
    <row r="187" spans="1:7">
      <c r="A187" s="302">
        <f t="shared" ref="A187:A194" si="16">A186+1</f>
        <v>3</v>
      </c>
      <c r="B187" s="340" t="s">
        <v>875</v>
      </c>
      <c r="C187" s="302">
        <v>4432</v>
      </c>
      <c r="D187" s="316" t="s">
        <v>283</v>
      </c>
      <c r="E187" s="320">
        <v>36</v>
      </c>
      <c r="F187" s="330">
        <f t="shared" si="15"/>
        <v>159552</v>
      </c>
      <c r="G187" s="298"/>
    </row>
    <row r="188" spans="1:7">
      <c r="A188" s="302">
        <f t="shared" si="16"/>
        <v>4</v>
      </c>
      <c r="B188" s="340" t="s">
        <v>969</v>
      </c>
      <c r="C188" s="302">
        <v>17547</v>
      </c>
      <c r="D188" s="316" t="s">
        <v>283</v>
      </c>
      <c r="E188" s="320">
        <v>36</v>
      </c>
      <c r="F188" s="330">
        <f t="shared" si="15"/>
        <v>631692</v>
      </c>
      <c r="G188" s="298"/>
    </row>
    <row r="189" spans="1:7">
      <c r="A189" s="302">
        <f t="shared" si="16"/>
        <v>5</v>
      </c>
      <c r="B189" s="340" t="s">
        <v>970</v>
      </c>
      <c r="C189" s="302">
        <v>30000</v>
      </c>
      <c r="D189" s="316" t="s">
        <v>283</v>
      </c>
      <c r="E189" s="320">
        <v>36</v>
      </c>
      <c r="F189" s="330">
        <f t="shared" si="15"/>
        <v>1080000</v>
      </c>
      <c r="G189" s="298"/>
    </row>
    <row r="190" spans="1:7">
      <c r="A190" s="302">
        <f t="shared" si="16"/>
        <v>6</v>
      </c>
      <c r="B190" s="340" t="s">
        <v>971</v>
      </c>
      <c r="C190" s="302">
        <v>8538</v>
      </c>
      <c r="D190" s="316" t="s">
        <v>283</v>
      </c>
      <c r="E190" s="320">
        <v>36</v>
      </c>
      <c r="F190" s="330">
        <f t="shared" si="15"/>
        <v>307368</v>
      </c>
      <c r="G190" s="298"/>
    </row>
    <row r="191" spans="1:7">
      <c r="A191" s="302">
        <f t="shared" si="16"/>
        <v>7</v>
      </c>
      <c r="B191" s="340" t="s">
        <v>872</v>
      </c>
      <c r="C191" s="302">
        <v>2041</v>
      </c>
      <c r="D191" s="316" t="s">
        <v>283</v>
      </c>
      <c r="E191" s="320">
        <v>36</v>
      </c>
      <c r="F191" s="330">
        <f>E191*C191</f>
        <v>73476</v>
      </c>
      <c r="G191" s="298"/>
    </row>
    <row r="192" spans="1:7">
      <c r="A192" s="302">
        <f t="shared" si="16"/>
        <v>8</v>
      </c>
      <c r="B192" s="340" t="s">
        <v>876</v>
      </c>
      <c r="C192" s="302">
        <v>0</v>
      </c>
      <c r="D192" s="316" t="s">
        <v>283</v>
      </c>
      <c r="E192" s="320">
        <v>31</v>
      </c>
      <c r="F192" s="330">
        <f>E192*C192</f>
        <v>0</v>
      </c>
      <c r="G192" s="298"/>
    </row>
    <row r="193" spans="1:8">
      <c r="A193" s="302">
        <f t="shared" si="16"/>
        <v>9</v>
      </c>
      <c r="B193" s="340" t="s">
        <v>968</v>
      </c>
      <c r="C193" s="302">
        <v>4432</v>
      </c>
      <c r="D193" s="316" t="s">
        <v>283</v>
      </c>
      <c r="E193" s="320">
        <v>36</v>
      </c>
      <c r="F193" s="330">
        <f>E193*C193</f>
        <v>159552</v>
      </c>
      <c r="G193" s="298"/>
    </row>
    <row r="194" spans="1:8">
      <c r="A194" s="302">
        <f t="shared" si="16"/>
        <v>10</v>
      </c>
      <c r="B194" s="340" t="s">
        <v>494</v>
      </c>
      <c r="C194" s="302">
        <v>1</v>
      </c>
      <c r="D194" s="316" t="s">
        <v>412</v>
      </c>
      <c r="E194" s="320">
        <v>15000</v>
      </c>
      <c r="F194" s="330">
        <f t="shared" ref="F194" si="17">E194*C194</f>
        <v>15000</v>
      </c>
      <c r="G194" s="298"/>
    </row>
    <row r="195" spans="1:8" ht="16" thickBot="1">
      <c r="A195" s="302"/>
      <c r="B195" s="302"/>
      <c r="C195" s="302"/>
      <c r="D195" s="316"/>
      <c r="E195" s="320"/>
      <c r="F195" s="330"/>
      <c r="G195" s="298"/>
    </row>
    <row r="196" spans="1:8" ht="16" thickBot="1">
      <c r="A196" s="335" t="s">
        <v>417</v>
      </c>
      <c r="B196" s="335" t="str">
        <f>B184</f>
        <v>ROOFING</v>
      </c>
      <c r="C196" s="335"/>
      <c r="D196" s="336"/>
      <c r="E196" s="337"/>
      <c r="F196" s="338">
        <f>SUM(F183:F195)</f>
        <v>2557428</v>
      </c>
      <c r="G196" s="339"/>
    </row>
    <row r="197" spans="1:8">
      <c r="A197" s="302"/>
      <c r="B197" s="302"/>
      <c r="C197" s="302"/>
      <c r="D197" s="316"/>
      <c r="E197" s="320"/>
      <c r="F197" s="330"/>
      <c r="G197" s="298"/>
    </row>
    <row r="198" spans="1:8">
      <c r="A198" s="301" t="s">
        <v>330</v>
      </c>
      <c r="B198" s="308" t="s">
        <v>495</v>
      </c>
      <c r="C198" s="302"/>
      <c r="D198" s="316"/>
      <c r="E198" s="320"/>
      <c r="F198" s="330"/>
      <c r="G198" s="298"/>
    </row>
    <row r="199" spans="1:8">
      <c r="A199" s="302">
        <v>1</v>
      </c>
      <c r="B199" s="340" t="s">
        <v>496</v>
      </c>
      <c r="C199" s="302">
        <v>0</v>
      </c>
      <c r="D199" s="316" t="s">
        <v>283</v>
      </c>
      <c r="E199" s="320">
        <v>5</v>
      </c>
      <c r="F199" s="330">
        <f>(C199*E199)</f>
        <v>0</v>
      </c>
      <c r="G199" s="328"/>
    </row>
    <row r="200" spans="1:8">
      <c r="A200" s="302">
        <v>2</v>
      </c>
      <c r="B200" s="340" t="s">
        <v>497</v>
      </c>
      <c r="C200" s="302">
        <v>0</v>
      </c>
      <c r="D200" s="316" t="s">
        <v>283</v>
      </c>
      <c r="E200" s="320">
        <v>5</v>
      </c>
      <c r="F200" s="330">
        <f t="shared" ref="F200:F201" si="18">(C200*E200)</f>
        <v>0</v>
      </c>
      <c r="G200" s="328"/>
    </row>
    <row r="201" spans="1:8">
      <c r="A201" s="302">
        <v>3</v>
      </c>
      <c r="B201" s="340" t="s">
        <v>498</v>
      </c>
      <c r="C201" s="302">
        <v>0</v>
      </c>
      <c r="D201" s="316" t="s">
        <v>283</v>
      </c>
      <c r="E201" s="320">
        <v>5</v>
      </c>
      <c r="F201" s="330">
        <f t="shared" si="18"/>
        <v>0</v>
      </c>
      <c r="G201" s="328"/>
    </row>
    <row r="202" spans="1:8">
      <c r="A202" s="302"/>
      <c r="B202" s="302"/>
      <c r="C202" s="302"/>
      <c r="D202" s="316"/>
      <c r="E202" s="320"/>
      <c r="F202" s="330"/>
      <c r="G202" s="328" t="s">
        <v>358</v>
      </c>
    </row>
    <row r="203" spans="1:8" ht="16" thickBot="1">
      <c r="A203" s="302"/>
      <c r="B203" s="302"/>
      <c r="C203" s="302"/>
      <c r="D203" s="316"/>
      <c r="E203" s="320"/>
      <c r="F203" s="330" t="s">
        <v>358</v>
      </c>
      <c r="G203" s="298"/>
    </row>
    <row r="204" spans="1:8" ht="16" thickBot="1">
      <c r="A204" s="335" t="s">
        <v>417</v>
      </c>
      <c r="B204" s="335" t="str">
        <f>B198</f>
        <v xml:space="preserve">FIREPROOFING </v>
      </c>
      <c r="C204" s="335"/>
      <c r="D204" s="336"/>
      <c r="E204" s="337"/>
      <c r="F204" s="338">
        <f>SUM(F197:F203)</f>
        <v>0</v>
      </c>
      <c r="G204" s="339"/>
    </row>
    <row r="205" spans="1:8">
      <c r="A205" s="302"/>
      <c r="B205" s="302"/>
      <c r="C205" s="302"/>
      <c r="D205" s="316"/>
      <c r="E205" s="319"/>
      <c r="F205" s="330"/>
      <c r="G205" s="298"/>
    </row>
    <row r="206" spans="1:8">
      <c r="A206" s="301" t="s">
        <v>332</v>
      </c>
      <c r="B206" s="308" t="s">
        <v>333</v>
      </c>
      <c r="C206" s="302"/>
      <c r="D206" s="316"/>
      <c r="E206" s="319"/>
      <c r="F206" s="330" t="s">
        <v>358</v>
      </c>
      <c r="G206" s="298"/>
    </row>
    <row r="207" spans="1:8">
      <c r="A207" s="302">
        <v>1</v>
      </c>
      <c r="B207" s="343" t="s">
        <v>499</v>
      </c>
      <c r="C207" s="302">
        <v>0</v>
      </c>
      <c r="D207" s="316" t="s">
        <v>429</v>
      </c>
      <c r="E207" s="319">
        <v>2200</v>
      </c>
      <c r="F207" s="330">
        <f>C207*E207</f>
        <v>0</v>
      </c>
      <c r="G207" s="298"/>
      <c r="H207" s="1" t="s">
        <v>953</v>
      </c>
    </row>
    <row r="208" spans="1:8">
      <c r="A208" s="302">
        <v>2</v>
      </c>
      <c r="B208" s="343" t="s">
        <v>500</v>
      </c>
      <c r="C208" s="302">
        <v>0</v>
      </c>
      <c r="D208" s="316" t="s">
        <v>429</v>
      </c>
      <c r="E208" s="319">
        <v>3200</v>
      </c>
      <c r="F208" s="330">
        <f>C208*E208</f>
        <v>0</v>
      </c>
      <c r="G208" s="298"/>
      <c r="H208" s="1" t="s">
        <v>954</v>
      </c>
    </row>
    <row r="209" spans="1:7">
      <c r="A209" s="302">
        <v>3</v>
      </c>
      <c r="B209" s="340" t="s">
        <v>501</v>
      </c>
      <c r="C209" s="302">
        <v>0</v>
      </c>
      <c r="D209" s="316" t="s">
        <v>429</v>
      </c>
      <c r="E209" s="319">
        <v>10000</v>
      </c>
      <c r="F209" s="330">
        <f>C209*E209</f>
        <v>0</v>
      </c>
      <c r="G209" s="298"/>
    </row>
    <row r="210" spans="1:7">
      <c r="A210" s="302">
        <v>4</v>
      </c>
      <c r="B210" s="340" t="s">
        <v>502</v>
      </c>
      <c r="C210" s="302">
        <v>0</v>
      </c>
      <c r="D210" s="316" t="s">
        <v>503</v>
      </c>
      <c r="E210" s="319">
        <v>20000</v>
      </c>
      <c r="F210" s="330">
        <f>C210*E210</f>
        <v>0</v>
      </c>
      <c r="G210" s="298"/>
    </row>
    <row r="211" spans="1:7">
      <c r="A211" s="302"/>
      <c r="B211" s="302"/>
      <c r="C211" s="302"/>
      <c r="D211" s="316"/>
      <c r="E211" s="319"/>
      <c r="F211" s="330"/>
      <c r="G211" s="298"/>
    </row>
    <row r="212" spans="1:7" ht="16" thickBot="1">
      <c r="A212" s="302"/>
      <c r="B212" s="302"/>
      <c r="C212" s="302"/>
      <c r="D212" s="316"/>
      <c r="E212" s="319"/>
      <c r="F212" s="330"/>
      <c r="G212" s="298"/>
    </row>
    <row r="213" spans="1:7" ht="16" thickBot="1">
      <c r="A213" s="335" t="s">
        <v>417</v>
      </c>
      <c r="B213" s="335" t="str">
        <f>B206</f>
        <v>DOORS, FRAMES &amp; HARDWARE</v>
      </c>
      <c r="C213" s="335"/>
      <c r="D213" s="336"/>
      <c r="E213" s="337"/>
      <c r="F213" s="338">
        <f>SUM(F205:F212)</f>
        <v>0</v>
      </c>
      <c r="G213" s="339"/>
    </row>
    <row r="214" spans="1:7">
      <c r="A214" s="306"/>
      <c r="B214" s="306"/>
      <c r="C214" s="310"/>
      <c r="D214" s="318"/>
      <c r="E214" s="322"/>
      <c r="F214" s="332"/>
      <c r="G214" s="299"/>
    </row>
    <row r="215" spans="1:7">
      <c r="A215" s="307" t="s">
        <v>334</v>
      </c>
      <c r="B215" s="310" t="s">
        <v>335</v>
      </c>
      <c r="C215" s="310"/>
      <c r="D215" s="318"/>
      <c r="E215" s="322"/>
      <c r="F215" s="332"/>
      <c r="G215" s="299"/>
    </row>
    <row r="216" spans="1:7">
      <c r="A216" s="302">
        <v>1</v>
      </c>
      <c r="B216" s="343" t="s">
        <v>504</v>
      </c>
      <c r="C216" s="302">
        <v>2</v>
      </c>
      <c r="D216" s="316" t="s">
        <v>429</v>
      </c>
      <c r="E216" s="319">
        <v>3000</v>
      </c>
      <c r="F216" s="330">
        <f>C216*E216</f>
        <v>6000</v>
      </c>
      <c r="G216" s="298"/>
    </row>
    <row r="217" spans="1:7">
      <c r="A217" s="302"/>
      <c r="B217" s="343" t="s">
        <v>955</v>
      </c>
      <c r="C217" s="302">
        <v>40</v>
      </c>
      <c r="D217" s="316" t="s">
        <v>427</v>
      </c>
      <c r="E217" s="715">
        <v>1750</v>
      </c>
      <c r="F217" s="330">
        <f>C217*E217</f>
        <v>70000</v>
      </c>
      <c r="G217" s="298"/>
    </row>
    <row r="218" spans="1:7" ht="16" thickBot="1">
      <c r="A218" s="302"/>
      <c r="B218" s="302"/>
      <c r="C218" s="302"/>
      <c r="D218" s="316"/>
      <c r="E218" s="320"/>
      <c r="F218" s="330"/>
      <c r="G218" s="298"/>
    </row>
    <row r="219" spans="1:7" ht="16" thickBot="1">
      <c r="A219" s="335" t="s">
        <v>417</v>
      </c>
      <c r="B219" s="335" t="str">
        <f>B215</f>
        <v>SPECIAL DOORS</v>
      </c>
      <c r="C219" s="335"/>
      <c r="D219" s="336"/>
      <c r="E219" s="337"/>
      <c r="F219" s="338">
        <f>SUM(F214:F218)</f>
        <v>76000</v>
      </c>
      <c r="G219" s="339"/>
    </row>
    <row r="220" spans="1:7">
      <c r="A220" s="302"/>
      <c r="B220" s="302"/>
      <c r="C220" s="302"/>
      <c r="D220" s="316"/>
      <c r="E220" s="319"/>
      <c r="F220" s="330"/>
      <c r="G220" s="326"/>
    </row>
    <row r="221" spans="1:7">
      <c r="A221" s="301" t="s">
        <v>336</v>
      </c>
      <c r="B221" s="308" t="s">
        <v>337</v>
      </c>
      <c r="C221" s="302"/>
      <c r="D221" s="316"/>
      <c r="E221" s="319"/>
      <c r="F221" s="330"/>
      <c r="G221" s="326"/>
    </row>
    <row r="222" spans="1:7">
      <c r="A222" s="302">
        <v>1</v>
      </c>
      <c r="B222" s="340" t="s">
        <v>505</v>
      </c>
      <c r="C222" s="302">
        <v>0</v>
      </c>
      <c r="D222" s="316" t="s">
        <v>283</v>
      </c>
      <c r="E222" s="319">
        <v>250</v>
      </c>
      <c r="F222" s="330">
        <f t="shared" ref="F222:F227" si="19">E222*C222</f>
        <v>0</v>
      </c>
      <c r="G222" s="326"/>
    </row>
    <row r="223" spans="1:7">
      <c r="A223" s="302">
        <v>2</v>
      </c>
      <c r="B223" s="340" t="s">
        <v>506</v>
      </c>
      <c r="C223" s="302">
        <v>0</v>
      </c>
      <c r="D223" s="316" t="s">
        <v>283</v>
      </c>
      <c r="E223" s="319">
        <v>150</v>
      </c>
      <c r="F223" s="330">
        <f t="shared" si="19"/>
        <v>0</v>
      </c>
      <c r="G223" s="326"/>
    </row>
    <row r="224" spans="1:7">
      <c r="A224" s="302">
        <v>3</v>
      </c>
      <c r="B224" s="340" t="s">
        <v>507</v>
      </c>
      <c r="C224" s="302">
        <v>0</v>
      </c>
      <c r="D224" s="316" t="s">
        <v>508</v>
      </c>
      <c r="E224" s="319">
        <v>4500</v>
      </c>
      <c r="F224" s="330">
        <f t="shared" si="19"/>
        <v>0</v>
      </c>
      <c r="G224" s="326"/>
    </row>
    <row r="225" spans="1:7">
      <c r="A225" s="302">
        <v>4</v>
      </c>
      <c r="B225" s="340" t="s">
        <v>509</v>
      </c>
      <c r="C225" s="302">
        <v>0</v>
      </c>
      <c r="D225" s="316" t="s">
        <v>283</v>
      </c>
      <c r="E225" s="319">
        <v>75</v>
      </c>
      <c r="F225" s="330">
        <f t="shared" si="19"/>
        <v>0</v>
      </c>
      <c r="G225" s="326"/>
    </row>
    <row r="226" spans="1:7">
      <c r="A226" s="302">
        <v>5</v>
      </c>
      <c r="B226" s="340" t="s">
        <v>510</v>
      </c>
      <c r="C226" s="302">
        <v>0</v>
      </c>
      <c r="D226" s="316" t="s">
        <v>283</v>
      </c>
      <c r="E226" s="319">
        <v>75</v>
      </c>
      <c r="F226" s="330">
        <f t="shared" si="19"/>
        <v>0</v>
      </c>
      <c r="G226" s="326"/>
    </row>
    <row r="227" spans="1:7">
      <c r="A227" s="302">
        <v>6</v>
      </c>
      <c r="B227" s="340" t="s">
        <v>511</v>
      </c>
      <c r="C227" s="302">
        <v>0</v>
      </c>
      <c r="D227" s="316" t="s">
        <v>503</v>
      </c>
      <c r="E227" s="319">
        <v>4500</v>
      </c>
      <c r="F227" s="330">
        <f t="shared" si="19"/>
        <v>0</v>
      </c>
      <c r="G227" s="326"/>
    </row>
    <row r="228" spans="1:7" ht="16" thickBot="1">
      <c r="A228" s="302"/>
      <c r="B228" s="302"/>
      <c r="C228" s="302"/>
      <c r="D228" s="316"/>
      <c r="E228" s="319"/>
      <c r="F228" s="330"/>
      <c r="G228" s="326"/>
    </row>
    <row r="229" spans="1:7" ht="16" thickBot="1">
      <c r="A229" s="335" t="s">
        <v>417</v>
      </c>
      <c r="B229" s="335" t="str">
        <f>B221</f>
        <v>STOREFRONT</v>
      </c>
      <c r="C229" s="335"/>
      <c r="D229" s="336"/>
      <c r="E229" s="337"/>
      <c r="F229" s="338">
        <f>SUM(F221:F228)</f>
        <v>0</v>
      </c>
      <c r="G229" s="339"/>
    </row>
    <row r="230" spans="1:7">
      <c r="A230" s="302"/>
      <c r="B230" s="302"/>
      <c r="C230" s="302"/>
      <c r="D230" s="316"/>
      <c r="E230" s="319"/>
      <c r="F230" s="330"/>
      <c r="G230" s="326"/>
    </row>
    <row r="231" spans="1:7">
      <c r="A231" s="301" t="s">
        <v>338</v>
      </c>
      <c r="B231" s="308" t="s">
        <v>512</v>
      </c>
      <c r="C231" s="302"/>
      <c r="D231" s="316"/>
      <c r="E231" s="319"/>
      <c r="F231" s="330" t="s">
        <v>358</v>
      </c>
      <c r="G231" s="298"/>
    </row>
    <row r="232" spans="1:7">
      <c r="A232" s="302">
        <v>2</v>
      </c>
      <c r="B232" s="343" t="s">
        <v>513</v>
      </c>
      <c r="C232" s="302">
        <v>0</v>
      </c>
      <c r="D232" s="316" t="s">
        <v>283</v>
      </c>
      <c r="E232" s="319">
        <v>50</v>
      </c>
      <c r="F232" s="330">
        <f t="shared" ref="F232:F235" si="20">C232*E232</f>
        <v>0</v>
      </c>
      <c r="G232" s="298"/>
    </row>
    <row r="233" spans="1:7">
      <c r="A233" s="302">
        <v>3</v>
      </c>
      <c r="B233" s="343" t="s">
        <v>514</v>
      </c>
      <c r="C233" s="302">
        <v>0</v>
      </c>
      <c r="D233" s="316" t="s">
        <v>283</v>
      </c>
      <c r="E233" s="319">
        <v>50</v>
      </c>
      <c r="F233" s="330">
        <f t="shared" si="20"/>
        <v>0</v>
      </c>
      <c r="G233" s="298"/>
    </row>
    <row r="234" spans="1:7">
      <c r="A234" s="302">
        <v>4</v>
      </c>
      <c r="B234" s="343" t="s">
        <v>515</v>
      </c>
      <c r="C234" s="302">
        <v>0</v>
      </c>
      <c r="D234" s="316" t="s">
        <v>516</v>
      </c>
      <c r="E234" s="319">
        <v>35000</v>
      </c>
      <c r="F234" s="330">
        <f t="shared" si="20"/>
        <v>0</v>
      </c>
      <c r="G234" s="298"/>
    </row>
    <row r="235" spans="1:7">
      <c r="A235" s="302">
        <f>A234+1</f>
        <v>5</v>
      </c>
      <c r="B235" s="343" t="s">
        <v>517</v>
      </c>
      <c r="C235" s="302">
        <v>0</v>
      </c>
      <c r="D235" s="316" t="s">
        <v>516</v>
      </c>
      <c r="E235" s="319">
        <v>10000</v>
      </c>
      <c r="F235" s="330">
        <f t="shared" si="20"/>
        <v>0</v>
      </c>
      <c r="G235" s="298"/>
    </row>
    <row r="236" spans="1:7" ht="16" thickBot="1">
      <c r="A236" s="302"/>
      <c r="B236" s="302"/>
      <c r="C236" s="302"/>
      <c r="D236" s="316"/>
      <c r="E236" s="320"/>
      <c r="F236" s="330"/>
      <c r="G236" s="298"/>
    </row>
    <row r="237" spans="1:7" ht="16" thickBot="1">
      <c r="A237" s="335" t="s">
        <v>417</v>
      </c>
      <c r="B237" s="335" t="str">
        <f>B231</f>
        <v>GLAZING</v>
      </c>
      <c r="C237" s="335"/>
      <c r="D237" s="336"/>
      <c r="E237" s="337"/>
      <c r="F237" s="338">
        <f>SUM(F230:F236)</f>
        <v>0</v>
      </c>
      <c r="G237" s="339"/>
    </row>
    <row r="238" spans="1:7">
      <c r="A238" s="302"/>
      <c r="B238" s="302"/>
      <c r="C238" s="302"/>
      <c r="D238" s="316"/>
      <c r="E238" s="320"/>
      <c r="F238" s="330"/>
      <c r="G238" s="298"/>
    </row>
    <row r="239" spans="1:7">
      <c r="A239" s="301" t="s">
        <v>340</v>
      </c>
      <c r="B239" s="308" t="s">
        <v>518</v>
      </c>
      <c r="C239" s="302"/>
      <c r="D239" s="316"/>
      <c r="E239" s="319" t="s">
        <v>358</v>
      </c>
      <c r="F239" s="330" t="s">
        <v>358</v>
      </c>
      <c r="G239" s="298"/>
    </row>
    <row r="240" spans="1:7">
      <c r="A240" s="301"/>
      <c r="B240" s="308" t="s">
        <v>824</v>
      </c>
      <c r="C240" s="302"/>
      <c r="D240" s="316"/>
      <c r="E240" s="319"/>
      <c r="F240" s="330"/>
      <c r="G240" s="298"/>
    </row>
    <row r="241" spans="1:7">
      <c r="A241" s="302">
        <v>1</v>
      </c>
      <c r="B241" s="340" t="s">
        <v>822</v>
      </c>
      <c r="C241" s="302">
        <v>9972</v>
      </c>
      <c r="D241" s="316" t="s">
        <v>283</v>
      </c>
      <c r="E241" s="319">
        <v>12</v>
      </c>
      <c r="F241" s="330">
        <f>E241*C241</f>
        <v>119664</v>
      </c>
      <c r="G241" s="298"/>
    </row>
    <row r="242" spans="1:7">
      <c r="A242" s="302"/>
      <c r="B242" s="340" t="s">
        <v>823</v>
      </c>
      <c r="C242" s="302">
        <v>2022</v>
      </c>
      <c r="D242" s="316" t="s">
        <v>283</v>
      </c>
      <c r="E242" s="319"/>
      <c r="F242" s="330"/>
      <c r="G242" s="298"/>
    </row>
    <row r="243" spans="1:7">
      <c r="A243" s="302"/>
      <c r="B243" s="340" t="s">
        <v>826</v>
      </c>
      <c r="C243" s="302">
        <v>5565</v>
      </c>
      <c r="D243" s="316" t="s">
        <v>283</v>
      </c>
      <c r="E243" s="319"/>
      <c r="F243" s="330"/>
      <c r="G243" s="298"/>
    </row>
    <row r="244" spans="1:7">
      <c r="A244" s="302"/>
      <c r="B244" s="340" t="s">
        <v>827</v>
      </c>
      <c r="C244" s="302">
        <v>2857</v>
      </c>
      <c r="D244" s="316" t="s">
        <v>283</v>
      </c>
      <c r="E244" s="319"/>
      <c r="F244" s="330"/>
      <c r="G244" s="298"/>
    </row>
    <row r="245" spans="1:7">
      <c r="A245" s="302"/>
      <c r="B245" s="340" t="s">
        <v>832</v>
      </c>
      <c r="C245" s="302">
        <f>209*8</f>
        <v>1672</v>
      </c>
      <c r="D245" s="316" t="s">
        <v>283</v>
      </c>
      <c r="E245" s="319"/>
      <c r="F245" s="330"/>
      <c r="G245" s="298"/>
    </row>
    <row r="246" spans="1:7">
      <c r="A246" s="302"/>
      <c r="B246" s="340" t="s">
        <v>831</v>
      </c>
      <c r="C246" s="302">
        <f>6292+640</f>
        <v>6932</v>
      </c>
      <c r="D246" s="316" t="s">
        <v>283</v>
      </c>
      <c r="E246" s="319"/>
      <c r="F246" s="330"/>
      <c r="G246" s="298"/>
    </row>
    <row r="247" spans="1:7">
      <c r="A247" s="302"/>
      <c r="B247" s="340" t="s">
        <v>836</v>
      </c>
      <c r="C247" s="302">
        <f>6274-2080</f>
        <v>4194</v>
      </c>
      <c r="D247" s="316" t="s">
        <v>283</v>
      </c>
      <c r="E247" s="319"/>
      <c r="F247" s="330"/>
      <c r="G247" s="298"/>
    </row>
    <row r="248" spans="1:7">
      <c r="A248" s="302"/>
      <c r="B248" s="340"/>
      <c r="C248" s="302"/>
      <c r="D248" s="316"/>
      <c r="E248" s="319"/>
      <c r="F248" s="330"/>
      <c r="G248" s="298"/>
    </row>
    <row r="249" spans="1:7">
      <c r="A249" s="302"/>
      <c r="B249" s="308" t="s">
        <v>956</v>
      </c>
      <c r="C249" s="302"/>
      <c r="D249" s="316"/>
      <c r="E249" s="319"/>
      <c r="F249" s="330"/>
      <c r="G249" s="298"/>
    </row>
    <row r="250" spans="1:7">
      <c r="A250" s="302"/>
      <c r="B250" s="308"/>
      <c r="C250" s="302"/>
      <c r="D250" s="316"/>
      <c r="E250" s="319"/>
      <c r="F250" s="330"/>
      <c r="G250" s="298"/>
    </row>
    <row r="251" spans="1:7">
      <c r="A251" s="302"/>
      <c r="B251" s="308"/>
      <c r="C251" s="302"/>
      <c r="D251" s="316"/>
      <c r="E251" s="319"/>
      <c r="F251" s="330"/>
      <c r="G251" s="298"/>
    </row>
    <row r="252" spans="1:7">
      <c r="A252" s="302"/>
      <c r="B252" s="308"/>
      <c r="C252" s="302"/>
      <c r="D252" s="316"/>
      <c r="E252" s="319"/>
      <c r="F252" s="330"/>
      <c r="G252" s="298"/>
    </row>
    <row r="253" spans="1:7">
      <c r="A253" s="302"/>
      <c r="B253" s="308" t="s">
        <v>957</v>
      </c>
      <c r="C253" s="302"/>
      <c r="D253" s="316"/>
      <c r="E253" s="319"/>
      <c r="F253" s="330"/>
      <c r="G253" s="298"/>
    </row>
    <row r="254" spans="1:7">
      <c r="A254" s="302"/>
      <c r="B254" s="308"/>
      <c r="C254" s="302"/>
      <c r="D254" s="316"/>
      <c r="E254" s="319"/>
      <c r="F254" s="330"/>
      <c r="G254" s="298"/>
    </row>
    <row r="255" spans="1:7">
      <c r="A255" s="302"/>
      <c r="B255" s="308"/>
      <c r="C255" s="302"/>
      <c r="D255" s="316"/>
      <c r="E255" s="319"/>
      <c r="F255" s="330"/>
      <c r="G255" s="298"/>
    </row>
    <row r="256" spans="1:7">
      <c r="A256" s="302"/>
      <c r="B256" s="308"/>
      <c r="C256" s="302"/>
      <c r="D256" s="316"/>
      <c r="E256" s="319"/>
      <c r="F256" s="330"/>
      <c r="G256" s="298"/>
    </row>
    <row r="257" spans="1:7">
      <c r="A257" s="302"/>
      <c r="B257" s="308"/>
      <c r="C257" s="302"/>
      <c r="D257" s="316"/>
      <c r="E257" s="319"/>
      <c r="F257" s="330"/>
      <c r="G257" s="298"/>
    </row>
    <row r="258" spans="1:7">
      <c r="A258" s="302"/>
      <c r="B258" s="340"/>
      <c r="C258" s="302"/>
      <c r="D258" s="316"/>
      <c r="E258" s="319"/>
      <c r="F258" s="330"/>
      <c r="G258" s="298"/>
    </row>
    <row r="259" spans="1:7">
      <c r="A259" s="302">
        <v>2</v>
      </c>
      <c r="B259" s="340" t="s">
        <v>519</v>
      </c>
      <c r="C259" s="302">
        <v>0</v>
      </c>
      <c r="D259" s="316" t="s">
        <v>283</v>
      </c>
      <c r="E259" s="319">
        <v>20</v>
      </c>
      <c r="F259" s="330">
        <f>E259*C259</f>
        <v>0</v>
      </c>
      <c r="G259" s="298"/>
    </row>
    <row r="260" spans="1:7">
      <c r="A260" s="302">
        <v>3</v>
      </c>
      <c r="B260" s="343" t="s">
        <v>520</v>
      </c>
      <c r="C260" s="302">
        <v>0</v>
      </c>
      <c r="D260" s="316" t="s">
        <v>283</v>
      </c>
      <c r="E260" s="319">
        <v>20</v>
      </c>
      <c r="F260" s="330">
        <f>E260*C260</f>
        <v>0</v>
      </c>
      <c r="G260" s="298"/>
    </row>
    <row r="261" spans="1:7">
      <c r="A261" s="302">
        <v>4</v>
      </c>
      <c r="B261" s="340" t="s">
        <v>521</v>
      </c>
      <c r="C261" s="302">
        <v>0</v>
      </c>
      <c r="D261" s="316" t="s">
        <v>283</v>
      </c>
      <c r="E261" s="319">
        <v>12</v>
      </c>
      <c r="F261" s="330">
        <f>E261*C261</f>
        <v>0</v>
      </c>
      <c r="G261" s="298"/>
    </row>
    <row r="262" spans="1:7">
      <c r="A262" s="302">
        <v>5</v>
      </c>
      <c r="B262" s="340" t="s">
        <v>522</v>
      </c>
      <c r="C262" s="302">
        <v>0</v>
      </c>
      <c r="D262" s="316" t="s">
        <v>283</v>
      </c>
      <c r="E262" s="319">
        <v>12</v>
      </c>
      <c r="F262" s="330">
        <f t="shared" ref="F262:F268" si="21">C262*E262</f>
        <v>0</v>
      </c>
      <c r="G262" s="298"/>
    </row>
    <row r="263" spans="1:7">
      <c r="A263" s="302">
        <v>6</v>
      </c>
      <c r="B263" s="340" t="s">
        <v>523</v>
      </c>
      <c r="C263" s="302">
        <v>0</v>
      </c>
      <c r="D263" s="316" t="s">
        <v>283</v>
      </c>
      <c r="E263" s="319">
        <v>10</v>
      </c>
      <c r="F263" s="330">
        <f t="shared" si="21"/>
        <v>0</v>
      </c>
      <c r="G263" s="298"/>
    </row>
    <row r="264" spans="1:7">
      <c r="A264" s="302">
        <v>7</v>
      </c>
      <c r="B264" s="340" t="s">
        <v>524</v>
      </c>
      <c r="C264" s="302">
        <v>0</v>
      </c>
      <c r="D264" s="316" t="s">
        <v>429</v>
      </c>
      <c r="E264" s="319">
        <v>650</v>
      </c>
      <c r="F264" s="330">
        <f t="shared" si="21"/>
        <v>0</v>
      </c>
      <c r="G264" s="298"/>
    </row>
    <row r="265" spans="1:7">
      <c r="A265" s="302">
        <v>8</v>
      </c>
      <c r="B265" s="340" t="s">
        <v>525</v>
      </c>
      <c r="C265" s="302">
        <v>0</v>
      </c>
      <c r="D265" s="316" t="s">
        <v>412</v>
      </c>
      <c r="E265" s="319">
        <v>30000</v>
      </c>
      <c r="F265" s="330">
        <f t="shared" si="21"/>
        <v>0</v>
      </c>
      <c r="G265" s="298"/>
    </row>
    <row r="266" spans="1:7">
      <c r="A266" s="302">
        <v>9</v>
      </c>
      <c r="B266" s="340" t="s">
        <v>526</v>
      </c>
      <c r="C266" s="302">
        <v>0</v>
      </c>
      <c r="D266" s="316" t="s">
        <v>283</v>
      </c>
      <c r="E266" s="319">
        <v>15</v>
      </c>
      <c r="F266" s="330">
        <f t="shared" si="21"/>
        <v>0</v>
      </c>
      <c r="G266" s="298"/>
    </row>
    <row r="267" spans="1:7">
      <c r="A267" s="302">
        <v>10</v>
      </c>
      <c r="B267" s="340" t="s">
        <v>527</v>
      </c>
      <c r="C267" s="302">
        <v>0</v>
      </c>
      <c r="D267" s="316" t="s">
        <v>283</v>
      </c>
      <c r="E267" s="319">
        <v>15</v>
      </c>
      <c r="F267" s="330">
        <f t="shared" si="21"/>
        <v>0</v>
      </c>
      <c r="G267" s="298"/>
    </row>
    <row r="268" spans="1:7">
      <c r="A268" s="302">
        <v>11</v>
      </c>
      <c r="B268" s="340" t="s">
        <v>528</v>
      </c>
      <c r="C268" s="302">
        <v>0</v>
      </c>
      <c r="D268" s="316" t="s">
        <v>412</v>
      </c>
      <c r="E268" s="319">
        <v>25000</v>
      </c>
      <c r="F268" s="330">
        <f t="shared" si="21"/>
        <v>0</v>
      </c>
      <c r="G268" s="298"/>
    </row>
    <row r="269" spans="1:7" ht="16" thickBot="1">
      <c r="A269" s="308"/>
      <c r="B269" s="308"/>
      <c r="C269" s="302"/>
      <c r="D269" s="316"/>
      <c r="E269" s="320"/>
      <c r="F269" s="330" t="s">
        <v>358</v>
      </c>
      <c r="G269" s="298"/>
    </row>
    <row r="270" spans="1:7" ht="16" thickBot="1">
      <c r="A270" s="335" t="s">
        <v>417</v>
      </c>
      <c r="B270" s="335" t="str">
        <f>B239</f>
        <v>DRYWALL</v>
      </c>
      <c r="C270" s="335"/>
      <c r="D270" s="336"/>
      <c r="E270" s="337"/>
      <c r="F270" s="338">
        <f>SUM(F238:F269)</f>
        <v>119664</v>
      </c>
      <c r="G270" s="339"/>
    </row>
    <row r="271" spans="1:7">
      <c r="A271" s="302"/>
      <c r="B271" s="302"/>
      <c r="C271" s="302"/>
      <c r="D271" s="316"/>
      <c r="E271" s="320"/>
      <c r="F271" s="330"/>
      <c r="G271" s="298"/>
    </row>
    <row r="272" spans="1:7">
      <c r="A272" s="301" t="s">
        <v>342</v>
      </c>
      <c r="B272" s="308" t="s">
        <v>529</v>
      </c>
      <c r="C272" s="302"/>
      <c r="D272" s="316"/>
      <c r="E272" s="319" t="s">
        <v>358</v>
      </c>
      <c r="F272" s="330" t="s">
        <v>358</v>
      </c>
      <c r="G272" s="298"/>
    </row>
    <row r="273" spans="1:7">
      <c r="A273" s="302">
        <v>1</v>
      </c>
      <c r="B273" s="340" t="s">
        <v>530</v>
      </c>
      <c r="C273" s="302">
        <v>0</v>
      </c>
      <c r="D273" s="316" t="s">
        <v>283</v>
      </c>
      <c r="E273" s="319">
        <v>30</v>
      </c>
      <c r="F273" s="330">
        <f>C273*E273</f>
        <v>0</v>
      </c>
      <c r="G273" s="326" t="s">
        <v>358</v>
      </c>
    </row>
    <row r="274" spans="1:7">
      <c r="A274" s="302">
        <v>2</v>
      </c>
      <c r="B274" s="340" t="s">
        <v>531</v>
      </c>
      <c r="C274" s="313">
        <v>0</v>
      </c>
      <c r="D274" s="316" t="s">
        <v>283</v>
      </c>
      <c r="E274" s="319">
        <v>30</v>
      </c>
      <c r="F274" s="330">
        <f>C274*E274</f>
        <v>0</v>
      </c>
      <c r="G274" s="326"/>
    </row>
    <row r="275" spans="1:7">
      <c r="A275" s="302">
        <v>3</v>
      </c>
      <c r="B275" s="340" t="s">
        <v>532</v>
      </c>
      <c r="C275" s="302">
        <v>0</v>
      </c>
      <c r="D275" s="316" t="s">
        <v>283</v>
      </c>
      <c r="E275" s="319">
        <v>35</v>
      </c>
      <c r="F275" s="330">
        <f>C275*E275</f>
        <v>0</v>
      </c>
      <c r="G275" s="298"/>
    </row>
    <row r="276" spans="1:7">
      <c r="A276" s="302">
        <v>4</v>
      </c>
      <c r="B276" s="340" t="s">
        <v>533</v>
      </c>
      <c r="C276" s="302">
        <v>0</v>
      </c>
      <c r="D276" s="316" t="s">
        <v>283</v>
      </c>
      <c r="E276" s="319">
        <v>20</v>
      </c>
      <c r="F276" s="330">
        <f>C276*E276</f>
        <v>0</v>
      </c>
      <c r="G276" s="298"/>
    </row>
    <row r="277" spans="1:7">
      <c r="A277" s="302">
        <v>5</v>
      </c>
      <c r="B277" s="340" t="s">
        <v>534</v>
      </c>
      <c r="C277" s="302">
        <v>0</v>
      </c>
      <c r="D277" s="316" t="s">
        <v>283</v>
      </c>
      <c r="E277" s="319">
        <v>20</v>
      </c>
      <c r="F277" s="330">
        <f>C277*E277</f>
        <v>0</v>
      </c>
      <c r="G277" s="298"/>
    </row>
    <row r="278" spans="1:7" ht="16" thickBot="1">
      <c r="A278" s="308"/>
      <c r="B278" s="308"/>
      <c r="C278" s="302"/>
      <c r="D278" s="316"/>
      <c r="E278" s="320"/>
      <c r="F278" s="330" t="s">
        <v>358</v>
      </c>
      <c r="G278" s="298"/>
    </row>
    <row r="279" spans="1:7" ht="16" thickBot="1">
      <c r="A279" s="335" t="s">
        <v>417</v>
      </c>
      <c r="B279" s="335" t="str">
        <f>B272</f>
        <v>TILE</v>
      </c>
      <c r="C279" s="335"/>
      <c r="D279" s="336"/>
      <c r="E279" s="337"/>
      <c r="F279" s="338">
        <f>SUM(F271:F278)</f>
        <v>0</v>
      </c>
      <c r="G279" s="339"/>
    </row>
    <row r="280" spans="1:7">
      <c r="A280" s="302"/>
      <c r="B280" s="302"/>
      <c r="C280" s="302"/>
      <c r="D280" s="316"/>
      <c r="E280" s="319"/>
      <c r="F280" s="330"/>
      <c r="G280" s="298"/>
    </row>
    <row r="281" spans="1:7">
      <c r="A281" s="301" t="s">
        <v>344</v>
      </c>
      <c r="B281" s="308" t="s">
        <v>345</v>
      </c>
      <c r="C281" s="302"/>
      <c r="D281" s="316"/>
      <c r="E281" s="319"/>
      <c r="F281" s="330" t="s">
        <v>358</v>
      </c>
      <c r="G281" s="298"/>
    </row>
    <row r="282" spans="1:7">
      <c r="A282" s="302">
        <v>1</v>
      </c>
      <c r="B282" s="340" t="s">
        <v>535</v>
      </c>
      <c r="C282" s="302">
        <v>0</v>
      </c>
      <c r="D282" s="316" t="s">
        <v>283</v>
      </c>
      <c r="E282" s="319">
        <v>5.5</v>
      </c>
      <c r="F282" s="330">
        <f t="shared" ref="F282:F292" si="22">E282*C282</f>
        <v>0</v>
      </c>
      <c r="G282" s="298"/>
    </row>
    <row r="283" spans="1:7">
      <c r="A283" s="302">
        <f>A282+1</f>
        <v>2</v>
      </c>
      <c r="B283" s="340" t="s">
        <v>536</v>
      </c>
      <c r="C283" s="302">
        <v>0</v>
      </c>
      <c r="D283" s="316" t="s">
        <v>283</v>
      </c>
      <c r="E283" s="319">
        <v>10</v>
      </c>
      <c r="F283" s="330">
        <f t="shared" si="22"/>
        <v>0</v>
      </c>
      <c r="G283" s="298"/>
    </row>
    <row r="284" spans="1:7">
      <c r="A284" s="302">
        <f t="shared" ref="A284:A292" si="23">A283+1</f>
        <v>3</v>
      </c>
      <c r="B284" s="340" t="s">
        <v>1032</v>
      </c>
      <c r="C284" s="302">
        <v>30505</v>
      </c>
      <c r="D284" s="316" t="s">
        <v>283</v>
      </c>
      <c r="E284" s="319">
        <v>20</v>
      </c>
      <c r="F284" s="330">
        <f t="shared" si="22"/>
        <v>610100</v>
      </c>
      <c r="G284" s="298"/>
    </row>
    <row r="285" spans="1:7">
      <c r="A285" s="302">
        <f t="shared" si="23"/>
        <v>4</v>
      </c>
      <c r="B285" s="340" t="s">
        <v>1033</v>
      </c>
      <c r="C285" s="302">
        <v>1189</v>
      </c>
      <c r="D285" s="316" t="s">
        <v>283</v>
      </c>
      <c r="E285" s="319">
        <v>12</v>
      </c>
      <c r="F285" s="330">
        <f t="shared" si="22"/>
        <v>14268</v>
      </c>
      <c r="G285" s="298"/>
    </row>
    <row r="286" spans="1:7">
      <c r="A286" s="302">
        <f t="shared" si="23"/>
        <v>5</v>
      </c>
      <c r="B286" s="340" t="s">
        <v>537</v>
      </c>
      <c r="C286" s="302">
        <v>0</v>
      </c>
      <c r="D286" s="316" t="s">
        <v>283</v>
      </c>
      <c r="E286" s="319">
        <v>7</v>
      </c>
      <c r="F286" s="330">
        <f t="shared" si="22"/>
        <v>0</v>
      </c>
      <c r="G286" s="298"/>
    </row>
    <row r="287" spans="1:7">
      <c r="A287" s="302">
        <f t="shared" si="23"/>
        <v>6</v>
      </c>
      <c r="B287" s="340" t="s">
        <v>538</v>
      </c>
      <c r="C287" s="302">
        <v>0</v>
      </c>
      <c r="D287" s="316" t="s">
        <v>427</v>
      </c>
      <c r="E287" s="319">
        <v>2.75</v>
      </c>
      <c r="F287" s="330">
        <f t="shared" si="22"/>
        <v>0</v>
      </c>
      <c r="G287" s="298"/>
    </row>
    <row r="288" spans="1:7">
      <c r="A288" s="302"/>
      <c r="B288" s="340" t="s">
        <v>1038</v>
      </c>
      <c r="C288" s="302">
        <f>4753+836+848+188+409</f>
        <v>7034</v>
      </c>
      <c r="D288" s="316" t="s">
        <v>283</v>
      </c>
      <c r="E288" s="319">
        <v>20</v>
      </c>
      <c r="F288" s="330">
        <f t="shared" si="22"/>
        <v>140680</v>
      </c>
      <c r="G288" s="298"/>
    </row>
    <row r="289" spans="1:7">
      <c r="A289" s="302"/>
      <c r="B289" s="340"/>
      <c r="C289" s="302"/>
      <c r="D289" s="316"/>
      <c r="E289" s="319"/>
      <c r="F289" s="330"/>
      <c r="G289" s="298"/>
    </row>
    <row r="290" spans="1:7">
      <c r="A290" s="302">
        <f>A287+1</f>
        <v>7</v>
      </c>
      <c r="B290" s="340" t="s">
        <v>539</v>
      </c>
      <c r="C290" s="302">
        <v>0</v>
      </c>
      <c r="D290" s="316" t="s">
        <v>283</v>
      </c>
      <c r="E290" s="319">
        <v>1.5</v>
      </c>
      <c r="F290" s="330">
        <f t="shared" si="22"/>
        <v>0</v>
      </c>
      <c r="G290" s="298"/>
    </row>
    <row r="291" spans="1:7">
      <c r="A291" s="302">
        <f t="shared" si="23"/>
        <v>8</v>
      </c>
      <c r="B291" s="340" t="s">
        <v>540</v>
      </c>
      <c r="C291" s="302">
        <v>0</v>
      </c>
      <c r="D291" s="316" t="s">
        <v>283</v>
      </c>
      <c r="E291" s="319">
        <v>100</v>
      </c>
      <c r="F291" s="330">
        <f t="shared" si="22"/>
        <v>0</v>
      </c>
      <c r="G291" s="298"/>
    </row>
    <row r="292" spans="1:7">
      <c r="A292" s="302">
        <f t="shared" si="23"/>
        <v>9</v>
      </c>
      <c r="B292" s="340" t="s">
        <v>541</v>
      </c>
      <c r="C292" s="302">
        <v>0</v>
      </c>
      <c r="D292" s="316" t="s">
        <v>412</v>
      </c>
      <c r="E292" s="319">
        <v>17500</v>
      </c>
      <c r="F292" s="330">
        <f t="shared" si="22"/>
        <v>0</v>
      </c>
      <c r="G292" s="298"/>
    </row>
    <row r="293" spans="1:7" ht="16" thickBot="1">
      <c r="A293" s="302"/>
      <c r="B293" s="302"/>
      <c r="C293" s="302"/>
      <c r="D293" s="316"/>
      <c r="E293" s="320"/>
      <c r="F293" s="330"/>
      <c r="G293" s="298"/>
    </row>
    <row r="294" spans="1:7" ht="16" thickBot="1">
      <c r="A294" s="335" t="s">
        <v>417</v>
      </c>
      <c r="B294" s="335" t="str">
        <f>B281</f>
        <v>CARPET/RESILIENT FLOORING</v>
      </c>
      <c r="C294" s="335"/>
      <c r="D294" s="336"/>
      <c r="E294" s="337"/>
      <c r="F294" s="338">
        <f>SUM(F280:F293)</f>
        <v>765048</v>
      </c>
      <c r="G294" s="339"/>
    </row>
    <row r="295" spans="1:7">
      <c r="A295" s="302"/>
      <c r="B295" s="302"/>
      <c r="C295" s="302"/>
      <c r="D295" s="316"/>
      <c r="E295" s="319"/>
      <c r="F295" s="330"/>
      <c r="G295" s="298"/>
    </row>
    <row r="296" spans="1:7">
      <c r="A296" s="301" t="s">
        <v>346</v>
      </c>
      <c r="B296" s="308" t="s">
        <v>347</v>
      </c>
      <c r="C296" s="302"/>
      <c r="D296" s="316"/>
      <c r="E296" s="319"/>
      <c r="F296" s="330" t="s">
        <v>358</v>
      </c>
      <c r="G296" s="298"/>
    </row>
    <row r="297" spans="1:7">
      <c r="A297" s="302">
        <v>1</v>
      </c>
      <c r="B297" s="340" t="s">
        <v>1000</v>
      </c>
      <c r="C297" s="302">
        <v>24538</v>
      </c>
      <c r="D297" s="316" t="s">
        <v>283</v>
      </c>
      <c r="E297" s="320">
        <v>12</v>
      </c>
      <c r="F297" s="330">
        <f>E297*C297</f>
        <v>294456</v>
      </c>
      <c r="G297" s="326" t="s">
        <v>358</v>
      </c>
    </row>
    <row r="298" spans="1:7">
      <c r="A298" s="302">
        <v>2</v>
      </c>
      <c r="B298" s="340" t="s">
        <v>1001</v>
      </c>
      <c r="C298" s="302">
        <v>24538</v>
      </c>
      <c r="D298" s="316" t="s">
        <v>283</v>
      </c>
      <c r="E298" s="320">
        <v>9</v>
      </c>
      <c r="F298" s="330">
        <f>E298*C298</f>
        <v>220842</v>
      </c>
      <c r="G298" s="326"/>
    </row>
    <row r="299" spans="1:7" s="72" customFormat="1">
      <c r="A299" s="303">
        <v>3</v>
      </c>
      <c r="B299" s="342" t="s">
        <v>1002</v>
      </c>
      <c r="C299" s="303">
        <v>0</v>
      </c>
      <c r="D299" s="317" t="s">
        <v>283</v>
      </c>
      <c r="E299" s="792">
        <v>5</v>
      </c>
      <c r="F299" s="331">
        <f>E299*C299</f>
        <v>0</v>
      </c>
      <c r="G299" s="793"/>
    </row>
    <row r="300" spans="1:7">
      <c r="A300" s="302"/>
      <c r="B300" s="340"/>
      <c r="C300" s="302"/>
      <c r="D300" s="316"/>
      <c r="E300" s="320"/>
      <c r="F300" s="330"/>
      <c r="G300" s="326"/>
    </row>
    <row r="301" spans="1:7" ht="16" thickBot="1">
      <c r="A301" s="302"/>
      <c r="B301" s="302"/>
      <c r="C301" s="302"/>
      <c r="D301" s="316"/>
      <c r="E301" s="320"/>
      <c r="F301" s="330"/>
      <c r="G301" s="298"/>
    </row>
    <row r="302" spans="1:7" ht="16" thickBot="1">
      <c r="A302" s="335" t="s">
        <v>417</v>
      </c>
      <c r="B302" s="335" t="str">
        <f>B296</f>
        <v>FLOOR PREPARATION</v>
      </c>
      <c r="C302" s="335"/>
      <c r="D302" s="336"/>
      <c r="E302" s="337"/>
      <c r="F302" s="338">
        <f>SUM(F295:F301)</f>
        <v>515298</v>
      </c>
      <c r="G302" s="339"/>
    </row>
    <row r="303" spans="1:7">
      <c r="A303" s="302"/>
      <c r="B303" s="302"/>
      <c r="C303" s="302"/>
      <c r="D303" s="316"/>
      <c r="E303" s="319"/>
      <c r="F303" s="330"/>
      <c r="G303" s="298"/>
    </row>
    <row r="304" spans="1:7">
      <c r="A304" s="301" t="s">
        <v>348</v>
      </c>
      <c r="B304" s="308" t="s">
        <v>349</v>
      </c>
      <c r="C304" s="302"/>
      <c r="D304" s="316"/>
      <c r="E304" s="319"/>
      <c r="F304" s="330"/>
      <c r="G304" s="298"/>
    </row>
    <row r="305" spans="1:7">
      <c r="A305" s="302">
        <v>1</v>
      </c>
      <c r="B305" s="340" t="s">
        <v>542</v>
      </c>
      <c r="C305" s="302">
        <v>4634</v>
      </c>
      <c r="D305" s="316" t="s">
        <v>283</v>
      </c>
      <c r="E305" s="319">
        <v>45</v>
      </c>
      <c r="F305" s="330">
        <f>C305*E305</f>
        <v>208530</v>
      </c>
      <c r="G305" s="298" t="s">
        <v>358</v>
      </c>
    </row>
    <row r="306" spans="1:7">
      <c r="A306" s="302">
        <v>2</v>
      </c>
      <c r="B306" s="340" t="s">
        <v>1037</v>
      </c>
      <c r="C306" s="302">
        <v>3656</v>
      </c>
      <c r="D306" s="316" t="s">
        <v>283</v>
      </c>
      <c r="E306" s="319">
        <v>45</v>
      </c>
      <c r="F306" s="330">
        <f>C306*E306</f>
        <v>164520</v>
      </c>
      <c r="G306" s="298"/>
    </row>
    <row r="307" spans="1:7" ht="16" thickBot="1">
      <c r="A307" s="302"/>
      <c r="B307" s="302"/>
      <c r="C307" s="302"/>
      <c r="D307" s="316"/>
      <c r="E307" s="319"/>
      <c r="F307" s="330"/>
      <c r="G307" s="298"/>
    </row>
    <row r="308" spans="1:7" ht="16" thickBot="1">
      <c r="A308" s="335" t="s">
        <v>417</v>
      </c>
      <c r="B308" s="335" t="str">
        <f>B304</f>
        <v>WOOD FLOORING</v>
      </c>
      <c r="C308" s="335"/>
      <c r="D308" s="336"/>
      <c r="E308" s="337"/>
      <c r="F308" s="338">
        <f>SUM(F303:F307)</f>
        <v>373050</v>
      </c>
      <c r="G308" s="339"/>
    </row>
    <row r="309" spans="1:7">
      <c r="A309" s="302"/>
      <c r="B309" s="302"/>
      <c r="C309" s="302"/>
      <c r="D309" s="316"/>
      <c r="E309" s="319"/>
      <c r="F309" s="330"/>
      <c r="G309" s="326"/>
    </row>
    <row r="310" spans="1:7">
      <c r="A310" s="301" t="s">
        <v>350</v>
      </c>
      <c r="B310" s="308" t="s">
        <v>351</v>
      </c>
      <c r="C310" s="302"/>
      <c r="D310" s="316"/>
      <c r="E310" s="319"/>
      <c r="F310" s="330" t="s">
        <v>358</v>
      </c>
      <c r="G310" s="298"/>
    </row>
    <row r="311" spans="1:7">
      <c r="A311" s="302">
        <v>1</v>
      </c>
      <c r="B311" s="340" t="s">
        <v>543</v>
      </c>
      <c r="C311" s="302">
        <v>135953</v>
      </c>
      <c r="D311" s="316" t="s">
        <v>283</v>
      </c>
      <c r="E311" s="319">
        <v>5</v>
      </c>
      <c r="F311" s="330">
        <f>C311*E311</f>
        <v>679765</v>
      </c>
      <c r="G311" s="298"/>
    </row>
    <row r="312" spans="1:7">
      <c r="A312" s="302">
        <v>2</v>
      </c>
      <c r="B312" s="340" t="s">
        <v>544</v>
      </c>
      <c r="C312" s="302">
        <v>1</v>
      </c>
      <c r="D312" s="316" t="s">
        <v>412</v>
      </c>
      <c r="E312" s="319">
        <v>12000</v>
      </c>
      <c r="F312" s="330">
        <f>C312*E312</f>
        <v>12000</v>
      </c>
      <c r="G312" s="298"/>
    </row>
    <row r="313" spans="1:7">
      <c r="A313" s="302">
        <v>3</v>
      </c>
      <c r="B313" s="340" t="s">
        <v>1028</v>
      </c>
      <c r="C313" s="302">
        <v>0</v>
      </c>
      <c r="D313" s="316" t="s">
        <v>283</v>
      </c>
      <c r="E313" s="319">
        <v>25</v>
      </c>
      <c r="F313" s="330">
        <f t="shared" ref="F313:F314" si="24">C313*E313</f>
        <v>0</v>
      </c>
      <c r="G313" s="298"/>
    </row>
    <row r="314" spans="1:7">
      <c r="A314" s="302">
        <v>4</v>
      </c>
      <c r="B314" s="340" t="s">
        <v>1027</v>
      </c>
      <c r="C314" s="302">
        <v>5000</v>
      </c>
      <c r="D314" s="316" t="s">
        <v>283</v>
      </c>
      <c r="E314" s="319">
        <v>80</v>
      </c>
      <c r="F314" s="330">
        <f t="shared" si="24"/>
        <v>400000</v>
      </c>
      <c r="G314" s="298"/>
    </row>
    <row r="315" spans="1:7" ht="16" thickBot="1">
      <c r="A315" s="302"/>
      <c r="B315" s="302"/>
      <c r="C315" s="302"/>
      <c r="D315" s="316"/>
      <c r="E315" s="319"/>
      <c r="F315" s="330"/>
      <c r="G315" s="298"/>
    </row>
    <row r="316" spans="1:7" ht="16" thickBot="1">
      <c r="A316" s="335" t="s">
        <v>417</v>
      </c>
      <c r="B316" s="335" t="str">
        <f>B310</f>
        <v>PAINTING/PLASTER</v>
      </c>
      <c r="C316" s="335"/>
      <c r="D316" s="336"/>
      <c r="E316" s="337"/>
      <c r="F316" s="338">
        <f>SUM(F309:F315)</f>
        <v>1091765</v>
      </c>
      <c r="G316" s="339"/>
    </row>
    <row r="317" spans="1:7">
      <c r="A317" s="302"/>
      <c r="B317" s="302"/>
      <c r="C317" s="302"/>
      <c r="D317" s="316"/>
      <c r="E317" s="319"/>
      <c r="F317" s="330"/>
      <c r="G317" s="326"/>
    </row>
    <row r="318" spans="1:7">
      <c r="A318" s="301" t="s">
        <v>352</v>
      </c>
      <c r="B318" s="308" t="s">
        <v>545</v>
      </c>
      <c r="C318" s="302"/>
      <c r="D318" s="316"/>
      <c r="E318" s="319"/>
      <c r="F318" s="330"/>
      <c r="G318" s="298"/>
    </row>
    <row r="319" spans="1:7">
      <c r="A319" s="302">
        <v>1</v>
      </c>
      <c r="B319" s="340" t="s">
        <v>994</v>
      </c>
      <c r="C319" s="302">
        <v>60</v>
      </c>
      <c r="D319" s="316" t="s">
        <v>429</v>
      </c>
      <c r="E319" s="323">
        <v>350</v>
      </c>
      <c r="F319" s="333">
        <f>E319*C319</f>
        <v>21000</v>
      </c>
      <c r="G319" s="298"/>
    </row>
    <row r="320" spans="1:7">
      <c r="A320" s="302">
        <f>A319+1</f>
        <v>2</v>
      </c>
      <c r="B320" s="340" t="s">
        <v>546</v>
      </c>
      <c r="C320" s="302">
        <f>C321</f>
        <v>178</v>
      </c>
      <c r="D320" s="316" t="s">
        <v>547</v>
      </c>
      <c r="E320" s="323">
        <v>600</v>
      </c>
      <c r="F320" s="333">
        <f>E320*C320</f>
        <v>106800</v>
      </c>
      <c r="G320" s="298"/>
    </row>
    <row r="321" spans="1:10">
      <c r="A321" s="302">
        <f t="shared" ref="A321:A326" si="25">A320+1</f>
        <v>3</v>
      </c>
      <c r="B321" s="340" t="s">
        <v>548</v>
      </c>
      <c r="C321" s="302">
        <f>SUM(C383:C385)</f>
        <v>178</v>
      </c>
      <c r="D321" s="316" t="s">
        <v>429</v>
      </c>
      <c r="E321" s="323">
        <v>1750</v>
      </c>
      <c r="F321" s="333">
        <f>E321*C321</f>
        <v>311500</v>
      </c>
      <c r="G321" s="298"/>
    </row>
    <row r="322" spans="1:10">
      <c r="A322" s="302">
        <f t="shared" si="25"/>
        <v>4</v>
      </c>
      <c r="B322" s="340" t="s">
        <v>997</v>
      </c>
      <c r="C322" s="302">
        <f>SUM(C389:C391)</f>
        <v>51</v>
      </c>
      <c r="D322" s="316" t="s">
        <v>429</v>
      </c>
      <c r="E322" s="323">
        <v>500</v>
      </c>
      <c r="F322" s="333">
        <f t="shared" ref="F322:F324" si="26">E322*C322</f>
        <v>25500</v>
      </c>
      <c r="G322" s="298"/>
    </row>
    <row r="323" spans="1:10">
      <c r="A323" s="302">
        <f t="shared" si="25"/>
        <v>5</v>
      </c>
      <c r="B323" s="340" t="s">
        <v>998</v>
      </c>
      <c r="C323" s="302">
        <f>SUM(C386:C388)</f>
        <v>154</v>
      </c>
      <c r="D323" s="316" t="s">
        <v>429</v>
      </c>
      <c r="E323" s="323">
        <v>300</v>
      </c>
      <c r="F323" s="333">
        <f t="shared" si="26"/>
        <v>46200</v>
      </c>
      <c r="G323" s="298"/>
    </row>
    <row r="324" spans="1:10">
      <c r="A324" s="302">
        <f t="shared" si="25"/>
        <v>6</v>
      </c>
      <c r="B324" s="340" t="s">
        <v>999</v>
      </c>
      <c r="C324" s="302">
        <v>1</v>
      </c>
      <c r="D324" s="316" t="s">
        <v>975</v>
      </c>
      <c r="E324" s="323">
        <v>30000</v>
      </c>
      <c r="F324" s="333">
        <f t="shared" si="26"/>
        <v>30000</v>
      </c>
      <c r="G324" s="298"/>
      <c r="J324" s="1">
        <f>1000000/2000</f>
        <v>500</v>
      </c>
    </row>
    <row r="325" spans="1:10">
      <c r="A325" s="302">
        <f t="shared" si="25"/>
        <v>7</v>
      </c>
      <c r="B325" s="340" t="s">
        <v>549</v>
      </c>
      <c r="C325" s="302">
        <v>1</v>
      </c>
      <c r="D325" s="316" t="s">
        <v>975</v>
      </c>
      <c r="E325" s="323">
        <v>7500</v>
      </c>
      <c r="F325" s="333">
        <f>E325*C325</f>
        <v>7500</v>
      </c>
      <c r="G325" s="298"/>
    </row>
    <row r="326" spans="1:10">
      <c r="A326" s="302">
        <f t="shared" si="25"/>
        <v>8</v>
      </c>
      <c r="B326" s="340" t="s">
        <v>1026</v>
      </c>
      <c r="C326" s="302">
        <v>2000</v>
      </c>
      <c r="D326" s="316" t="s">
        <v>429</v>
      </c>
      <c r="E326" s="323">
        <v>500</v>
      </c>
      <c r="F326" s="333">
        <f>E326*C326</f>
        <v>1000000</v>
      </c>
      <c r="G326" s="298" t="s">
        <v>1030</v>
      </c>
    </row>
    <row r="327" spans="1:10" ht="16" thickBot="1">
      <c r="A327" s="302"/>
      <c r="B327" s="302"/>
      <c r="C327" s="302"/>
      <c r="D327" s="316"/>
      <c r="E327" s="320"/>
      <c r="F327" s="330"/>
      <c r="G327" s="298"/>
    </row>
    <row r="328" spans="1:10" ht="16" thickBot="1">
      <c r="A328" s="335" t="s">
        <v>417</v>
      </c>
      <c r="B328" s="335" t="str">
        <f>B318</f>
        <v>SPECIALTIES</v>
      </c>
      <c r="C328" s="335"/>
      <c r="D328" s="336"/>
      <c r="E328" s="337"/>
      <c r="F328" s="338">
        <f>SUM(F317:F327)</f>
        <v>1548500</v>
      </c>
      <c r="G328" s="339"/>
    </row>
    <row r="329" spans="1:10">
      <c r="A329" s="302"/>
      <c r="B329" s="302"/>
      <c r="C329" s="302"/>
      <c r="D329" s="316"/>
      <c r="E329" s="319"/>
      <c r="F329" s="330"/>
      <c r="G329" s="326"/>
    </row>
    <row r="330" spans="1:10">
      <c r="A330" s="301" t="s">
        <v>354</v>
      </c>
      <c r="B330" s="308" t="s">
        <v>550</v>
      </c>
      <c r="C330" s="302"/>
      <c r="D330" s="316"/>
      <c r="E330" s="319"/>
      <c r="F330" s="330"/>
      <c r="G330" s="298"/>
    </row>
    <row r="331" spans="1:10">
      <c r="A331" s="302">
        <v>1</v>
      </c>
      <c r="B331" s="343" t="s">
        <v>995</v>
      </c>
      <c r="C331" s="302">
        <v>1</v>
      </c>
      <c r="D331" s="316" t="s">
        <v>975</v>
      </c>
      <c r="E331" s="319">
        <v>150000</v>
      </c>
      <c r="F331" s="330">
        <f>C331*E331</f>
        <v>150000</v>
      </c>
      <c r="G331" s="298"/>
    </row>
    <row r="332" spans="1:10">
      <c r="A332" s="302">
        <v>2</v>
      </c>
      <c r="B332" s="343" t="s">
        <v>976</v>
      </c>
      <c r="C332" s="302">
        <v>30843</v>
      </c>
      <c r="D332" s="316" t="s">
        <v>283</v>
      </c>
      <c r="E332" s="319">
        <v>14</v>
      </c>
      <c r="F332" s="330">
        <f>C332*E332</f>
        <v>431802</v>
      </c>
      <c r="G332" s="298"/>
    </row>
    <row r="333" spans="1:10" ht="16" thickBot="1">
      <c r="A333" s="302"/>
      <c r="B333" s="302"/>
      <c r="C333" s="302"/>
      <c r="D333" s="316"/>
      <c r="E333" s="320"/>
      <c r="F333" s="330"/>
      <c r="G333" s="298"/>
    </row>
    <row r="334" spans="1:10" ht="16" thickBot="1">
      <c r="A334" s="335" t="s">
        <v>417</v>
      </c>
      <c r="B334" s="335" t="str">
        <f>B330</f>
        <v>ACOUSTICAL PANELS/ K13</v>
      </c>
      <c r="C334" s="335"/>
      <c r="D334" s="336"/>
      <c r="E334" s="337"/>
      <c r="F334" s="338">
        <f>SUM(F329:F333)</f>
        <v>581802</v>
      </c>
      <c r="G334" s="339"/>
    </row>
    <row r="335" spans="1:10">
      <c r="A335" s="302"/>
      <c r="B335" s="302"/>
      <c r="C335" s="302"/>
      <c r="D335" s="316"/>
      <c r="E335" s="319"/>
      <c r="F335" s="330"/>
      <c r="G335" s="326"/>
    </row>
    <row r="336" spans="1:10">
      <c r="A336" s="301" t="s">
        <v>400</v>
      </c>
      <c r="B336" s="308" t="s">
        <v>356</v>
      </c>
      <c r="C336" s="302"/>
      <c r="D336" s="316"/>
      <c r="E336" s="319"/>
      <c r="F336" s="330"/>
      <c r="G336" s="298"/>
    </row>
    <row r="337" spans="1:7">
      <c r="A337" s="302">
        <v>1</v>
      </c>
      <c r="B337" s="343" t="s">
        <v>551</v>
      </c>
      <c r="C337" s="302">
        <v>1</v>
      </c>
      <c r="D337" s="316" t="s">
        <v>975</v>
      </c>
      <c r="E337" s="319">
        <v>45000</v>
      </c>
      <c r="F337" s="330">
        <f>E337*C337</f>
        <v>45000</v>
      </c>
      <c r="G337" s="298"/>
    </row>
    <row r="338" spans="1:7">
      <c r="A338" s="302">
        <f>A337+1</f>
        <v>2</v>
      </c>
      <c r="B338" s="343" t="s">
        <v>552</v>
      </c>
      <c r="C338" s="302">
        <v>0</v>
      </c>
      <c r="D338" s="316" t="s">
        <v>516</v>
      </c>
      <c r="E338" s="319">
        <v>0</v>
      </c>
      <c r="F338" s="330">
        <f>E338*C338</f>
        <v>0</v>
      </c>
      <c r="G338" s="298"/>
    </row>
    <row r="339" spans="1:7">
      <c r="A339" s="302">
        <f>A338+1</f>
        <v>3</v>
      </c>
      <c r="B339" s="343" t="s">
        <v>553</v>
      </c>
      <c r="C339" s="302">
        <v>1</v>
      </c>
      <c r="D339" s="316" t="s">
        <v>516</v>
      </c>
      <c r="E339" s="319">
        <v>5000</v>
      </c>
      <c r="F339" s="330">
        <f>E339*C339</f>
        <v>5000</v>
      </c>
      <c r="G339" s="298" t="s">
        <v>358</v>
      </c>
    </row>
    <row r="340" spans="1:7" ht="16" thickBot="1">
      <c r="A340" s="302"/>
      <c r="B340" s="302"/>
      <c r="C340" s="302"/>
      <c r="D340" s="316"/>
      <c r="E340" s="320"/>
      <c r="F340" s="330"/>
      <c r="G340" s="298"/>
    </row>
    <row r="341" spans="1:7" ht="16" thickBot="1">
      <c r="A341" s="335" t="s">
        <v>417</v>
      </c>
      <c r="B341" s="335" t="str">
        <f>B336</f>
        <v>SIGNAGE</v>
      </c>
      <c r="C341" s="335"/>
      <c r="D341" s="336"/>
      <c r="E341" s="337"/>
      <c r="F341" s="338">
        <f>SUM(F335:F340)</f>
        <v>50000</v>
      </c>
      <c r="G341" s="339"/>
    </row>
    <row r="342" spans="1:7">
      <c r="A342" s="302"/>
      <c r="B342" s="302"/>
      <c r="C342" s="302"/>
      <c r="D342" s="316"/>
      <c r="E342" s="319"/>
      <c r="F342" s="330"/>
      <c r="G342" s="326"/>
    </row>
    <row r="343" spans="1:7">
      <c r="A343" s="301" t="s">
        <v>400</v>
      </c>
      <c r="B343" s="308" t="s">
        <v>992</v>
      </c>
      <c r="C343" s="302"/>
      <c r="D343" s="316"/>
      <c r="E343" s="319"/>
      <c r="F343" s="330"/>
      <c r="G343" s="298"/>
    </row>
    <row r="344" spans="1:7">
      <c r="A344" s="302">
        <v>1</v>
      </c>
      <c r="B344" s="343" t="s">
        <v>993</v>
      </c>
      <c r="C344" s="302">
        <v>1</v>
      </c>
      <c r="D344" s="316" t="s">
        <v>975</v>
      </c>
      <c r="E344" s="319">
        <v>50000</v>
      </c>
      <c r="F344" s="330">
        <f>E344*C344</f>
        <v>50000</v>
      </c>
      <c r="G344" s="298"/>
    </row>
    <row r="345" spans="1:7" ht="16" thickBot="1">
      <c r="A345" s="302"/>
      <c r="B345" s="302"/>
      <c r="C345" s="302"/>
      <c r="D345" s="316"/>
      <c r="E345" s="320"/>
      <c r="F345" s="330"/>
      <c r="G345" s="298"/>
    </row>
    <row r="346" spans="1:7" ht="16" thickBot="1">
      <c r="A346" s="335" t="s">
        <v>417</v>
      </c>
      <c r="B346" s="335" t="str">
        <f>B343</f>
        <v>FF&amp;E Install</v>
      </c>
      <c r="C346" s="335"/>
      <c r="D346" s="336"/>
      <c r="E346" s="337"/>
      <c r="F346" s="338">
        <f>SUM(F342:F345)</f>
        <v>50000</v>
      </c>
      <c r="G346" s="339"/>
    </row>
    <row r="347" spans="1:7">
      <c r="A347" s="306"/>
      <c r="B347" s="306"/>
      <c r="C347" s="310"/>
      <c r="D347" s="318"/>
      <c r="E347" s="322"/>
      <c r="F347" s="332"/>
      <c r="G347" s="791"/>
    </row>
    <row r="348" spans="1:7">
      <c r="A348" s="307" t="s">
        <v>359</v>
      </c>
      <c r="B348" s="310" t="s">
        <v>554</v>
      </c>
      <c r="C348" s="310"/>
      <c r="D348" s="318"/>
      <c r="E348" s="322"/>
      <c r="F348" s="332"/>
      <c r="G348" s="791"/>
    </row>
    <row r="349" spans="1:7">
      <c r="A349" s="306">
        <v>1</v>
      </c>
      <c r="B349" s="344" t="s">
        <v>555</v>
      </c>
      <c r="C349" s="302">
        <v>0</v>
      </c>
      <c r="D349" s="316" t="s">
        <v>412</v>
      </c>
      <c r="E349" s="319"/>
      <c r="F349" s="330">
        <f>C349*E349</f>
        <v>0</v>
      </c>
      <c r="G349" s="791" t="s">
        <v>990</v>
      </c>
    </row>
    <row r="350" spans="1:7">
      <c r="A350" s="306">
        <v>2</v>
      </c>
      <c r="B350" s="344" t="s">
        <v>556</v>
      </c>
      <c r="C350" s="302">
        <v>0</v>
      </c>
      <c r="D350" s="316" t="s">
        <v>412</v>
      </c>
      <c r="E350" s="320"/>
      <c r="F350" s="330">
        <f t="shared" ref="F350:F352" si="27">C350*E350</f>
        <v>0</v>
      </c>
      <c r="G350" s="791" t="s">
        <v>990</v>
      </c>
    </row>
    <row r="351" spans="1:7">
      <c r="A351" s="306">
        <v>3</v>
      </c>
      <c r="B351" s="344" t="s">
        <v>557</v>
      </c>
      <c r="C351" s="302">
        <v>1</v>
      </c>
      <c r="D351" s="316" t="s">
        <v>975</v>
      </c>
      <c r="E351" s="319">
        <v>15000</v>
      </c>
      <c r="F351" s="330">
        <f t="shared" si="27"/>
        <v>15000</v>
      </c>
      <c r="G351" s="791" t="s">
        <v>1029</v>
      </c>
    </row>
    <row r="352" spans="1:7">
      <c r="A352" s="306">
        <v>4</v>
      </c>
      <c r="B352" s="344" t="s">
        <v>991</v>
      </c>
      <c r="C352" s="733">
        <v>1</v>
      </c>
      <c r="D352" s="734" t="s">
        <v>975</v>
      </c>
      <c r="E352" s="735">
        <v>35000</v>
      </c>
      <c r="F352" s="330">
        <f t="shared" si="27"/>
        <v>35000</v>
      </c>
      <c r="G352" s="791"/>
    </row>
    <row r="353" spans="1:7" ht="16" thickBot="1">
      <c r="A353" s="306"/>
      <c r="B353" s="306"/>
      <c r="C353" s="310"/>
      <c r="D353" s="318"/>
      <c r="E353" s="322"/>
      <c r="F353" s="332"/>
      <c r="G353" s="299"/>
    </row>
    <row r="354" spans="1:7" ht="16" thickBot="1">
      <c r="A354" s="335" t="s">
        <v>417</v>
      </c>
      <c r="B354" s="335" t="str">
        <f>B348</f>
        <v>FOOD SERVICE EQUIPMENT - BY OWNER</v>
      </c>
      <c r="C354" s="335"/>
      <c r="D354" s="336"/>
      <c r="E354" s="337"/>
      <c r="F354" s="338">
        <f>SUM(F347:F352)</f>
        <v>50000</v>
      </c>
      <c r="G354" s="339"/>
    </row>
    <row r="355" spans="1:7">
      <c r="A355" s="306"/>
      <c r="B355" s="306"/>
      <c r="C355" s="310"/>
      <c r="D355" s="318"/>
      <c r="E355" s="322"/>
      <c r="F355" s="332"/>
      <c r="G355" s="299"/>
    </row>
    <row r="356" spans="1:7">
      <c r="A356" s="307" t="s">
        <v>361</v>
      </c>
      <c r="B356" s="310" t="s">
        <v>362</v>
      </c>
      <c r="C356" s="310"/>
      <c r="D356" s="318"/>
      <c r="E356" s="322"/>
      <c r="F356" s="332"/>
      <c r="G356" s="299"/>
    </row>
    <row r="357" spans="1:7">
      <c r="A357" s="306">
        <v>1</v>
      </c>
      <c r="B357" s="344" t="s">
        <v>820</v>
      </c>
      <c r="C357" s="302">
        <v>4</v>
      </c>
      <c r="D357" s="316" t="s">
        <v>558</v>
      </c>
      <c r="E357" s="319">
        <v>75000</v>
      </c>
      <c r="F357" s="330">
        <f>C357*E357</f>
        <v>300000</v>
      </c>
      <c r="G357" s="299"/>
    </row>
    <row r="358" spans="1:7">
      <c r="A358" s="306">
        <v>2</v>
      </c>
      <c r="B358" s="344" t="s">
        <v>821</v>
      </c>
      <c r="C358" s="302">
        <v>2</v>
      </c>
      <c r="D358" s="316" t="s">
        <v>558</v>
      </c>
      <c r="E358" s="319">
        <v>75000</v>
      </c>
      <c r="F358" s="330">
        <f>C358*E358</f>
        <v>150000</v>
      </c>
      <c r="G358" s="299"/>
    </row>
    <row r="359" spans="1:7">
      <c r="A359" s="306">
        <v>3</v>
      </c>
      <c r="B359" s="344" t="s">
        <v>881</v>
      </c>
      <c r="C359" s="302">
        <v>1</v>
      </c>
      <c r="D359" s="316" t="s">
        <v>429</v>
      </c>
      <c r="E359" s="319">
        <v>30000</v>
      </c>
      <c r="F359" s="330">
        <f>C359*E359</f>
        <v>30000</v>
      </c>
      <c r="G359" s="299"/>
    </row>
    <row r="360" spans="1:7" ht="16" thickBot="1">
      <c r="A360" s="306"/>
      <c r="B360" s="306"/>
      <c r="C360" s="310"/>
      <c r="D360" s="318"/>
      <c r="E360" s="322"/>
      <c r="F360" s="332"/>
      <c r="G360" s="299"/>
    </row>
    <row r="361" spans="1:7" ht="16" thickBot="1">
      <c r="A361" s="335" t="s">
        <v>417</v>
      </c>
      <c r="B361" s="335" t="str">
        <f>B356</f>
        <v>ELEVATOR</v>
      </c>
      <c r="C361" s="335"/>
      <c r="D361" s="336"/>
      <c r="E361" s="337"/>
      <c r="F361" s="338">
        <f>SUM(F355:F360)</f>
        <v>480000</v>
      </c>
      <c r="G361" s="339"/>
    </row>
    <row r="362" spans="1:7">
      <c r="A362" s="306"/>
      <c r="B362" s="306"/>
      <c r="C362" s="310"/>
      <c r="D362" s="318"/>
      <c r="E362" s="322"/>
      <c r="F362" s="332"/>
      <c r="G362" s="299"/>
    </row>
    <row r="363" spans="1:7">
      <c r="A363" s="307" t="s">
        <v>363</v>
      </c>
      <c r="B363" s="310" t="s">
        <v>364</v>
      </c>
      <c r="C363" s="689"/>
      <c r="D363" s="690"/>
      <c r="E363" s="691"/>
      <c r="F363" s="692"/>
      <c r="G363" s="299"/>
    </row>
    <row r="364" spans="1:7">
      <c r="A364" s="740">
        <v>1</v>
      </c>
      <c r="B364" s="688" t="s">
        <v>879</v>
      </c>
      <c r="C364" s="688">
        <v>1</v>
      </c>
      <c r="D364" s="693" t="s">
        <v>412</v>
      </c>
      <c r="E364" s="694">
        <v>10000</v>
      </c>
      <c r="F364" s="695">
        <f>C364*E364</f>
        <v>10000</v>
      </c>
      <c r="G364" s="299"/>
    </row>
    <row r="365" spans="1:7">
      <c r="A365" s="306">
        <f>A364+1</f>
        <v>2</v>
      </c>
      <c r="B365" s="344" t="s">
        <v>880</v>
      </c>
      <c r="C365" s="302">
        <v>69000</v>
      </c>
      <c r="D365" s="316" t="s">
        <v>283</v>
      </c>
      <c r="E365" s="319">
        <v>4</v>
      </c>
      <c r="F365" s="330">
        <f>C365*E365</f>
        <v>276000</v>
      </c>
      <c r="G365" s="299"/>
    </row>
    <row r="366" spans="1:7">
      <c r="A366" s="306">
        <f>A365+1</f>
        <v>3</v>
      </c>
      <c r="B366" s="344" t="s">
        <v>958</v>
      </c>
      <c r="C366" s="302">
        <v>50000</v>
      </c>
      <c r="D366" s="316" t="s">
        <v>283</v>
      </c>
      <c r="E366" s="319">
        <v>15</v>
      </c>
      <c r="F366" s="330">
        <f t="shared" ref="F366:F369" si="28">C366*E366</f>
        <v>750000</v>
      </c>
      <c r="G366" s="299"/>
    </row>
    <row r="367" spans="1:7">
      <c r="A367" s="306">
        <f t="shared" ref="A367:A369" si="29">A366+1</f>
        <v>4</v>
      </c>
      <c r="B367" s="344" t="s">
        <v>959</v>
      </c>
      <c r="C367" s="302">
        <v>8538</v>
      </c>
      <c r="D367" s="316" t="s">
        <v>283</v>
      </c>
      <c r="E367" s="319">
        <v>15</v>
      </c>
      <c r="F367" s="330">
        <f t="shared" si="28"/>
        <v>128070</v>
      </c>
      <c r="G367" s="299"/>
    </row>
    <row r="368" spans="1:7">
      <c r="A368" s="306">
        <f t="shared" si="29"/>
        <v>5</v>
      </c>
      <c r="B368" s="344" t="s">
        <v>960</v>
      </c>
      <c r="C368" s="302">
        <v>1</v>
      </c>
      <c r="D368" s="316" t="s">
        <v>412</v>
      </c>
      <c r="E368" s="319">
        <v>150000</v>
      </c>
      <c r="F368" s="330">
        <f t="shared" si="28"/>
        <v>150000</v>
      </c>
      <c r="G368" s="299" t="s">
        <v>961</v>
      </c>
    </row>
    <row r="369" spans="1:7">
      <c r="A369" s="306">
        <f t="shared" si="29"/>
        <v>6</v>
      </c>
      <c r="B369" s="344" t="s">
        <v>972</v>
      </c>
      <c r="C369" s="302">
        <v>1</v>
      </c>
      <c r="D369" s="316" t="s">
        <v>412</v>
      </c>
      <c r="E369" s="319">
        <v>20000</v>
      </c>
      <c r="F369" s="330">
        <f t="shared" si="28"/>
        <v>20000</v>
      </c>
      <c r="G369" s="299"/>
    </row>
    <row r="370" spans="1:7" ht="16" thickBot="1">
      <c r="A370" s="302"/>
      <c r="B370" s="302"/>
      <c r="C370" s="302"/>
      <c r="D370" s="316"/>
      <c r="E370" s="320"/>
      <c r="F370" s="330"/>
      <c r="G370" s="298"/>
    </row>
    <row r="371" spans="1:7" ht="16" thickBot="1">
      <c r="A371" s="335" t="s">
        <v>417</v>
      </c>
      <c r="B371" s="335" t="str">
        <f>B363</f>
        <v>FIRE PROTECTION</v>
      </c>
      <c r="C371" s="335"/>
      <c r="D371" s="336"/>
      <c r="E371" s="337"/>
      <c r="F371" s="338">
        <f>SUM(F362:F370)</f>
        <v>1334070</v>
      </c>
      <c r="G371" s="339"/>
    </row>
    <row r="372" spans="1:7">
      <c r="A372" s="302"/>
      <c r="B372" s="302"/>
      <c r="C372" s="302"/>
      <c r="D372" s="316"/>
      <c r="E372" s="319"/>
      <c r="F372" s="330"/>
      <c r="G372" s="326"/>
    </row>
    <row r="373" spans="1:7">
      <c r="A373" s="301" t="s">
        <v>365</v>
      </c>
      <c r="B373" s="308" t="s">
        <v>366</v>
      </c>
      <c r="C373" s="302"/>
      <c r="D373" s="316"/>
      <c r="E373" s="319"/>
      <c r="F373" s="330"/>
      <c r="G373" s="298"/>
    </row>
    <row r="374" spans="1:7">
      <c r="A374" s="730">
        <v>1</v>
      </c>
      <c r="B374" s="340" t="s">
        <v>937</v>
      </c>
      <c r="C374" s="731">
        <v>1</v>
      </c>
      <c r="D374" s="316" t="s">
        <v>412</v>
      </c>
      <c r="E374" s="319">
        <v>50000</v>
      </c>
      <c r="F374" s="330">
        <f>C374*E374</f>
        <v>50000</v>
      </c>
      <c r="G374" s="298"/>
    </row>
    <row r="375" spans="1:7">
      <c r="A375" s="1">
        <v>2</v>
      </c>
      <c r="B375" s="732" t="s">
        <v>989</v>
      </c>
      <c r="C375" s="731">
        <v>2</v>
      </c>
      <c r="D375" s="316" t="s">
        <v>429</v>
      </c>
      <c r="E375" s="319">
        <v>10000</v>
      </c>
      <c r="F375" s="330">
        <f t="shared" ref="F375:F376" si="30">C375*E375</f>
        <v>20000</v>
      </c>
    </row>
    <row r="376" spans="1:7">
      <c r="A376" s="730">
        <v>3</v>
      </c>
      <c r="B376" s="340" t="s">
        <v>987</v>
      </c>
      <c r="C376" s="731">
        <v>1</v>
      </c>
      <c r="D376" s="316" t="s">
        <v>412</v>
      </c>
      <c r="E376" s="319">
        <v>35000</v>
      </c>
      <c r="F376" s="330">
        <f t="shared" si="30"/>
        <v>35000</v>
      </c>
      <c r="G376" s="298"/>
    </row>
    <row r="377" spans="1:7">
      <c r="A377" s="730"/>
      <c r="B377" s="340"/>
      <c r="C377" s="731"/>
      <c r="D377" s="316"/>
      <c r="E377" s="319"/>
      <c r="F377" s="330"/>
      <c r="G377" s="298"/>
    </row>
    <row r="378" spans="1:7">
      <c r="A378" s="730"/>
      <c r="B378" s="723" t="s">
        <v>938</v>
      </c>
      <c r="C378" s="731"/>
      <c r="D378" s="316" t="s">
        <v>412</v>
      </c>
      <c r="E378" s="319"/>
      <c r="F378" s="330"/>
      <c r="G378" s="298"/>
    </row>
    <row r="379" spans="1:7">
      <c r="A379" s="302">
        <v>1</v>
      </c>
      <c r="B379" s="340" t="s">
        <v>962</v>
      </c>
      <c r="C379" s="302">
        <v>2500</v>
      </c>
      <c r="D379" s="316" t="s">
        <v>427</v>
      </c>
      <c r="E379" s="319">
        <v>85</v>
      </c>
      <c r="F379" s="330">
        <f t="shared" ref="F379:F383" si="31">C379*E379</f>
        <v>212500</v>
      </c>
      <c r="G379" s="298"/>
    </row>
    <row r="380" spans="1:7">
      <c r="A380" s="302">
        <f>A379+1</f>
        <v>2</v>
      </c>
      <c r="B380" s="340" t="s">
        <v>986</v>
      </c>
      <c r="C380" s="302">
        <v>2400</v>
      </c>
      <c r="D380" s="316" t="s">
        <v>427</v>
      </c>
      <c r="E380" s="319">
        <v>65</v>
      </c>
      <c r="F380" s="330">
        <f t="shared" si="31"/>
        <v>156000</v>
      </c>
      <c r="G380" s="298"/>
    </row>
    <row r="381" spans="1:7">
      <c r="A381" s="302">
        <f t="shared" ref="A381:A398" si="32">A380+1</f>
        <v>3</v>
      </c>
      <c r="B381" s="340" t="s">
        <v>963</v>
      </c>
      <c r="C381" s="302">
        <v>450</v>
      </c>
      <c r="D381" s="316" t="s">
        <v>427</v>
      </c>
      <c r="E381" s="319">
        <v>125</v>
      </c>
      <c r="F381" s="330">
        <f t="shared" si="31"/>
        <v>56250</v>
      </c>
      <c r="G381" s="298"/>
    </row>
    <row r="382" spans="1:7">
      <c r="A382" s="302"/>
      <c r="B382" s="340" t="s">
        <v>988</v>
      </c>
      <c r="C382" s="302">
        <f>6*(50)+250</f>
        <v>550</v>
      </c>
      <c r="D382" s="316" t="s">
        <v>427</v>
      </c>
      <c r="E382" s="319">
        <v>100</v>
      </c>
      <c r="F382" s="330">
        <f t="shared" si="31"/>
        <v>55000</v>
      </c>
      <c r="G382" s="298"/>
    </row>
    <row r="383" spans="1:7">
      <c r="A383" s="302">
        <f>A381+1</f>
        <v>4</v>
      </c>
      <c r="B383" s="340" t="s">
        <v>977</v>
      </c>
      <c r="C383" s="302">
        <v>92</v>
      </c>
      <c r="D383" s="316" t="s">
        <v>429</v>
      </c>
      <c r="E383" s="319">
        <v>4000</v>
      </c>
      <c r="F383" s="330">
        <f t="shared" si="31"/>
        <v>368000</v>
      </c>
      <c r="G383" s="298"/>
    </row>
    <row r="384" spans="1:7">
      <c r="A384" s="302">
        <f t="shared" si="32"/>
        <v>5</v>
      </c>
      <c r="B384" s="340" t="s">
        <v>978</v>
      </c>
      <c r="C384" s="302">
        <f>67+8</f>
        <v>75</v>
      </c>
      <c r="D384" s="316" t="s">
        <v>429</v>
      </c>
      <c r="E384" s="319">
        <v>4000</v>
      </c>
      <c r="F384" s="330">
        <f t="shared" ref="F384:F409" si="33">C384*E384</f>
        <v>300000</v>
      </c>
      <c r="G384" s="298"/>
    </row>
    <row r="385" spans="1:7">
      <c r="A385" s="302">
        <f t="shared" si="32"/>
        <v>6</v>
      </c>
      <c r="B385" s="340" t="s">
        <v>979</v>
      </c>
      <c r="C385" s="302">
        <v>11</v>
      </c>
      <c r="D385" s="316" t="s">
        <v>429</v>
      </c>
      <c r="E385" s="319">
        <v>4000</v>
      </c>
      <c r="F385" s="330">
        <f t="shared" si="33"/>
        <v>44000</v>
      </c>
      <c r="G385" s="298"/>
    </row>
    <row r="386" spans="1:7">
      <c r="A386" s="302">
        <f t="shared" si="32"/>
        <v>7</v>
      </c>
      <c r="B386" s="340" t="s">
        <v>980</v>
      </c>
      <c r="C386" s="302">
        <v>68</v>
      </c>
      <c r="D386" s="316" t="s">
        <v>429</v>
      </c>
      <c r="E386" s="319">
        <v>4000</v>
      </c>
      <c r="F386" s="330">
        <f t="shared" si="33"/>
        <v>272000</v>
      </c>
      <c r="G386" s="298"/>
    </row>
    <row r="387" spans="1:7">
      <c r="A387" s="302">
        <f t="shared" si="32"/>
        <v>8</v>
      </c>
      <c r="B387" s="340" t="s">
        <v>981</v>
      </c>
      <c r="C387" s="302">
        <f>58+8</f>
        <v>66</v>
      </c>
      <c r="D387" s="316" t="s">
        <v>429</v>
      </c>
      <c r="E387" s="319">
        <v>4000</v>
      </c>
      <c r="F387" s="330">
        <f t="shared" si="33"/>
        <v>264000</v>
      </c>
      <c r="G387" s="298"/>
    </row>
    <row r="388" spans="1:7">
      <c r="A388" s="302">
        <f t="shared" si="32"/>
        <v>9</v>
      </c>
      <c r="B388" s="340" t="s">
        <v>982</v>
      </c>
      <c r="C388" s="302">
        <v>20</v>
      </c>
      <c r="D388" s="316" t="s">
        <v>429</v>
      </c>
      <c r="E388" s="319">
        <v>4000</v>
      </c>
      <c r="F388" s="330">
        <f t="shared" si="33"/>
        <v>80000</v>
      </c>
      <c r="G388" s="298"/>
    </row>
    <row r="389" spans="1:7">
      <c r="A389" s="302">
        <f t="shared" si="32"/>
        <v>10</v>
      </c>
      <c r="B389" s="340" t="s">
        <v>985</v>
      </c>
      <c r="C389" s="302">
        <v>32</v>
      </c>
      <c r="D389" s="316" t="s">
        <v>429</v>
      </c>
      <c r="E389" s="319">
        <v>4000</v>
      </c>
      <c r="F389" s="330">
        <f t="shared" si="33"/>
        <v>128000</v>
      </c>
      <c r="G389" s="298"/>
    </row>
    <row r="390" spans="1:7">
      <c r="A390" s="302">
        <f t="shared" si="32"/>
        <v>11</v>
      </c>
      <c r="B390" s="340" t="s">
        <v>983</v>
      </c>
      <c r="C390" s="302">
        <v>13</v>
      </c>
      <c r="D390" s="316" t="s">
        <v>429</v>
      </c>
      <c r="E390" s="319">
        <v>4000</v>
      </c>
      <c r="F390" s="330">
        <f t="shared" si="33"/>
        <v>52000</v>
      </c>
      <c r="G390" s="298"/>
    </row>
    <row r="391" spans="1:7">
      <c r="A391" s="302">
        <f t="shared" si="32"/>
        <v>12</v>
      </c>
      <c r="B391" s="340" t="s">
        <v>984</v>
      </c>
      <c r="C391" s="302">
        <v>6</v>
      </c>
      <c r="D391" s="316" t="s">
        <v>429</v>
      </c>
      <c r="E391" s="319">
        <v>4000</v>
      </c>
      <c r="F391" s="330">
        <f t="shared" si="33"/>
        <v>24000</v>
      </c>
      <c r="G391" s="298"/>
    </row>
    <row r="392" spans="1:7">
      <c r="A392" s="302">
        <f t="shared" si="32"/>
        <v>13</v>
      </c>
      <c r="B392" s="340" t="s">
        <v>559</v>
      </c>
      <c r="C392" s="302">
        <v>6</v>
      </c>
      <c r="D392" s="316" t="s">
        <v>429</v>
      </c>
      <c r="E392" s="319">
        <v>5000</v>
      </c>
      <c r="F392" s="330">
        <f>C392*E392</f>
        <v>30000</v>
      </c>
      <c r="G392" s="298"/>
    </row>
    <row r="393" spans="1:7">
      <c r="A393" s="302">
        <f t="shared" si="32"/>
        <v>14</v>
      </c>
      <c r="B393" s="340" t="s">
        <v>560</v>
      </c>
      <c r="C393" s="302">
        <v>6</v>
      </c>
      <c r="D393" s="316" t="s">
        <v>429</v>
      </c>
      <c r="E393" s="319">
        <v>5500</v>
      </c>
      <c r="F393" s="330">
        <f>C393*E393</f>
        <v>33000</v>
      </c>
      <c r="G393" s="298"/>
    </row>
    <row r="394" spans="1:7">
      <c r="A394" s="302">
        <f t="shared" si="32"/>
        <v>15</v>
      </c>
      <c r="B394" s="340" t="s">
        <v>561</v>
      </c>
      <c r="C394" s="302">
        <v>2</v>
      </c>
      <c r="D394" s="316" t="s">
        <v>429</v>
      </c>
      <c r="E394" s="319">
        <v>6000</v>
      </c>
      <c r="F394" s="330">
        <f t="shared" si="33"/>
        <v>12000</v>
      </c>
      <c r="G394" s="298"/>
    </row>
    <row r="395" spans="1:7">
      <c r="A395" s="302">
        <f t="shared" si="32"/>
        <v>16</v>
      </c>
      <c r="B395" s="340" t="s">
        <v>996</v>
      </c>
      <c r="C395" s="302">
        <v>4</v>
      </c>
      <c r="D395" s="316" t="s">
        <v>429</v>
      </c>
      <c r="E395" s="319">
        <v>5500</v>
      </c>
      <c r="F395" s="330">
        <f t="shared" si="33"/>
        <v>22000</v>
      </c>
      <c r="G395" s="298"/>
    </row>
    <row r="396" spans="1:7">
      <c r="A396" s="302">
        <f t="shared" si="32"/>
        <v>17</v>
      </c>
      <c r="B396" s="340" t="s">
        <v>562</v>
      </c>
      <c r="C396" s="302">
        <v>65</v>
      </c>
      <c r="D396" s="316" t="s">
        <v>429</v>
      </c>
      <c r="E396" s="319">
        <v>3500</v>
      </c>
      <c r="F396" s="330">
        <f t="shared" si="33"/>
        <v>227500</v>
      </c>
      <c r="G396" s="298"/>
    </row>
    <row r="397" spans="1:7">
      <c r="A397" s="302">
        <f t="shared" si="32"/>
        <v>18</v>
      </c>
      <c r="B397" s="340" t="s">
        <v>563</v>
      </c>
      <c r="C397" s="302">
        <v>10</v>
      </c>
      <c r="D397" s="316" t="s">
        <v>429</v>
      </c>
      <c r="E397" s="319">
        <v>7500</v>
      </c>
      <c r="F397" s="330">
        <f t="shared" si="33"/>
        <v>75000</v>
      </c>
      <c r="G397" s="298"/>
    </row>
    <row r="398" spans="1:7">
      <c r="A398" s="302">
        <f t="shared" si="32"/>
        <v>19</v>
      </c>
      <c r="B398" s="340" t="s">
        <v>564</v>
      </c>
      <c r="C398" s="302">
        <v>9</v>
      </c>
      <c r="D398" s="316" t="s">
        <v>429</v>
      </c>
      <c r="E398" s="319">
        <v>30000</v>
      </c>
      <c r="F398" s="330">
        <f t="shared" si="33"/>
        <v>270000</v>
      </c>
      <c r="G398" s="298"/>
    </row>
    <row r="399" spans="1:7">
      <c r="A399" s="302">
        <f t="shared" ref="A399:A409" si="34">A398+1</f>
        <v>20</v>
      </c>
      <c r="B399" s="340" t="s">
        <v>964</v>
      </c>
      <c r="C399" s="302">
        <v>9</v>
      </c>
      <c r="D399" s="316" t="s">
        <v>429</v>
      </c>
      <c r="E399" s="319">
        <v>7500</v>
      </c>
      <c r="F399" s="330">
        <f t="shared" si="33"/>
        <v>67500</v>
      </c>
      <c r="G399" s="298"/>
    </row>
    <row r="400" spans="1:7">
      <c r="A400" s="302">
        <f t="shared" si="34"/>
        <v>21</v>
      </c>
      <c r="B400" s="340" t="s">
        <v>965</v>
      </c>
      <c r="C400" s="302">
        <v>1</v>
      </c>
      <c r="D400" s="316" t="s">
        <v>429</v>
      </c>
      <c r="E400" s="319">
        <v>125000</v>
      </c>
      <c r="F400" s="330">
        <f t="shared" si="33"/>
        <v>125000</v>
      </c>
      <c r="G400" s="298"/>
    </row>
    <row r="401" spans="1:7">
      <c r="A401" s="302">
        <f>A398+1</f>
        <v>20</v>
      </c>
      <c r="B401" s="340" t="s">
        <v>813</v>
      </c>
      <c r="C401" s="302">
        <v>1</v>
      </c>
      <c r="D401" s="316" t="s">
        <v>429</v>
      </c>
      <c r="E401" s="319">
        <v>75000</v>
      </c>
      <c r="F401" s="330">
        <f t="shared" si="33"/>
        <v>75000</v>
      </c>
      <c r="G401" s="298"/>
    </row>
    <row r="402" spans="1:7">
      <c r="A402" s="302">
        <f t="shared" si="34"/>
        <v>21</v>
      </c>
      <c r="B402" s="340" t="s">
        <v>565</v>
      </c>
      <c r="C402" s="302">
        <v>2</v>
      </c>
      <c r="D402" s="316" t="s">
        <v>429</v>
      </c>
      <c r="E402" s="319">
        <v>50000</v>
      </c>
      <c r="F402" s="330">
        <f t="shared" si="33"/>
        <v>100000</v>
      </c>
      <c r="G402" s="298"/>
    </row>
    <row r="403" spans="1:7">
      <c r="A403" s="302">
        <f t="shared" si="34"/>
        <v>22</v>
      </c>
      <c r="B403" s="340" t="s">
        <v>566</v>
      </c>
      <c r="C403" s="302">
        <v>2</v>
      </c>
      <c r="D403" s="316" t="s">
        <v>429</v>
      </c>
      <c r="E403" s="319">
        <v>40000</v>
      </c>
      <c r="F403" s="330">
        <f t="shared" si="33"/>
        <v>80000</v>
      </c>
      <c r="G403" s="298"/>
    </row>
    <row r="404" spans="1:7">
      <c r="A404" s="302">
        <f t="shared" si="34"/>
        <v>23</v>
      </c>
      <c r="B404" s="340" t="s">
        <v>567</v>
      </c>
      <c r="C404" s="302">
        <v>5</v>
      </c>
      <c r="D404" s="316" t="s">
        <v>429</v>
      </c>
      <c r="E404" s="319">
        <v>40000</v>
      </c>
      <c r="F404" s="330">
        <f t="shared" si="33"/>
        <v>200000</v>
      </c>
      <c r="G404" s="298"/>
    </row>
    <row r="405" spans="1:7">
      <c r="A405" s="302">
        <f t="shared" si="34"/>
        <v>24</v>
      </c>
      <c r="B405" s="340" t="s">
        <v>568</v>
      </c>
      <c r="C405" s="302">
        <v>1</v>
      </c>
      <c r="D405" s="316" t="s">
        <v>412</v>
      </c>
      <c r="E405" s="319">
        <v>135000</v>
      </c>
      <c r="F405" s="330">
        <f t="shared" si="33"/>
        <v>135000</v>
      </c>
      <c r="G405" s="298"/>
    </row>
    <row r="406" spans="1:7">
      <c r="A406" s="302">
        <f t="shared" si="34"/>
        <v>25</v>
      </c>
      <c r="B406" s="724" t="s">
        <v>569</v>
      </c>
      <c r="C406" s="725">
        <v>11</v>
      </c>
      <c r="D406" s="726" t="s">
        <v>429</v>
      </c>
      <c r="E406" s="727">
        <v>8500</v>
      </c>
      <c r="F406" s="728">
        <f t="shared" si="33"/>
        <v>93500</v>
      </c>
      <c r="G406" s="729"/>
    </row>
    <row r="407" spans="1:7">
      <c r="A407" s="302">
        <f t="shared" si="34"/>
        <v>26</v>
      </c>
      <c r="B407" s="340" t="s">
        <v>570</v>
      </c>
      <c r="C407" s="302">
        <v>1</v>
      </c>
      <c r="D407" s="316" t="s">
        <v>412</v>
      </c>
      <c r="E407" s="319">
        <v>10000</v>
      </c>
      <c r="F407" s="330">
        <f t="shared" si="33"/>
        <v>10000</v>
      </c>
      <c r="G407" s="298"/>
    </row>
    <row r="408" spans="1:7">
      <c r="A408" s="302">
        <f t="shared" si="34"/>
        <v>27</v>
      </c>
      <c r="B408" s="340" t="s">
        <v>571</v>
      </c>
      <c r="C408" s="302">
        <v>1</v>
      </c>
      <c r="D408" s="316" t="s">
        <v>412</v>
      </c>
      <c r="E408" s="320">
        <v>30000</v>
      </c>
      <c r="F408" s="330">
        <f t="shared" si="33"/>
        <v>30000</v>
      </c>
      <c r="G408" s="298"/>
    </row>
    <row r="409" spans="1:7">
      <c r="A409" s="302">
        <f t="shared" si="34"/>
        <v>28</v>
      </c>
      <c r="B409" s="340" t="s">
        <v>572</v>
      </c>
      <c r="C409" s="302">
        <v>1</v>
      </c>
      <c r="D409" s="316" t="s">
        <v>412</v>
      </c>
      <c r="E409" s="320">
        <v>15000</v>
      </c>
      <c r="F409" s="330">
        <f t="shared" si="33"/>
        <v>15000</v>
      </c>
      <c r="G409" s="298"/>
    </row>
    <row r="410" spans="1:7">
      <c r="A410" s="302"/>
      <c r="B410" s="340"/>
      <c r="C410" s="302"/>
      <c r="D410" s="316"/>
      <c r="E410" s="320"/>
      <c r="F410" s="330"/>
      <c r="G410" s="298"/>
    </row>
    <row r="411" spans="1:7" ht="16" thickBot="1">
      <c r="A411" s="302"/>
      <c r="B411" s="302"/>
      <c r="C411" s="313"/>
      <c r="D411" s="313"/>
      <c r="E411" s="334"/>
      <c r="F411" s="330"/>
      <c r="G411" s="298"/>
    </row>
    <row r="412" spans="1:7" ht="16" thickBot="1">
      <c r="A412" s="335" t="s">
        <v>417</v>
      </c>
      <c r="B412" s="335" t="str">
        <f>B373</f>
        <v>PLUMBING</v>
      </c>
      <c r="C412" s="335"/>
      <c r="D412" s="336"/>
      <c r="E412" s="337"/>
      <c r="F412" s="338">
        <f>SUM(F372:F411)</f>
        <v>3717250</v>
      </c>
      <c r="G412" s="339"/>
    </row>
    <row r="413" spans="1:7">
      <c r="A413" s="302"/>
      <c r="B413" s="302"/>
      <c r="C413" s="302"/>
      <c r="D413" s="316"/>
      <c r="E413" s="319"/>
      <c r="F413" s="330"/>
      <c r="G413" s="326"/>
    </row>
    <row r="414" spans="1:7">
      <c r="A414" s="301" t="s">
        <v>367</v>
      </c>
      <c r="B414" s="308" t="s">
        <v>368</v>
      </c>
      <c r="C414" s="302"/>
      <c r="D414" s="316"/>
      <c r="E414" s="319"/>
      <c r="F414" s="330"/>
      <c r="G414" s="298"/>
    </row>
    <row r="415" spans="1:7">
      <c r="A415" s="303">
        <v>1</v>
      </c>
      <c r="B415" s="343" t="s">
        <v>974</v>
      </c>
      <c r="C415" s="302">
        <f>3500+69722+53379+5941</f>
        <v>132542</v>
      </c>
      <c r="D415" s="316" t="s">
        <v>283</v>
      </c>
      <c r="E415" s="319">
        <v>45</v>
      </c>
      <c r="F415" s="330">
        <f>C415*E415</f>
        <v>5964390</v>
      </c>
      <c r="G415" s="298"/>
    </row>
    <row r="416" spans="1:7" ht="16" thickBot="1">
      <c r="A416" s="302"/>
      <c r="B416" s="302"/>
      <c r="C416" s="302"/>
      <c r="D416" s="316"/>
      <c r="E416" s="320"/>
      <c r="F416" s="330"/>
      <c r="G416" s="298"/>
    </row>
    <row r="417" spans="1:7" ht="16" thickBot="1">
      <c r="A417" s="335" t="s">
        <v>417</v>
      </c>
      <c r="B417" s="335" t="str">
        <f>B414</f>
        <v>HVAC</v>
      </c>
      <c r="C417" s="335"/>
      <c r="D417" s="336"/>
      <c r="E417" s="337"/>
      <c r="F417" s="338">
        <f>SUM(F413:F416)</f>
        <v>5964390</v>
      </c>
      <c r="G417" s="339"/>
    </row>
    <row r="418" spans="1:7">
      <c r="A418" s="302"/>
      <c r="B418" s="302"/>
      <c r="C418" s="302"/>
      <c r="D418" s="316"/>
      <c r="E418" s="319"/>
      <c r="F418" s="330"/>
      <c r="G418" s="326"/>
    </row>
    <row r="419" spans="1:7">
      <c r="A419" s="301" t="s">
        <v>369</v>
      </c>
      <c r="B419" s="308" t="s">
        <v>370</v>
      </c>
      <c r="C419" s="302"/>
      <c r="D419" s="316"/>
      <c r="E419" s="319"/>
      <c r="F419" s="330"/>
      <c r="G419" s="298"/>
    </row>
    <row r="420" spans="1:7">
      <c r="A420" s="301"/>
      <c r="B420" s="308"/>
      <c r="C420" s="302"/>
      <c r="D420" s="316"/>
      <c r="E420" s="319"/>
      <c r="F420" s="330"/>
      <c r="G420" s="298"/>
    </row>
    <row r="421" spans="1:7">
      <c r="A421" s="706">
        <v>1</v>
      </c>
      <c r="B421" s="742" t="s">
        <v>1015</v>
      </c>
      <c r="C421" s="302">
        <v>1</v>
      </c>
      <c r="D421" s="316" t="s">
        <v>412</v>
      </c>
      <c r="E421" s="319">
        <v>20000</v>
      </c>
      <c r="F421" s="330">
        <f>C421*E421</f>
        <v>20000</v>
      </c>
      <c r="G421" s="298"/>
    </row>
    <row r="422" spans="1:7">
      <c r="A422" s="706">
        <v>2</v>
      </c>
      <c r="B422" s="742" t="s">
        <v>1004</v>
      </c>
      <c r="C422" s="302">
        <v>1</v>
      </c>
      <c r="D422" s="316" t="s">
        <v>429</v>
      </c>
      <c r="E422" s="319">
        <v>50000</v>
      </c>
      <c r="F422" s="330">
        <f>C422*E422</f>
        <v>50000</v>
      </c>
      <c r="G422" s="298"/>
    </row>
    <row r="423" spans="1:7">
      <c r="A423" s="706">
        <v>3</v>
      </c>
      <c r="B423" s="742" t="s">
        <v>1014</v>
      </c>
      <c r="C423" s="302">
        <v>135953</v>
      </c>
      <c r="D423" s="316" t="s">
        <v>283</v>
      </c>
      <c r="E423" s="319">
        <v>2</v>
      </c>
      <c r="F423" s="330">
        <f t="shared" ref="F423:F431" si="35">C423*E423</f>
        <v>271906</v>
      </c>
      <c r="G423" s="298"/>
    </row>
    <row r="424" spans="1:7">
      <c r="A424" s="706"/>
      <c r="B424" s="716"/>
      <c r="C424" s="302"/>
      <c r="D424" s="316"/>
      <c r="E424" s="319"/>
      <c r="F424" s="330"/>
      <c r="G424" s="298"/>
    </row>
    <row r="425" spans="1:7">
      <c r="A425" s="302"/>
      <c r="B425" s="743" t="s">
        <v>573</v>
      </c>
      <c r="C425" s="302"/>
      <c r="D425" s="316"/>
      <c r="E425" s="319"/>
      <c r="F425" s="330"/>
      <c r="G425" s="298"/>
    </row>
    <row r="426" spans="1:7">
      <c r="A426" s="303">
        <v>1</v>
      </c>
      <c r="B426" s="343" t="s">
        <v>574</v>
      </c>
      <c r="C426" s="302">
        <v>135953</v>
      </c>
      <c r="D426" s="316" t="s">
        <v>283</v>
      </c>
      <c r="E426" s="319">
        <v>1</v>
      </c>
      <c r="F426" s="330">
        <f t="shared" si="35"/>
        <v>135953</v>
      </c>
      <c r="G426" s="298"/>
    </row>
    <row r="427" spans="1:7">
      <c r="A427" s="303">
        <f>A426+1</f>
        <v>2</v>
      </c>
      <c r="B427" s="343" t="s">
        <v>575</v>
      </c>
      <c r="C427" s="302">
        <v>135953</v>
      </c>
      <c r="D427" s="316" t="s">
        <v>283</v>
      </c>
      <c r="E427" s="319">
        <v>12</v>
      </c>
      <c r="F427" s="330">
        <f t="shared" si="35"/>
        <v>1631436</v>
      </c>
      <c r="G427" s="298"/>
    </row>
    <row r="428" spans="1:7">
      <c r="A428" s="303">
        <f t="shared" ref="A428:A433" si="36">A427+1</f>
        <v>3</v>
      </c>
      <c r="B428" s="343" t="s">
        <v>1012</v>
      </c>
      <c r="C428" s="302">
        <v>135953</v>
      </c>
      <c r="D428" s="316" t="s">
        <v>283</v>
      </c>
      <c r="E428" s="319">
        <v>0.75</v>
      </c>
      <c r="F428" s="330">
        <f t="shared" si="35"/>
        <v>101964.75</v>
      </c>
      <c r="G428" s="298"/>
    </row>
    <row r="429" spans="1:7">
      <c r="A429" s="303"/>
      <c r="B429" s="343"/>
      <c r="C429" s="302"/>
      <c r="D429" s="316"/>
      <c r="E429" s="319"/>
      <c r="F429" s="330"/>
      <c r="G429" s="298"/>
    </row>
    <row r="430" spans="1:7">
      <c r="A430" s="303"/>
      <c r="B430" s="312" t="s">
        <v>576</v>
      </c>
      <c r="C430" s="302"/>
      <c r="D430" s="316"/>
      <c r="E430" s="319"/>
      <c r="F430" s="330">
        <f t="shared" si="35"/>
        <v>0</v>
      </c>
      <c r="G430" s="298"/>
    </row>
    <row r="431" spans="1:7" s="72" customFormat="1">
      <c r="A431" s="303">
        <v>1</v>
      </c>
      <c r="B431" s="741" t="s">
        <v>577</v>
      </c>
      <c r="C431" s="303">
        <v>135953</v>
      </c>
      <c r="D431" s="317" t="s">
        <v>283</v>
      </c>
      <c r="E431" s="321">
        <v>6</v>
      </c>
      <c r="F431" s="331">
        <f t="shared" si="35"/>
        <v>815718</v>
      </c>
      <c r="G431" s="327"/>
    </row>
    <row r="432" spans="1:7">
      <c r="A432" s="303">
        <v>2</v>
      </c>
      <c r="B432" s="343" t="s">
        <v>578</v>
      </c>
      <c r="C432" s="302">
        <v>1500</v>
      </c>
      <c r="D432" s="316" t="s">
        <v>283</v>
      </c>
      <c r="E432" s="319">
        <v>35</v>
      </c>
      <c r="F432" s="330">
        <f>C432*E432</f>
        <v>52500</v>
      </c>
      <c r="G432" s="298"/>
    </row>
    <row r="433" spans="1:7">
      <c r="A433" s="303">
        <f t="shared" si="36"/>
        <v>3</v>
      </c>
      <c r="B433" s="343" t="s">
        <v>579</v>
      </c>
      <c r="C433" s="302">
        <v>2500</v>
      </c>
      <c r="D433" s="316" t="s">
        <v>283</v>
      </c>
      <c r="E433" s="319">
        <v>15</v>
      </c>
      <c r="F433" s="330">
        <f>C433*E433</f>
        <v>37500</v>
      </c>
      <c r="G433" s="298"/>
    </row>
    <row r="434" spans="1:7">
      <c r="A434" s="303">
        <f>A428+1</f>
        <v>4</v>
      </c>
      <c r="B434" s="343" t="s">
        <v>1011</v>
      </c>
      <c r="C434" s="302">
        <v>1</v>
      </c>
      <c r="D434" s="316" t="s">
        <v>412</v>
      </c>
      <c r="E434" s="319">
        <v>65000</v>
      </c>
      <c r="F434" s="330">
        <f>C434*E434</f>
        <v>65000</v>
      </c>
      <c r="G434" s="298"/>
    </row>
    <row r="435" spans="1:7">
      <c r="A435" s="303">
        <f>A434+1</f>
        <v>5</v>
      </c>
      <c r="B435" s="343" t="s">
        <v>585</v>
      </c>
      <c r="C435" s="302">
        <v>1</v>
      </c>
      <c r="D435" s="316" t="s">
        <v>412</v>
      </c>
      <c r="E435" s="319">
        <v>200000</v>
      </c>
      <c r="F435" s="330">
        <f>C435*E435</f>
        <v>200000</v>
      </c>
      <c r="G435" s="298"/>
    </row>
    <row r="436" spans="1:7">
      <c r="A436" s="303"/>
      <c r="B436" s="343"/>
      <c r="C436" s="302"/>
      <c r="D436" s="316"/>
      <c r="E436" s="319"/>
      <c r="F436" s="330"/>
      <c r="G436" s="298"/>
    </row>
    <row r="437" spans="1:7">
      <c r="A437" s="303"/>
      <c r="B437" s="312" t="s">
        <v>580</v>
      </c>
      <c r="C437" s="302"/>
      <c r="D437" s="316"/>
      <c r="E437" s="319"/>
      <c r="F437" s="330"/>
      <c r="G437" s="298"/>
    </row>
    <row r="438" spans="1:7">
      <c r="A438" s="303">
        <v>1</v>
      </c>
      <c r="B438" s="343" t="s">
        <v>581</v>
      </c>
      <c r="C438" s="302">
        <v>135953</v>
      </c>
      <c r="D438" s="316" t="s">
        <v>283</v>
      </c>
      <c r="E438" s="319">
        <v>3</v>
      </c>
      <c r="F438" s="330">
        <f>C438*E438</f>
        <v>407859</v>
      </c>
      <c r="G438" s="298"/>
    </row>
    <row r="439" spans="1:7">
      <c r="A439" s="303">
        <v>2</v>
      </c>
      <c r="B439" s="343" t="s">
        <v>582</v>
      </c>
      <c r="C439" s="302">
        <v>15</v>
      </c>
      <c r="D439" s="316" t="s">
        <v>429</v>
      </c>
      <c r="E439" s="319">
        <v>2500</v>
      </c>
      <c r="F439" s="330">
        <f t="shared" ref="F439:F440" si="37">C439*E439</f>
        <v>37500</v>
      </c>
      <c r="G439" s="298"/>
    </row>
    <row r="440" spans="1:7">
      <c r="A440" s="303">
        <v>3</v>
      </c>
      <c r="B440" s="343" t="s">
        <v>583</v>
      </c>
      <c r="C440" s="302">
        <v>20</v>
      </c>
      <c r="D440" s="316" t="s">
        <v>429</v>
      </c>
      <c r="E440" s="319">
        <v>5000</v>
      </c>
      <c r="F440" s="330">
        <f t="shared" si="37"/>
        <v>100000</v>
      </c>
      <c r="G440" s="298"/>
    </row>
    <row r="441" spans="1:7">
      <c r="A441" s="303">
        <v>4</v>
      </c>
      <c r="B441" s="343" t="s">
        <v>584</v>
      </c>
      <c r="C441" s="302">
        <v>0</v>
      </c>
      <c r="D441" s="316" t="s">
        <v>412</v>
      </c>
      <c r="E441" s="319">
        <v>200000</v>
      </c>
      <c r="F441" s="330">
        <f>C441*E441</f>
        <v>0</v>
      </c>
      <c r="G441" s="298"/>
    </row>
    <row r="442" spans="1:7">
      <c r="A442" s="303">
        <v>5</v>
      </c>
      <c r="B442" s="343" t="s">
        <v>967</v>
      </c>
      <c r="C442" s="302">
        <v>1</v>
      </c>
      <c r="D442" s="316" t="s">
        <v>412</v>
      </c>
      <c r="E442" s="319">
        <v>20000</v>
      </c>
      <c r="F442" s="330">
        <f>C442*E442</f>
        <v>20000</v>
      </c>
      <c r="G442" s="298"/>
    </row>
    <row r="443" spans="1:7">
      <c r="A443" s="303"/>
      <c r="B443" s="343"/>
      <c r="C443" s="302"/>
      <c r="D443" s="316"/>
      <c r="E443" s="319"/>
      <c r="F443" s="330"/>
      <c r="G443" s="298"/>
    </row>
    <row r="444" spans="1:7">
      <c r="A444" s="303"/>
      <c r="B444" s="687" t="s">
        <v>1010</v>
      </c>
      <c r="C444" s="302"/>
      <c r="D444" s="316"/>
      <c r="E444" s="319"/>
      <c r="F444" s="330"/>
      <c r="G444" s="298"/>
    </row>
    <row r="445" spans="1:7">
      <c r="A445" s="303">
        <v>1</v>
      </c>
      <c r="B445" s="343" t="s">
        <v>1005</v>
      </c>
      <c r="C445" s="302">
        <v>2</v>
      </c>
      <c r="D445" s="316" t="s">
        <v>429</v>
      </c>
      <c r="E445" s="319">
        <v>65000</v>
      </c>
      <c r="F445" s="330">
        <f t="shared" ref="F445:F453" si="38">C445*E445</f>
        <v>130000</v>
      </c>
      <c r="G445" s="298"/>
    </row>
    <row r="446" spans="1:7">
      <c r="A446" s="303">
        <f>A445+1</f>
        <v>2</v>
      </c>
      <c r="B446" s="343" t="s">
        <v>1006</v>
      </c>
      <c r="C446" s="302">
        <v>2</v>
      </c>
      <c r="D446" s="316" t="s">
        <v>429</v>
      </c>
      <c r="E446" s="319">
        <v>55000</v>
      </c>
      <c r="F446" s="330">
        <f t="shared" si="38"/>
        <v>110000</v>
      </c>
      <c r="G446" s="298"/>
    </row>
    <row r="447" spans="1:7">
      <c r="A447" s="303">
        <f t="shared" ref="A447:A451" si="39">A446+1</f>
        <v>3</v>
      </c>
      <c r="B447" s="343" t="s">
        <v>1007</v>
      </c>
      <c r="C447" s="302">
        <v>2</v>
      </c>
      <c r="D447" s="316" t="s">
        <v>429</v>
      </c>
      <c r="E447" s="319">
        <v>290000</v>
      </c>
      <c r="F447" s="330">
        <f t="shared" si="38"/>
        <v>580000</v>
      </c>
      <c r="G447" s="298"/>
    </row>
    <row r="448" spans="1:7">
      <c r="A448" s="303">
        <f t="shared" si="39"/>
        <v>4</v>
      </c>
      <c r="B448" s="343" t="s">
        <v>1008</v>
      </c>
      <c r="C448" s="302">
        <v>2</v>
      </c>
      <c r="D448" s="316" t="s">
        <v>429</v>
      </c>
      <c r="E448" s="319">
        <v>75000</v>
      </c>
      <c r="F448" s="330">
        <f t="shared" si="38"/>
        <v>150000</v>
      </c>
      <c r="G448" s="298"/>
    </row>
    <row r="449" spans="1:7" ht="30">
      <c r="A449" s="303">
        <f t="shared" si="39"/>
        <v>5</v>
      </c>
      <c r="B449" s="343" t="s">
        <v>1013</v>
      </c>
      <c r="C449" s="302">
        <v>1</v>
      </c>
      <c r="D449" s="316" t="s">
        <v>429</v>
      </c>
      <c r="E449" s="319">
        <v>35000</v>
      </c>
      <c r="F449" s="330">
        <f t="shared" si="38"/>
        <v>35000</v>
      </c>
      <c r="G449" s="330"/>
    </row>
    <row r="450" spans="1:7">
      <c r="A450" s="303">
        <f t="shared" si="39"/>
        <v>6</v>
      </c>
      <c r="B450" s="343" t="s">
        <v>1003</v>
      </c>
      <c r="C450" s="302">
        <v>1</v>
      </c>
      <c r="D450" s="316" t="s">
        <v>412</v>
      </c>
      <c r="E450" s="319">
        <v>275000</v>
      </c>
      <c r="F450" s="330">
        <f t="shared" si="38"/>
        <v>275000</v>
      </c>
      <c r="G450" s="330"/>
    </row>
    <row r="451" spans="1:7">
      <c r="A451" s="303">
        <f t="shared" si="39"/>
        <v>7</v>
      </c>
      <c r="B451" s="343" t="s">
        <v>1009</v>
      </c>
      <c r="C451" s="302">
        <v>1</v>
      </c>
      <c r="D451" s="316" t="s">
        <v>975</v>
      </c>
      <c r="E451" s="319">
        <v>250000</v>
      </c>
      <c r="F451" s="330">
        <f t="shared" si="38"/>
        <v>250000</v>
      </c>
      <c r="G451" s="330"/>
    </row>
    <row r="452" spans="1:7">
      <c r="A452" s="303"/>
      <c r="B452" s="343"/>
      <c r="C452" s="302"/>
      <c r="D452" s="316"/>
      <c r="E452" s="319"/>
      <c r="F452" s="330">
        <f t="shared" si="38"/>
        <v>0</v>
      </c>
      <c r="G452" s="298"/>
    </row>
    <row r="453" spans="1:7">
      <c r="A453" s="303"/>
      <c r="B453" s="312" t="s">
        <v>586</v>
      </c>
      <c r="C453" s="302"/>
      <c r="D453" s="316"/>
      <c r="E453" s="319"/>
      <c r="F453" s="330">
        <f t="shared" si="38"/>
        <v>0</v>
      </c>
      <c r="G453" s="298"/>
    </row>
    <row r="454" spans="1:7">
      <c r="A454" s="303">
        <v>1</v>
      </c>
      <c r="B454" s="343" t="s">
        <v>587</v>
      </c>
      <c r="C454" s="302">
        <v>1</v>
      </c>
      <c r="D454" s="316" t="s">
        <v>412</v>
      </c>
      <c r="E454" s="319">
        <v>35000</v>
      </c>
      <c r="F454" s="330">
        <f>C454*E454</f>
        <v>35000</v>
      </c>
      <c r="G454" s="298"/>
    </row>
    <row r="455" spans="1:7" ht="16" thickBot="1">
      <c r="A455" s="302"/>
      <c r="B455" s="311"/>
      <c r="C455" s="302"/>
      <c r="D455" s="316"/>
      <c r="E455" s="320"/>
      <c r="F455" s="330"/>
      <c r="G455" s="298"/>
    </row>
    <row r="456" spans="1:7" ht="16" thickBot="1">
      <c r="A456" s="335" t="s">
        <v>417</v>
      </c>
      <c r="B456" s="335" t="str">
        <f>B419</f>
        <v>ELECTRIC</v>
      </c>
      <c r="C456" s="335"/>
      <c r="D456" s="336"/>
      <c r="E456" s="337"/>
      <c r="F456" s="338">
        <f>SUM(F418:F455)</f>
        <v>5512336.75</v>
      </c>
      <c r="G456" s="339"/>
    </row>
    <row r="457" spans="1:7">
      <c r="A457" s="302"/>
      <c r="B457" s="302"/>
      <c r="C457" s="302"/>
      <c r="D457" s="316"/>
      <c r="E457" s="319"/>
      <c r="F457" s="330"/>
      <c r="G457" s="326"/>
    </row>
    <row r="458" spans="1:7">
      <c r="A458" s="301" t="s">
        <v>371</v>
      </c>
      <c r="B458" s="308" t="s">
        <v>588</v>
      </c>
      <c r="C458" s="302"/>
      <c r="D458" s="316"/>
      <c r="E458" s="319"/>
      <c r="F458" s="330"/>
      <c r="G458" s="329"/>
    </row>
    <row r="459" spans="1:7">
      <c r="A459" s="302">
        <v>1</v>
      </c>
      <c r="B459" s="343" t="s">
        <v>589</v>
      </c>
      <c r="C459" s="302">
        <v>110</v>
      </c>
      <c r="D459" s="316" t="s">
        <v>429</v>
      </c>
      <c r="E459" s="320">
        <v>750</v>
      </c>
      <c r="F459" s="330">
        <f>E459*C459</f>
        <v>82500</v>
      </c>
      <c r="G459" s="298"/>
    </row>
    <row r="460" spans="1:7">
      <c r="A460" s="302">
        <f>A459+1</f>
        <v>2</v>
      </c>
      <c r="B460" s="343" t="s">
        <v>590</v>
      </c>
      <c r="C460" s="302">
        <v>0</v>
      </c>
      <c r="D460" s="316" t="s">
        <v>459</v>
      </c>
      <c r="E460" s="320">
        <v>5000</v>
      </c>
      <c r="F460" s="330">
        <f>E460*C460</f>
        <v>0</v>
      </c>
      <c r="G460" s="298"/>
    </row>
    <row r="461" spans="1:7">
      <c r="A461" s="302">
        <f>A460+1</f>
        <v>3</v>
      </c>
      <c r="B461" s="343" t="s">
        <v>591</v>
      </c>
      <c r="C461" s="302">
        <v>1</v>
      </c>
      <c r="D461" s="316" t="s">
        <v>412</v>
      </c>
      <c r="E461" s="320">
        <v>60000</v>
      </c>
      <c r="F461" s="330">
        <f>E461*C461</f>
        <v>60000</v>
      </c>
      <c r="G461" s="298"/>
    </row>
    <row r="462" spans="1:7">
      <c r="A462" s="302">
        <f>A461+1</f>
        <v>4</v>
      </c>
      <c r="B462" s="343" t="s">
        <v>592</v>
      </c>
      <c r="C462" s="302">
        <v>1</v>
      </c>
      <c r="D462" s="316" t="s">
        <v>412</v>
      </c>
      <c r="E462" s="320">
        <v>85000</v>
      </c>
      <c r="F462" s="330">
        <f>E462*C462</f>
        <v>85000</v>
      </c>
      <c r="G462" s="298"/>
    </row>
    <row r="463" spans="1:7" ht="16" thickBot="1">
      <c r="A463" s="302"/>
      <c r="B463" s="311"/>
      <c r="C463" s="302"/>
      <c r="D463" s="316"/>
      <c r="E463" s="320"/>
      <c r="F463" s="330"/>
      <c r="G463" s="298"/>
    </row>
    <row r="464" spans="1:7" ht="16" thickBot="1">
      <c r="A464" s="335" t="s">
        <v>417</v>
      </c>
      <c r="B464" s="335" t="str">
        <f>B458</f>
        <v>LOW VOLTAGE</v>
      </c>
      <c r="C464" s="335"/>
      <c r="D464" s="336"/>
      <c r="E464" s="337"/>
      <c r="F464" s="338">
        <f>SUM(F457:F463)</f>
        <v>227500</v>
      </c>
      <c r="G464" s="339"/>
    </row>
    <row r="465" spans="1:7">
      <c r="A465" s="302"/>
      <c r="B465" s="302"/>
      <c r="C465" s="302"/>
      <c r="D465" s="316"/>
      <c r="E465" s="319"/>
      <c r="F465" s="330"/>
      <c r="G465" s="326"/>
    </row>
    <row r="466" spans="1:7">
      <c r="A466" s="301" t="s">
        <v>371</v>
      </c>
      <c r="B466" s="308" t="s">
        <v>593</v>
      </c>
      <c r="C466" s="302"/>
      <c r="D466" s="316"/>
      <c r="E466" s="319"/>
      <c r="F466" s="330"/>
      <c r="G466" s="329"/>
    </row>
    <row r="467" spans="1:7">
      <c r="A467" s="302">
        <v>1</v>
      </c>
      <c r="B467" s="343" t="s">
        <v>878</v>
      </c>
      <c r="C467" s="302">
        <v>1</v>
      </c>
      <c r="D467" s="316" t="s">
        <v>412</v>
      </c>
      <c r="E467" s="320">
        <v>40000</v>
      </c>
      <c r="F467" s="330">
        <f>C467*E467</f>
        <v>40000</v>
      </c>
      <c r="G467" s="298"/>
    </row>
    <row r="468" spans="1:7" hidden="1">
      <c r="A468" s="302">
        <f>A467+1</f>
        <v>2</v>
      </c>
      <c r="B468" s="343" t="s">
        <v>594</v>
      </c>
      <c r="C468" s="302"/>
      <c r="D468" s="316"/>
      <c r="E468" s="320"/>
      <c r="F468" s="330"/>
      <c r="G468" s="298"/>
    </row>
    <row r="469" spans="1:7" hidden="1">
      <c r="A469" s="302">
        <f>A468+1</f>
        <v>3</v>
      </c>
      <c r="B469" s="343" t="s">
        <v>595</v>
      </c>
      <c r="C469" s="302"/>
      <c r="D469" s="316"/>
      <c r="E469" s="320"/>
      <c r="F469" s="330"/>
      <c r="G469" s="298"/>
    </row>
    <row r="470" spans="1:7" hidden="1">
      <c r="A470" s="302">
        <f>A469+1</f>
        <v>4</v>
      </c>
      <c r="B470" s="343" t="s">
        <v>596</v>
      </c>
      <c r="C470" s="302"/>
      <c r="D470" s="316"/>
      <c r="E470" s="320"/>
      <c r="F470" s="330"/>
      <c r="G470" s="298"/>
    </row>
    <row r="471" spans="1:7" hidden="1">
      <c r="A471" s="302">
        <f>A470+1</f>
        <v>5</v>
      </c>
      <c r="B471" s="343" t="s">
        <v>597</v>
      </c>
      <c r="C471" s="302"/>
      <c r="D471" s="316"/>
      <c r="E471" s="320"/>
      <c r="F471" s="330"/>
      <c r="G471" s="298"/>
    </row>
    <row r="472" spans="1:7" hidden="1">
      <c r="A472" s="302">
        <v>6</v>
      </c>
      <c r="B472" s="343" t="s">
        <v>598</v>
      </c>
      <c r="C472" s="302"/>
      <c r="D472" s="316"/>
      <c r="E472" s="320"/>
      <c r="F472" s="330"/>
      <c r="G472" s="298"/>
    </row>
    <row r="473" spans="1:7" ht="16" thickBot="1">
      <c r="A473" s="302"/>
      <c r="B473" s="311"/>
      <c r="C473" s="302"/>
      <c r="D473" s="316"/>
      <c r="E473" s="320"/>
      <c r="F473" s="330"/>
      <c r="G473" s="298"/>
    </row>
    <row r="474" spans="1:7" ht="16" thickBot="1">
      <c r="A474" s="335" t="s">
        <v>417</v>
      </c>
      <c r="B474" s="335" t="str">
        <f>B466</f>
        <v>LIGHTING AND CONTROLS - BY OWNER</v>
      </c>
      <c r="C474" s="335"/>
      <c r="D474" s="336"/>
      <c r="E474" s="337"/>
      <c r="F474" s="338">
        <f>SUM(F465:F473)</f>
        <v>40000</v>
      </c>
      <c r="G474" s="339"/>
    </row>
    <row r="475" spans="1:7">
      <c r="A475" s="306"/>
      <c r="B475" s="306"/>
      <c r="C475" s="310"/>
      <c r="D475" s="318"/>
      <c r="E475" s="322"/>
      <c r="F475" s="332"/>
      <c r="G475" s="299"/>
    </row>
    <row r="476" spans="1:7">
      <c r="A476" s="301" t="s">
        <v>375</v>
      </c>
      <c r="B476" s="308" t="s">
        <v>376</v>
      </c>
      <c r="C476" s="302"/>
      <c r="D476" s="316"/>
      <c r="E476" s="319"/>
      <c r="F476" s="330"/>
      <c r="G476" s="329"/>
    </row>
    <row r="477" spans="1:7">
      <c r="A477" s="302">
        <v>1</v>
      </c>
      <c r="B477" s="343" t="s">
        <v>599</v>
      </c>
      <c r="C477" s="302">
        <v>135953</v>
      </c>
      <c r="D477" s="316" t="s">
        <v>283</v>
      </c>
      <c r="E477" s="320">
        <v>2</v>
      </c>
      <c r="F477" s="330">
        <f>E477*C477</f>
        <v>271906</v>
      </c>
      <c r="G477" s="298"/>
    </row>
    <row r="478" spans="1:7">
      <c r="A478" s="302">
        <v>2</v>
      </c>
      <c r="B478" s="343" t="s">
        <v>877</v>
      </c>
      <c r="C478" s="302">
        <v>1</v>
      </c>
      <c r="D478" s="316" t="s">
        <v>412</v>
      </c>
      <c r="E478" s="320">
        <v>250000</v>
      </c>
      <c r="F478" s="330">
        <f>E478*C478</f>
        <v>250000</v>
      </c>
      <c r="G478" s="298"/>
    </row>
    <row r="479" spans="1:7" ht="16" thickBot="1">
      <c r="A479" s="302"/>
      <c r="B479" s="311"/>
      <c r="C479" s="302"/>
      <c r="D479" s="316"/>
      <c r="E479" s="320"/>
      <c r="F479" s="330"/>
      <c r="G479" s="298"/>
    </row>
    <row r="480" spans="1:7" ht="16" thickBot="1">
      <c r="A480" s="335" t="s">
        <v>417</v>
      </c>
      <c r="B480" s="335" t="str">
        <f>B476</f>
        <v>FIRE ALARM</v>
      </c>
      <c r="C480" s="335"/>
      <c r="D480" s="336"/>
      <c r="E480" s="337"/>
      <c r="F480" s="338">
        <f>SUM(F475:F479)</f>
        <v>521906</v>
      </c>
      <c r="G480" s="339"/>
    </row>
    <row r="481" spans="1:9">
      <c r="A481" s="306"/>
      <c r="B481" s="306"/>
      <c r="C481" s="310"/>
      <c r="D481" s="318"/>
      <c r="E481" s="322"/>
      <c r="F481" s="332"/>
      <c r="G481" s="299"/>
    </row>
    <row r="482" spans="1:9">
      <c r="A482" s="307" t="s">
        <v>600</v>
      </c>
      <c r="B482" s="310" t="s">
        <v>601</v>
      </c>
      <c r="C482" s="310"/>
      <c r="D482" s="318"/>
      <c r="E482" s="322"/>
      <c r="F482" s="332"/>
      <c r="G482" s="299"/>
    </row>
    <row r="483" spans="1:9">
      <c r="A483" s="306">
        <v>1</v>
      </c>
      <c r="B483" s="344" t="s">
        <v>1016</v>
      </c>
      <c r="C483" s="302">
        <v>8295</v>
      </c>
      <c r="D483" s="316" t="s">
        <v>283</v>
      </c>
      <c r="E483" s="319">
        <v>13</v>
      </c>
      <c r="F483" s="330">
        <f>E483*C483</f>
        <v>107835</v>
      </c>
      <c r="G483" s="299" t="s">
        <v>1017</v>
      </c>
    </row>
    <row r="484" spans="1:9">
      <c r="A484" s="306">
        <f>A483+1</f>
        <v>2</v>
      </c>
      <c r="B484" s="344" t="s">
        <v>1018</v>
      </c>
      <c r="C484" s="302">
        <v>1</v>
      </c>
      <c r="D484" s="316" t="s">
        <v>975</v>
      </c>
      <c r="E484" s="319">
        <v>30000</v>
      </c>
      <c r="F484" s="330">
        <f t="shared" ref="F484:F486" si="40">E484*C484</f>
        <v>30000</v>
      </c>
      <c r="G484" s="299"/>
    </row>
    <row r="485" spans="1:9">
      <c r="A485" s="306">
        <f>A484+1</f>
        <v>3</v>
      </c>
      <c r="B485" s="344" t="s">
        <v>1019</v>
      </c>
      <c r="C485" s="302">
        <v>300</v>
      </c>
      <c r="D485" s="316" t="s">
        <v>427</v>
      </c>
      <c r="E485" s="319">
        <v>100</v>
      </c>
      <c r="F485" s="330">
        <f t="shared" si="40"/>
        <v>30000</v>
      </c>
      <c r="G485" s="299"/>
    </row>
    <row r="486" spans="1:9">
      <c r="A486" s="306">
        <v>4</v>
      </c>
      <c r="B486" s="344" t="s">
        <v>1031</v>
      </c>
      <c r="C486" s="302">
        <f>238*10</f>
        <v>2380</v>
      </c>
      <c r="D486" s="316" t="s">
        <v>283</v>
      </c>
      <c r="E486" s="319">
        <v>75</v>
      </c>
      <c r="F486" s="330">
        <f t="shared" si="40"/>
        <v>178500</v>
      </c>
      <c r="G486" s="299"/>
      <c r="I486" s="1">
        <f>238*30</f>
        <v>7140</v>
      </c>
    </row>
    <row r="487" spans="1:9" ht="16" thickBot="1">
      <c r="A487" s="306"/>
      <c r="B487" s="306"/>
      <c r="C487" s="314"/>
      <c r="D487" s="318"/>
      <c r="E487" s="324"/>
      <c r="F487" s="332"/>
      <c r="G487" s="299"/>
    </row>
    <row r="488" spans="1:9" ht="16" thickBot="1">
      <c r="A488" s="335" t="s">
        <v>417</v>
      </c>
      <c r="B488" s="335" t="str">
        <f>B482</f>
        <v>SITEWORK</v>
      </c>
      <c r="C488" s="335"/>
      <c r="D488" s="336"/>
      <c r="E488" s="337"/>
      <c r="F488" s="338">
        <f>SUM(F481:F487)</f>
        <v>346335</v>
      </c>
      <c r="G488" s="339"/>
    </row>
  </sheetData>
  <mergeCells count="2">
    <mergeCell ref="A1:G1"/>
    <mergeCell ref="A8:D8"/>
  </mergeCells>
  <phoneticPr fontId="25" type="noConversion"/>
  <pageMargins left="0.7" right="0.7" top="0.75" bottom="0.75" header="0.3" footer="0.3"/>
  <ignoredErrors>
    <ignoredError sqref="B27 B37 B63 B93 B119 B127 B151 B160 B182 B196 B204 B213 B219 B229 B237 B270 B279 B294 B302 B308 B316:B318 A14:A19 B370:B373 A460:A462 A468:A472 B479:B482 B468:B477 B487:B488 B360:B363 C53 B411:B414 B396:B398 B425:B427 B416:B419 B453:B466 A184:A194 A365:A369 B354:B356 C384:C387 A402:B409 A380:A381 C382 B347:B351 B333:B341 B327:B330 B392:B394 A383:A400 A320:A325 B320:C321 C323 B437:B441 B430:B433 A446:A451 A433 A427:A428 A484:A485 A55:A61 B325 C288" unlockedFormula="1"/>
    <ignoredError sqref="A476 A482 A466 A458 A39:A40 A363 A373 A419" numberStoredAsText="1"/>
    <ignoredError sqref="A41:A54" numberStoredAsText="1" unlockedFormula="1"/>
    <ignoredError sqref="A401 A434:A435" formula="1" unlockedFormula="1"/>
    <ignoredError sqref="C322" formulaRange="1" unlocked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CAEC-734A-1842-9631-1BD7AE66CD0F}">
  <sheetPr>
    <tabColor rgb="FFFF0000"/>
  </sheetPr>
  <dimension ref="B3:E13"/>
  <sheetViews>
    <sheetView zoomScale="111" workbookViewId="0">
      <selection activeCell="C13" sqref="C13"/>
    </sheetView>
  </sheetViews>
  <sheetFormatPr baseColWidth="10" defaultRowHeight="15"/>
  <cols>
    <col min="5" max="5" width="12.6640625" bestFit="1" customWidth="1"/>
  </cols>
  <sheetData>
    <row r="3" spans="2:5">
      <c r="B3" t="s">
        <v>863</v>
      </c>
      <c r="C3">
        <v>10</v>
      </c>
      <c r="D3">
        <v>9200</v>
      </c>
      <c r="E3">
        <f>C3*D3</f>
        <v>92000</v>
      </c>
    </row>
    <row r="4" spans="2:5">
      <c r="B4" t="s">
        <v>860</v>
      </c>
      <c r="C4">
        <v>90</v>
      </c>
      <c r="D4">
        <v>6400</v>
      </c>
      <c r="E4">
        <f t="shared" ref="E4:E12" si="0">C4*D4</f>
        <v>576000</v>
      </c>
    </row>
    <row r="5" spans="2:5">
      <c r="B5" t="s">
        <v>861</v>
      </c>
      <c r="C5">
        <v>90</v>
      </c>
      <c r="D5">
        <v>4600</v>
      </c>
      <c r="E5">
        <f t="shared" si="0"/>
        <v>414000</v>
      </c>
    </row>
    <row r="6" spans="2:5">
      <c r="B6" t="s">
        <v>862</v>
      </c>
      <c r="C6">
        <v>90</v>
      </c>
      <c r="D6">
        <v>3900</v>
      </c>
      <c r="E6">
        <f t="shared" si="0"/>
        <v>351000</v>
      </c>
    </row>
    <row r="7" spans="2:5">
      <c r="B7" t="s">
        <v>864</v>
      </c>
      <c r="C7">
        <v>10</v>
      </c>
      <c r="D7">
        <v>2800</v>
      </c>
      <c r="E7">
        <f t="shared" si="0"/>
        <v>28000</v>
      </c>
    </row>
    <row r="8" spans="2:5">
      <c r="E8">
        <f t="shared" si="0"/>
        <v>0</v>
      </c>
    </row>
    <row r="9" spans="2:5">
      <c r="B9" t="s">
        <v>865</v>
      </c>
      <c r="C9">
        <v>90</v>
      </c>
      <c r="D9">
        <v>6000</v>
      </c>
      <c r="E9">
        <f t="shared" si="0"/>
        <v>540000</v>
      </c>
    </row>
    <row r="10" spans="2:5">
      <c r="B10" t="s">
        <v>865</v>
      </c>
      <c r="C10">
        <v>90</v>
      </c>
      <c r="D10">
        <v>6000</v>
      </c>
      <c r="E10">
        <f t="shared" si="0"/>
        <v>540000</v>
      </c>
    </row>
    <row r="11" spans="2:5">
      <c r="B11" t="s">
        <v>865</v>
      </c>
      <c r="C11">
        <v>90</v>
      </c>
      <c r="D11">
        <v>6000</v>
      </c>
      <c r="E11">
        <f t="shared" si="0"/>
        <v>540000</v>
      </c>
    </row>
    <row r="12" spans="2:5">
      <c r="B12" t="s">
        <v>866</v>
      </c>
      <c r="C12">
        <v>10</v>
      </c>
      <c r="D12">
        <v>6000</v>
      </c>
      <c r="E12">
        <f t="shared" si="0"/>
        <v>60000</v>
      </c>
    </row>
    <row r="13" spans="2:5">
      <c r="E13" s="680">
        <f>SUM(E3:E12)</f>
        <v>3141000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B1:H35"/>
  <sheetViews>
    <sheetView zoomScaleNormal="100" workbookViewId="0">
      <selection activeCell="C8" sqref="C8"/>
    </sheetView>
  </sheetViews>
  <sheetFormatPr baseColWidth="10" defaultColWidth="9.5" defaultRowHeight="15"/>
  <cols>
    <col min="1" max="1" width="1.33203125" style="1" customWidth="1"/>
    <col min="2" max="2" width="22.5" style="1" bestFit="1" customWidth="1"/>
    <col min="3" max="3" width="19" style="1" customWidth="1"/>
    <col min="4" max="5" width="20.83203125" style="1" customWidth="1"/>
    <col min="6" max="6" width="21.5" style="1" customWidth="1"/>
    <col min="7" max="7" width="20" style="1" customWidth="1"/>
    <col min="8" max="8" width="20.5" style="1" customWidth="1"/>
    <col min="9" max="9" width="10.5" style="1" bestFit="1" customWidth="1"/>
    <col min="10" max="10" width="2.5" style="1" customWidth="1"/>
    <col min="11" max="13" width="9.5" style="1"/>
    <col min="14" max="14" width="9.5" style="1" customWidth="1"/>
    <col min="15" max="16384" width="9.5" style="1"/>
  </cols>
  <sheetData>
    <row r="1" spans="2:7" ht="6" customHeight="1"/>
    <row r="8" spans="2:7" ht="19">
      <c r="B8" s="26" t="s">
        <v>85</v>
      </c>
      <c r="C8" s="120">
        <v>44957</v>
      </c>
      <c r="F8" s="26" t="s">
        <v>87</v>
      </c>
      <c r="G8" s="65" t="s">
        <v>228</v>
      </c>
    </row>
    <row r="9" spans="2:7" ht="19">
      <c r="B9" s="26" t="s">
        <v>9</v>
      </c>
      <c r="C9" s="64"/>
      <c r="F9" s="26" t="s">
        <v>223</v>
      </c>
      <c r="G9" s="65" t="s">
        <v>228</v>
      </c>
    </row>
    <row r="10" spans="2:7" ht="19">
      <c r="B10" s="26" t="s">
        <v>24</v>
      </c>
      <c r="C10" s="64"/>
      <c r="F10" s="26" t="s">
        <v>224</v>
      </c>
      <c r="G10" s="65" t="s">
        <v>228</v>
      </c>
    </row>
    <row r="11" spans="2:7" ht="19">
      <c r="B11" s="26" t="s">
        <v>20</v>
      </c>
      <c r="C11" s="64"/>
      <c r="F11" s="26" t="s">
        <v>222</v>
      </c>
      <c r="G11" s="65" t="s">
        <v>228</v>
      </c>
    </row>
    <row r="12" spans="2:7" ht="19">
      <c r="B12" s="26" t="s">
        <v>10</v>
      </c>
      <c r="C12" s="64"/>
      <c r="F12" s="26" t="s">
        <v>86</v>
      </c>
      <c r="G12" s="65" t="s">
        <v>228</v>
      </c>
    </row>
    <row r="13" spans="2:7" ht="19">
      <c r="B13" s="26" t="s">
        <v>11</v>
      </c>
      <c r="C13" s="121" t="e">
        <f>C25</f>
        <v>#REF!</v>
      </c>
      <c r="F13" s="26" t="s">
        <v>88</v>
      </c>
      <c r="G13" s="65" t="s">
        <v>228</v>
      </c>
    </row>
    <row r="14" spans="2:7" ht="19">
      <c r="B14" s="26" t="s">
        <v>236</v>
      </c>
      <c r="C14" s="64" t="s">
        <v>228</v>
      </c>
      <c r="F14" s="26" t="s">
        <v>12</v>
      </c>
      <c r="G14" s="64" t="s">
        <v>228</v>
      </c>
    </row>
    <row r="15" spans="2:7" ht="19">
      <c r="B15" s="26"/>
      <c r="C15" s="64"/>
      <c r="F15" s="26"/>
      <c r="G15" s="64"/>
    </row>
    <row r="16" spans="2:7" ht="16" thickBot="1"/>
    <row r="17" spans="2:8" ht="15" customHeight="1">
      <c r="B17" s="769" t="s">
        <v>21</v>
      </c>
      <c r="C17" s="769" t="s">
        <v>14</v>
      </c>
      <c r="D17" s="764" t="s">
        <v>256</v>
      </c>
      <c r="E17" s="764" t="s">
        <v>257</v>
      </c>
      <c r="F17" s="764" t="s">
        <v>52</v>
      </c>
      <c r="G17" s="764" t="s">
        <v>53</v>
      </c>
      <c r="H17" s="764" t="s">
        <v>18</v>
      </c>
    </row>
    <row r="18" spans="2:8" ht="16.5" customHeight="1" thickBot="1">
      <c r="B18" s="770"/>
      <c r="C18" s="770"/>
      <c r="D18" s="765" t="s">
        <v>31</v>
      </c>
      <c r="E18" s="765" t="s">
        <v>31</v>
      </c>
      <c r="F18" s="765"/>
      <c r="G18" s="765"/>
      <c r="H18" s="765"/>
    </row>
    <row r="19" spans="2:8">
      <c r="B19" s="22" t="str">
        <f>'Project Detail'!D4</f>
        <v>Building Costs</v>
      </c>
      <c r="C19" s="29">
        <f>'Project Summary '!C9</f>
        <v>63651264.740249999</v>
      </c>
      <c r="D19" s="29">
        <f>'Project Summary '!D9</f>
        <v>0</v>
      </c>
      <c r="E19" s="29">
        <f>'Project Summary '!E9</f>
        <v>0</v>
      </c>
      <c r="F19" s="29">
        <f>'Project Summary '!F9</f>
        <v>63651264.740249999</v>
      </c>
      <c r="G19" s="29">
        <f>'Project Summary '!G9</f>
        <v>63651264.740249999</v>
      </c>
      <c r="H19" s="30">
        <f>'Project Summary '!H9</f>
        <v>0</v>
      </c>
    </row>
    <row r="20" spans="2:8">
      <c r="B20" s="119" t="str">
        <f>'Project Detail'!D33</f>
        <v>Soft Costs</v>
      </c>
      <c r="C20" s="31" t="e">
        <f>'Project Summary '!C15</f>
        <v>#REF!</v>
      </c>
      <c r="D20" s="31">
        <f>'Project Summary '!D15</f>
        <v>0</v>
      </c>
      <c r="E20" s="31">
        <f>'Project Summary '!E15</f>
        <v>0</v>
      </c>
      <c r="F20" s="31" t="e">
        <f>'Project Summary '!F15</f>
        <v>#REF!</v>
      </c>
      <c r="G20" s="31" t="e">
        <f>'Project Summary '!G15</f>
        <v>#REF!</v>
      </c>
      <c r="H20" s="117" t="e">
        <f>'Project Summary '!H15</f>
        <v>#REF!</v>
      </c>
    </row>
    <row r="21" spans="2:8" ht="16" thickBot="1">
      <c r="B21" s="141" t="s">
        <v>25</v>
      </c>
      <c r="C21" s="142" t="e">
        <f>'Project Summary '!C27</f>
        <v>#REF!</v>
      </c>
      <c r="D21" s="142">
        <f>'Project Summary '!D27</f>
        <v>0</v>
      </c>
      <c r="E21" s="142">
        <f>'Project Summary '!E27</f>
        <v>0</v>
      </c>
      <c r="F21" s="142" t="e">
        <f>'Project Summary '!F27</f>
        <v>#REF!</v>
      </c>
      <c r="G21" s="142" t="e">
        <f>'Project Summary '!G27</f>
        <v>#REF!</v>
      </c>
      <c r="H21" s="143" t="e">
        <f>'Project Summary '!H27</f>
        <v>#REF!</v>
      </c>
    </row>
    <row r="22" spans="2:8" ht="4.5" customHeight="1" thickBot="1">
      <c r="B22" s="9"/>
      <c r="C22" s="140"/>
      <c r="D22" s="140"/>
      <c r="E22" s="140"/>
      <c r="F22" s="140"/>
      <c r="G22" s="140"/>
      <c r="H22" s="140"/>
    </row>
    <row r="23" spans="2:8">
      <c r="B23" s="22" t="str">
        <f>'Project Summary '!B29</f>
        <v>Sub-Total</v>
      </c>
      <c r="C23" s="29" t="e">
        <f>SUM(C19:C21)</f>
        <v>#REF!</v>
      </c>
      <c r="D23" s="29">
        <f t="shared" ref="D23:G23" si="0">SUM(D19:D21)</f>
        <v>0</v>
      </c>
      <c r="E23" s="29">
        <f t="shared" si="0"/>
        <v>0</v>
      </c>
      <c r="F23" s="29" t="e">
        <f t="shared" si="0"/>
        <v>#REF!</v>
      </c>
      <c r="G23" s="29" t="e">
        <f t="shared" si="0"/>
        <v>#REF!</v>
      </c>
      <c r="H23" s="30" t="e">
        <f>SUM(H19:H21)</f>
        <v>#REF!</v>
      </c>
    </row>
    <row r="24" spans="2:8" ht="16" thickBot="1">
      <c r="B24" s="24" t="s">
        <v>98</v>
      </c>
      <c r="C24" s="33">
        <f>'Project Summary '!C30</f>
        <v>8098599.2216999996</v>
      </c>
      <c r="D24" s="33"/>
      <c r="E24" s="33"/>
      <c r="F24" s="33">
        <f>Contingency!G9</f>
        <v>8098599.2216999996</v>
      </c>
      <c r="G24" s="33">
        <f>Contingency!G9</f>
        <v>8098599.2216999996</v>
      </c>
      <c r="H24" s="34">
        <f>C24-G24</f>
        <v>0</v>
      </c>
    </row>
    <row r="25" spans="2:8" ht="16" thickBot="1">
      <c r="B25" s="104" t="s">
        <v>218</v>
      </c>
      <c r="C25" s="105" t="e">
        <f>SUM(C23:C24)</f>
        <v>#REF!</v>
      </c>
      <c r="D25" s="105">
        <f t="shared" ref="D25:G25" si="1">SUM(D23:D24)</f>
        <v>0</v>
      </c>
      <c r="E25" s="105">
        <f t="shared" si="1"/>
        <v>0</v>
      </c>
      <c r="F25" s="105" t="e">
        <f t="shared" si="1"/>
        <v>#REF!</v>
      </c>
      <c r="G25" s="105" t="e">
        <f t="shared" si="1"/>
        <v>#REF!</v>
      </c>
      <c r="H25" s="106" t="e">
        <f>SUM(H23:H24)</f>
        <v>#REF!</v>
      </c>
    </row>
    <row r="26" spans="2:8" ht="6" customHeight="1">
      <c r="C26" s="32"/>
      <c r="D26" s="32"/>
      <c r="E26" s="32"/>
      <c r="F26" s="32"/>
      <c r="G26" s="32"/>
      <c r="H26" s="32"/>
    </row>
    <row r="27" spans="2:8" ht="16" thickBot="1"/>
    <row r="28" spans="2:8" ht="16" thickBot="1">
      <c r="B28" s="766" t="s">
        <v>219</v>
      </c>
      <c r="C28" s="767"/>
      <c r="D28" s="768"/>
      <c r="F28" s="32"/>
    </row>
    <row r="29" spans="2:8" ht="16" thickBot="1">
      <c r="B29" s="760" t="s">
        <v>102</v>
      </c>
      <c r="C29" s="761"/>
      <c r="D29" s="99">
        <f>'Risk Report'!G15</f>
        <v>0</v>
      </c>
    </row>
    <row r="30" spans="2:8" ht="16" thickBot="1">
      <c r="B30" s="760" t="s">
        <v>101</v>
      </c>
      <c r="C30" s="761"/>
      <c r="D30" s="99">
        <f>'Risk Report'!G19</f>
        <v>8098599.2216999996</v>
      </c>
    </row>
    <row r="31" spans="2:8" ht="16" thickBot="1">
      <c r="B31" s="760" t="s">
        <v>225</v>
      </c>
      <c r="C31" s="761"/>
      <c r="D31" s="99">
        <f>'Risk Report'!G23</f>
        <v>0</v>
      </c>
    </row>
    <row r="32" spans="2:8" ht="16" thickBot="1">
      <c r="B32" s="762" t="s">
        <v>234</v>
      </c>
      <c r="C32" s="763"/>
      <c r="D32" s="103" t="e">
        <f>G25+D31</f>
        <v>#REF!</v>
      </c>
      <c r="E32" s="32"/>
    </row>
    <row r="34" spans="2:8">
      <c r="D34" s="32"/>
      <c r="H34" s="32"/>
    </row>
    <row r="35" spans="2:8" ht="16">
      <c r="B35" s="45"/>
      <c r="F35" s="68"/>
    </row>
  </sheetData>
  <mergeCells count="12">
    <mergeCell ref="B31:C31"/>
    <mergeCell ref="B32:C32"/>
    <mergeCell ref="G17:G18"/>
    <mergeCell ref="H17:H18"/>
    <mergeCell ref="F17:F18"/>
    <mergeCell ref="B29:C29"/>
    <mergeCell ref="B28:D28"/>
    <mergeCell ref="B17:B18"/>
    <mergeCell ref="C17:C18"/>
    <mergeCell ref="B30:C30"/>
    <mergeCell ref="D17:D18"/>
    <mergeCell ref="E17:E18"/>
  </mergeCells>
  <pageMargins left="0.7" right="0.7" top="0.75" bottom="0.75" header="0.3" footer="0.3"/>
  <pageSetup scale="77" fitToHeight="0" orientation="landscape" r:id="rId1"/>
  <headerFooter>
    <oddHeader>&amp;C&amp;"-,Bold"&amp;14Project At-a-Glance</oddHeader>
    <oddFooter>&amp;CHouston Terminal
Page &amp;P of &amp;N</oddFooter>
  </headerFooter>
  <customProperties>
    <customPr name="EpmWorksheetKeyString_GUID" r:id="rId2"/>
  </customPropertie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  <pageSetUpPr fitToPage="1"/>
  </sheetPr>
  <dimension ref="B1:I34"/>
  <sheetViews>
    <sheetView zoomScale="115" zoomScaleNormal="115" workbookViewId="0">
      <pane ySplit="3" topLeftCell="A4" activePane="bottomLeft" state="frozen"/>
      <selection pane="bottomLeft" activeCell="C5" sqref="C5"/>
    </sheetView>
  </sheetViews>
  <sheetFormatPr baseColWidth="10" defaultColWidth="9.5" defaultRowHeight="15"/>
  <cols>
    <col min="1" max="1" width="0.83203125" style="1" customWidth="1"/>
    <col min="2" max="2" width="34.6640625" style="1" bestFit="1" customWidth="1"/>
    <col min="3" max="3" width="15.5" style="1" customWidth="1"/>
    <col min="4" max="4" width="16.5" style="1" bestFit="1" customWidth="1"/>
    <col min="5" max="5" width="13.5" style="1" bestFit="1" customWidth="1"/>
    <col min="6" max="6" width="15.5" style="1" customWidth="1"/>
    <col min="7" max="7" width="14.5" style="1" bestFit="1" customWidth="1"/>
    <col min="8" max="8" width="13.5" style="1" customWidth="1"/>
    <col min="9" max="9" width="0.83203125" style="1" customWidth="1"/>
    <col min="10" max="16384" width="9.5" style="1"/>
  </cols>
  <sheetData>
    <row r="1" spans="2:8" ht="6" customHeight="1" thickBot="1"/>
    <row r="2" spans="2:8" ht="15" customHeight="1" thickBot="1">
      <c r="B2" s="773" t="s">
        <v>21</v>
      </c>
      <c r="C2" s="773" t="s">
        <v>14</v>
      </c>
      <c r="D2" s="107" t="s">
        <v>26</v>
      </c>
      <c r="E2" s="230" t="s">
        <v>23</v>
      </c>
      <c r="F2" s="771" t="s">
        <v>52</v>
      </c>
      <c r="G2" s="771" t="s">
        <v>53</v>
      </c>
      <c r="H2" s="771" t="s">
        <v>18</v>
      </c>
    </row>
    <row r="3" spans="2:8" ht="15.75" customHeight="1" thickBot="1">
      <c r="B3" s="774"/>
      <c r="C3" s="774"/>
      <c r="D3" s="59" t="s">
        <v>31</v>
      </c>
      <c r="E3" s="59" t="s">
        <v>31</v>
      </c>
      <c r="F3" s="772"/>
      <c r="G3" s="772"/>
      <c r="H3" s="772"/>
    </row>
    <row r="4" spans="2:8" ht="16" thickBot="1">
      <c r="B4" s="8" t="str">
        <f>'Project Detail'!D4</f>
        <v>Building Costs</v>
      </c>
      <c r="C4" s="11"/>
      <c r="D4" s="116"/>
      <c r="E4" s="116"/>
      <c r="F4" s="11"/>
      <c r="G4" s="11"/>
      <c r="H4" s="11"/>
    </row>
    <row r="5" spans="2:8">
      <c r="B5" s="20" t="str">
        <f>'Project Detail'!D5</f>
        <v>Building &amp; Fit-Out Costs</v>
      </c>
      <c r="C5" s="36">
        <f>'Project Detail'!F10</f>
        <v>63651264.740249999</v>
      </c>
      <c r="D5" s="29">
        <f>'Project Detail'!G10</f>
        <v>0</v>
      </c>
      <c r="E5" s="29">
        <f>'Project Detail'!K10</f>
        <v>0</v>
      </c>
      <c r="F5" s="29">
        <f>'Project Detail'!L10</f>
        <v>63651264.740249999</v>
      </c>
      <c r="G5" s="29">
        <f>'Project Detail'!M10</f>
        <v>63651264.740249999</v>
      </c>
      <c r="H5" s="30">
        <f>'Project Detail'!N10</f>
        <v>0</v>
      </c>
    </row>
    <row r="6" spans="2:8" ht="16" thickBot="1">
      <c r="B6" s="21" t="str">
        <f>'Project Detail'!D11</f>
        <v>Secondary Contractors</v>
      </c>
      <c r="C6" s="37">
        <f>'Project Detail'!F16</f>
        <v>0</v>
      </c>
      <c r="D6" s="50">
        <f>'Project Detail'!G16</f>
        <v>0</v>
      </c>
      <c r="E6" s="31">
        <f>'Project Detail'!K16</f>
        <v>0</v>
      </c>
      <c r="F6" s="31">
        <f>'Project Detail'!L16</f>
        <v>0</v>
      </c>
      <c r="G6" s="31">
        <f>'Project Detail'!M16</f>
        <v>0</v>
      </c>
      <c r="H6" s="117">
        <f>'Project Detail'!N16</f>
        <v>0</v>
      </c>
    </row>
    <row r="7" spans="2:8" hidden="1">
      <c r="B7" s="21" t="str">
        <f>'Project Detail'!D17</f>
        <v>Miscellaneous</v>
      </c>
      <c r="C7" s="38">
        <f>'Project Detail'!F22</f>
        <v>0</v>
      </c>
      <c r="D7" s="50">
        <f>'Project Detail'!G22</f>
        <v>0</v>
      </c>
      <c r="E7" s="31">
        <f>'Project Detail'!K22</f>
        <v>0</v>
      </c>
      <c r="F7" s="31">
        <f>'Project Detail'!L22</f>
        <v>0</v>
      </c>
      <c r="G7" s="31">
        <f>'Project Detail'!M22</f>
        <v>0</v>
      </c>
      <c r="H7" s="117">
        <f>'Project Detail'!N22</f>
        <v>0</v>
      </c>
    </row>
    <row r="8" spans="2:8" ht="16" hidden="1" thickBot="1">
      <c r="B8" s="21">
        <f>'Project Detail'!D23</f>
        <v>0</v>
      </c>
      <c r="C8" s="37">
        <f>'Project Detail'!F28</f>
        <v>0</v>
      </c>
      <c r="D8" s="50">
        <f>'Project Detail'!G28</f>
        <v>0</v>
      </c>
      <c r="E8" s="31">
        <f>'Project Detail'!K28</f>
        <v>0</v>
      </c>
      <c r="F8" s="31">
        <f>'Project Detail'!L28</f>
        <v>0</v>
      </c>
      <c r="G8" s="31">
        <f>'Project Detail'!M28</f>
        <v>0</v>
      </c>
      <c r="H8" s="117">
        <f>'Project Detail'!N28</f>
        <v>0</v>
      </c>
    </row>
    <row r="9" spans="2:8" ht="16" thickBot="1">
      <c r="B9" s="23" t="s">
        <v>214</v>
      </c>
      <c r="C9" s="39">
        <f>SUM(C5:C8)</f>
        <v>63651264.740249999</v>
      </c>
      <c r="D9" s="39">
        <f t="shared" ref="D9:H9" si="0">SUM(D5:D8)</f>
        <v>0</v>
      </c>
      <c r="E9" s="39">
        <f t="shared" si="0"/>
        <v>0</v>
      </c>
      <c r="F9" s="39">
        <f t="shared" si="0"/>
        <v>63651264.740249999</v>
      </c>
      <c r="G9" s="39">
        <f t="shared" si="0"/>
        <v>63651264.740249999</v>
      </c>
      <c r="H9" s="35">
        <f t="shared" si="0"/>
        <v>0</v>
      </c>
    </row>
    <row r="10" spans="2:8" ht="5.25" customHeight="1">
      <c r="C10" s="10"/>
      <c r="D10" s="10"/>
      <c r="E10" s="10"/>
      <c r="F10" s="10"/>
      <c r="G10" s="10"/>
      <c r="H10" s="10"/>
    </row>
    <row r="11" spans="2:8" ht="16" thickBot="1">
      <c r="B11" s="9" t="str">
        <f>'Project Detail'!D33</f>
        <v>Soft Costs</v>
      </c>
      <c r="C11" s="12"/>
      <c r="D11" s="12"/>
      <c r="E11" s="12"/>
      <c r="F11" s="12"/>
      <c r="G11" s="12"/>
      <c r="H11" s="12"/>
    </row>
    <row r="12" spans="2:8">
      <c r="B12" s="20" t="str">
        <f>'Project Detail'!D34</f>
        <v>Project Management</v>
      </c>
      <c r="C12" s="40" t="e">
        <f>'Project Detail'!F39</f>
        <v>#REF!</v>
      </c>
      <c r="D12" s="29">
        <f>'Project Detail'!G39</f>
        <v>0</v>
      </c>
      <c r="E12" s="29">
        <f>'Project Detail'!K39</f>
        <v>0</v>
      </c>
      <c r="F12" s="29" t="e">
        <f>'Project Detail'!L39</f>
        <v>#REF!</v>
      </c>
      <c r="G12" s="29" t="e">
        <f>'Project Detail'!M39</f>
        <v>#REF!</v>
      </c>
      <c r="H12" s="30" t="e">
        <f>'Project Detail'!N39</f>
        <v>#REF!</v>
      </c>
    </row>
    <row r="13" spans="2:8">
      <c r="B13" s="21" t="str">
        <f>'Project Detail'!D40</f>
        <v>Architectural Fees</v>
      </c>
      <c r="C13" s="38">
        <f>'Project Detail'!F45</f>
        <v>3526000</v>
      </c>
      <c r="D13" s="50">
        <f>'Project Detail'!G45</f>
        <v>0</v>
      </c>
      <c r="E13" s="31">
        <f>'Project Detail'!K45</f>
        <v>0</v>
      </c>
      <c r="F13" s="31">
        <f>'Project Detail'!L45</f>
        <v>0</v>
      </c>
      <c r="G13" s="31">
        <f>'Project Detail'!M45</f>
        <v>0</v>
      </c>
      <c r="H13" s="117">
        <f>'Project Detail'!N45</f>
        <v>3526000</v>
      </c>
    </row>
    <row r="14" spans="2:8" ht="16" thickBot="1">
      <c r="B14" s="21" t="str">
        <f>'Project Detail'!D46</f>
        <v>Design, Engineering &amp; Misc.</v>
      </c>
      <c r="C14" s="38" t="e">
        <f>'Project Detail'!F57</f>
        <v>#REF!</v>
      </c>
      <c r="D14" s="50">
        <f>'Project Detail'!G57</f>
        <v>0</v>
      </c>
      <c r="E14" s="31">
        <f>'Project Detail'!K57</f>
        <v>0</v>
      </c>
      <c r="F14" s="31">
        <f>'Project Detail'!L57</f>
        <v>0</v>
      </c>
      <c r="G14" s="31">
        <f>'Project Detail'!M57</f>
        <v>0</v>
      </c>
      <c r="H14" s="117" t="e">
        <f>'Project Detail'!N57</f>
        <v>#REF!</v>
      </c>
    </row>
    <row r="15" spans="2:8" ht="16" thickBot="1">
      <c r="B15" s="23" t="s">
        <v>215</v>
      </c>
      <c r="C15" s="39" t="e">
        <f>SUM(C12:C14)</f>
        <v>#REF!</v>
      </c>
      <c r="D15" s="39">
        <f t="shared" ref="D15:H15" si="1">SUM(D12:D14)</f>
        <v>0</v>
      </c>
      <c r="E15" s="39">
        <f t="shared" si="1"/>
        <v>0</v>
      </c>
      <c r="F15" s="39" t="e">
        <f t="shared" si="1"/>
        <v>#REF!</v>
      </c>
      <c r="G15" s="39" t="e">
        <f t="shared" si="1"/>
        <v>#REF!</v>
      </c>
      <c r="H15" s="35" t="e">
        <f t="shared" si="1"/>
        <v>#REF!</v>
      </c>
    </row>
    <row r="16" spans="2:8" ht="5.25" customHeight="1">
      <c r="C16" s="10"/>
      <c r="D16" s="10"/>
      <c r="E16" s="10"/>
      <c r="F16" s="10"/>
      <c r="G16" s="10"/>
      <c r="H16" s="10"/>
    </row>
    <row r="17" spans="2:9" ht="16" thickBot="1">
      <c r="B17" s="25" t="str">
        <f>'Project Detail'!D62</f>
        <v>FF&amp;E Costs</v>
      </c>
      <c r="C17" s="12"/>
      <c r="D17" s="12"/>
      <c r="E17" s="12"/>
      <c r="F17" s="12"/>
      <c r="G17" s="12"/>
      <c r="H17" s="12"/>
    </row>
    <row r="18" spans="2:9">
      <c r="B18" s="17" t="str">
        <f>'Project Detail'!D63</f>
        <v>Seating</v>
      </c>
      <c r="C18" s="40" t="e">
        <f>'Project Detail'!F82</f>
        <v>#REF!</v>
      </c>
      <c r="D18" s="29">
        <f>'Project Detail'!G82</f>
        <v>0</v>
      </c>
      <c r="E18" s="29">
        <f>'Project Detail'!K82</f>
        <v>0</v>
      </c>
      <c r="F18" s="29" t="e">
        <f>'Project Detail'!L82</f>
        <v>#REF!</v>
      </c>
      <c r="G18" s="29" t="e">
        <f>'Project Detail'!M82</f>
        <v>#REF!</v>
      </c>
      <c r="H18" s="30" t="e">
        <f>'Project Detail'!N82</f>
        <v>#REF!</v>
      </c>
      <c r="I18" s="32"/>
    </row>
    <row r="19" spans="2:9">
      <c r="B19" s="18" t="str">
        <f>'Project Detail'!D83</f>
        <v>Concessions</v>
      </c>
      <c r="C19" s="38" t="e">
        <f>'Project Detail'!F88</f>
        <v>#REF!</v>
      </c>
      <c r="D19" s="50">
        <f>'Project Detail'!G88</f>
        <v>0</v>
      </c>
      <c r="E19" s="31">
        <f>'Project Detail'!K88</f>
        <v>0</v>
      </c>
      <c r="F19" s="31">
        <f>'Project Detail'!L88</f>
        <v>0</v>
      </c>
      <c r="G19" s="31">
        <f>'Project Detail'!M88</f>
        <v>0</v>
      </c>
      <c r="H19" s="117" t="e">
        <f>'Project Detail'!N88</f>
        <v>#REF!</v>
      </c>
      <c r="I19" s="32"/>
    </row>
    <row r="20" spans="2:9">
      <c r="B20" s="19" t="str">
        <f>'Project Detail'!D89</f>
        <v>Phone &amp; Data Systems</v>
      </c>
      <c r="C20" s="38">
        <f>'Project Detail'!F92</f>
        <v>420000</v>
      </c>
      <c r="D20" s="50">
        <f>'Project Detail'!G92</f>
        <v>0</v>
      </c>
      <c r="E20" s="31">
        <f>'Project Detail'!K92</f>
        <v>0</v>
      </c>
      <c r="F20" s="31">
        <f>'Project Detail'!L92</f>
        <v>420000</v>
      </c>
      <c r="G20" s="31">
        <f>'Project Detail'!M92</f>
        <v>420000</v>
      </c>
      <c r="H20" s="117">
        <f>'Project Detail'!N92</f>
        <v>0</v>
      </c>
      <c r="I20" s="32"/>
    </row>
    <row r="21" spans="2:9">
      <c r="B21" s="18" t="str">
        <f>'Project Detail'!D93</f>
        <v>Office Furniture</v>
      </c>
      <c r="C21" s="38">
        <f>'Project Detail'!F99</f>
        <v>65000</v>
      </c>
      <c r="D21" s="38">
        <f>'Project Detail'!G99</f>
        <v>0</v>
      </c>
      <c r="E21" s="31">
        <f>'Project Detail'!K99</f>
        <v>0</v>
      </c>
      <c r="F21" s="31">
        <f>'Project Detail'!L99</f>
        <v>0</v>
      </c>
      <c r="G21" s="31">
        <f>'Project Detail'!M99</f>
        <v>0</v>
      </c>
      <c r="H21" s="117">
        <f>'Project Detail'!N99</f>
        <v>65000</v>
      </c>
      <c r="I21" s="32"/>
    </row>
    <row r="22" spans="2:9">
      <c r="B22" s="18" t="str">
        <f>'Project Detail'!D100</f>
        <v>Signage/Graphics</v>
      </c>
      <c r="C22" s="38">
        <f>'Project Detail'!F118</f>
        <v>0</v>
      </c>
      <c r="D22" s="38">
        <f>'Project Detail'!G118</f>
        <v>0</v>
      </c>
      <c r="E22" s="31">
        <f>'Project Detail'!K118</f>
        <v>0</v>
      </c>
      <c r="F22" s="31">
        <f>'Project Detail'!L118</f>
        <v>0</v>
      </c>
      <c r="G22" s="31">
        <f>'Project Detail'!M118</f>
        <v>0</v>
      </c>
      <c r="H22" s="117">
        <f>'Project Detail'!N118</f>
        <v>0</v>
      </c>
      <c r="I22" s="32"/>
    </row>
    <row r="23" spans="2:9">
      <c r="B23" s="18" t="str">
        <f>'Project Detail'!D119</f>
        <v>Administration</v>
      </c>
      <c r="C23" s="38">
        <f>'Project Detail'!F130</f>
        <v>93000</v>
      </c>
      <c r="D23" s="38">
        <f>'Project Detail'!G130</f>
        <v>0</v>
      </c>
      <c r="E23" s="31">
        <f>'Project Detail'!K130</f>
        <v>0</v>
      </c>
      <c r="F23" s="31">
        <f>'Project Detail'!L130</f>
        <v>0</v>
      </c>
      <c r="G23" s="31">
        <f>'Project Detail'!M130</f>
        <v>0</v>
      </c>
      <c r="H23" s="117">
        <f>'Project Detail'!N130</f>
        <v>93000</v>
      </c>
      <c r="I23" s="32"/>
    </row>
    <row r="24" spans="2:9">
      <c r="B24" s="18" t="str">
        <f>'Project Detail'!D131</f>
        <v>Facility</v>
      </c>
      <c r="C24" s="38">
        <f>'Project Detail'!F138</f>
        <v>0</v>
      </c>
      <c r="D24" s="38">
        <f>'Project Detail'!G138</f>
        <v>0</v>
      </c>
      <c r="E24" s="31">
        <f>'Project Detail'!K138</f>
        <v>0</v>
      </c>
      <c r="F24" s="31">
        <f>'Project Detail'!L138</f>
        <v>0</v>
      </c>
      <c r="G24" s="31">
        <f>'Project Detail'!M138</f>
        <v>0</v>
      </c>
      <c r="H24" s="117">
        <f>'Project Detail'!N138</f>
        <v>0</v>
      </c>
      <c r="I24" s="32"/>
    </row>
    <row r="25" spans="2:9">
      <c r="B25" s="18" t="str">
        <f>'Project Detail'!D139</f>
        <v>Operations</v>
      </c>
      <c r="C25" s="85">
        <f>'Project Detail'!F150</f>
        <v>0</v>
      </c>
      <c r="D25" s="85">
        <f>'Project Detail'!G150</f>
        <v>0</v>
      </c>
      <c r="E25" s="31">
        <f>'Project Detail'!K150</f>
        <v>0</v>
      </c>
      <c r="F25" s="31">
        <f>'Project Detail'!L150</f>
        <v>0</v>
      </c>
      <c r="G25" s="31">
        <f>'Project Detail'!M150</f>
        <v>0</v>
      </c>
      <c r="H25" s="117">
        <f>'Project Detail'!N150</f>
        <v>0</v>
      </c>
      <c r="I25" s="32"/>
    </row>
    <row r="26" spans="2:9" ht="16" thickBot="1">
      <c r="B26" s="18" t="str">
        <f>'Project Detail'!D151</f>
        <v>Production</v>
      </c>
      <c r="C26" s="38">
        <f>'Project Detail'!F166</f>
        <v>4128500</v>
      </c>
      <c r="D26" s="38">
        <f>'Project Detail'!G166</f>
        <v>0</v>
      </c>
      <c r="E26" s="31">
        <f>'Project Detail'!K166</f>
        <v>0</v>
      </c>
      <c r="F26" s="31">
        <f>'Project Detail'!L166</f>
        <v>0</v>
      </c>
      <c r="G26" s="31">
        <f>'Project Detail'!M166</f>
        <v>0</v>
      </c>
      <c r="H26" s="117">
        <f>'Project Detail'!N166</f>
        <v>4128500</v>
      </c>
      <c r="I26" s="32"/>
    </row>
    <row r="27" spans="2:9" ht="16" thickBot="1">
      <c r="B27" s="23" t="s">
        <v>216</v>
      </c>
      <c r="C27" s="39" t="e">
        <f>SUM(C18:C26)</f>
        <v>#REF!</v>
      </c>
      <c r="D27" s="39">
        <f t="shared" ref="D27:H27" si="2">SUM(D18:D26)</f>
        <v>0</v>
      </c>
      <c r="E27" s="39">
        <f t="shared" si="2"/>
        <v>0</v>
      </c>
      <c r="F27" s="39" t="e">
        <f t="shared" si="2"/>
        <v>#REF!</v>
      </c>
      <c r="G27" s="39" t="e">
        <f t="shared" si="2"/>
        <v>#REF!</v>
      </c>
      <c r="H27" s="35" t="e">
        <f t="shared" si="2"/>
        <v>#REF!</v>
      </c>
      <c r="I27" s="32"/>
    </row>
    <row r="28" spans="2:9" ht="5.25" customHeight="1" thickBot="1">
      <c r="C28" s="10"/>
      <c r="D28" s="10"/>
      <c r="E28" s="10"/>
      <c r="F28" s="10"/>
      <c r="G28" s="10"/>
      <c r="H28" s="10"/>
    </row>
    <row r="29" spans="2:9">
      <c r="B29" s="16" t="s">
        <v>33</v>
      </c>
      <c r="C29" s="115" t="e">
        <f>+C9+C15+C27</f>
        <v>#REF!</v>
      </c>
      <c r="D29" s="115">
        <f t="shared" ref="D29:G29" si="3">+D9+D15+D27</f>
        <v>0</v>
      </c>
      <c r="E29" s="115">
        <f t="shared" si="3"/>
        <v>0</v>
      </c>
      <c r="F29" s="115" t="e">
        <f t="shared" si="3"/>
        <v>#REF!</v>
      </c>
      <c r="G29" s="115" t="e">
        <f t="shared" si="3"/>
        <v>#REF!</v>
      </c>
      <c r="H29" s="127" t="e">
        <f>+H9+H15+H27</f>
        <v>#REF!</v>
      </c>
    </row>
    <row r="30" spans="2:9" ht="16" thickBot="1">
      <c r="B30" s="128" t="s">
        <v>1</v>
      </c>
      <c r="C30" s="129">
        <f>'Project Detail'!F170</f>
        <v>8098599.2216999996</v>
      </c>
      <c r="D30" s="130"/>
      <c r="E30" s="130"/>
      <c r="F30" s="129">
        <f>Contingency!G9</f>
        <v>8098599.2216999996</v>
      </c>
      <c r="G30" s="129">
        <f>Contingency!G9</f>
        <v>8098599.2216999996</v>
      </c>
      <c r="H30" s="131">
        <f>C30-G30</f>
        <v>0</v>
      </c>
    </row>
    <row r="31" spans="2:9" ht="17" thickBot="1">
      <c r="B31" s="126" t="s">
        <v>99</v>
      </c>
      <c r="C31" s="124" t="e">
        <f>SUM(C29:C30)</f>
        <v>#REF!</v>
      </c>
      <c r="D31" s="124">
        <f>SUM(D29:D30)</f>
        <v>0</v>
      </c>
      <c r="E31" s="124">
        <f t="shared" ref="E31:G31" si="4">SUM(E29:E30)</f>
        <v>0</v>
      </c>
      <c r="F31" s="124" t="e">
        <f t="shared" si="4"/>
        <v>#REF!</v>
      </c>
      <c r="G31" s="124" t="e">
        <f t="shared" si="4"/>
        <v>#REF!</v>
      </c>
      <c r="H31" s="125" t="e">
        <f>SUM(H29:H30)</f>
        <v>#REF!</v>
      </c>
    </row>
    <row r="33" spans="5:5" ht="16">
      <c r="E33" s="102"/>
    </row>
    <row r="34" spans="5:5">
      <c r="E34" s="32"/>
    </row>
  </sheetData>
  <mergeCells count="5">
    <mergeCell ref="H2:H3"/>
    <mergeCell ref="B2:B3"/>
    <mergeCell ref="C2:C3"/>
    <mergeCell ref="F2:F3"/>
    <mergeCell ref="G2:G3"/>
  </mergeCells>
  <pageMargins left="0.7" right="0.7" top="0.75" bottom="0.75" header="0.3" footer="0.3"/>
  <pageSetup scale="99" fitToHeight="0" orientation="landscape" r:id="rId1"/>
  <headerFooter>
    <oddHeader>&amp;C&amp;"-,Bold"&amp;14Summary</oddHeader>
    <oddFooter>&amp;CHouston Terminal
Page &amp;P of &amp;N</oddFooter>
  </headerFooter>
  <customProperties>
    <customPr name="EpmWorksheetKeyString_GUID" r:id="rId2"/>
  </customProperties>
  <ignoredErrors>
    <ignoredError sqref="C22:D22" formula="1"/>
  </ignoredError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  <pageSetUpPr fitToPage="1"/>
  </sheetPr>
  <dimension ref="B1:AE180"/>
  <sheetViews>
    <sheetView zoomScale="115" zoomScaleNormal="115" workbookViewId="0">
      <pane ySplit="3" topLeftCell="A4" activePane="bottomLeft" state="frozen"/>
      <selection pane="bottomLeft" activeCell="G61" sqref="G61"/>
    </sheetView>
  </sheetViews>
  <sheetFormatPr baseColWidth="10" defaultColWidth="9.5" defaultRowHeight="15" outlineLevelRow="1" outlineLevelCol="1"/>
  <cols>
    <col min="1" max="1" width="1" style="1" customWidth="1"/>
    <col min="2" max="2" width="8.5" style="2" customWidth="1"/>
    <col min="3" max="3" width="10.5" style="2" hidden="1" customWidth="1"/>
    <col min="4" max="4" width="37.1640625" style="70" bestFit="1" customWidth="1"/>
    <col min="5" max="5" width="41.1640625" style="1" bestFit="1" customWidth="1"/>
    <col min="6" max="7" width="19.83203125" style="1" customWidth="1"/>
    <col min="8" max="10" width="19.83203125" style="1" hidden="1" customWidth="1" outlineLevel="1"/>
    <col min="11" max="11" width="19.83203125" style="1" customWidth="1" collapsed="1"/>
    <col min="12" max="14" width="19.83203125" style="1" customWidth="1"/>
    <col min="15" max="15" width="29.6640625" style="1" customWidth="1" outlineLevel="1"/>
    <col min="16" max="16" width="1.6640625" style="1" customWidth="1"/>
    <col min="17" max="17" width="15" style="1" hidden="1" customWidth="1" outlineLevel="1"/>
    <col min="18" max="18" width="2.33203125" style="1" customWidth="1" outlineLevel="1"/>
    <col min="19" max="21" width="14.83203125" style="1" hidden="1" customWidth="1" outlineLevel="1"/>
    <col min="22" max="22" width="2.33203125" style="1" hidden="1" customWidth="1" outlineLevel="1"/>
    <col min="23" max="26" width="14.83203125" style="1" hidden="1" customWidth="1" outlineLevel="1"/>
    <col min="27" max="27" width="2.33203125" style="1" hidden="1" customWidth="1" outlineLevel="1"/>
    <col min="28" max="28" width="14.83203125" style="1" hidden="1" customWidth="1" outlineLevel="1"/>
    <col min="29" max="29" width="2.5" style="1" hidden="1" customWidth="1" outlineLevel="1"/>
    <col min="30" max="30" width="14.83203125" style="1" hidden="1" customWidth="1" outlineLevel="1"/>
    <col min="31" max="31" width="10.1640625" style="1" hidden="1" customWidth="1"/>
    <col min="32" max="16384" width="9.5" style="1"/>
  </cols>
  <sheetData>
    <row r="1" spans="2:30" ht="7.5" customHeight="1" thickBot="1"/>
    <row r="2" spans="2:30" s="72" customFormat="1" ht="30.75" customHeight="1" thickBot="1">
      <c r="B2" s="156" t="s">
        <v>58</v>
      </c>
      <c r="C2" s="157" t="s">
        <v>16</v>
      </c>
      <c r="D2" s="157" t="s">
        <v>5</v>
      </c>
      <c r="E2" s="158" t="s">
        <v>0</v>
      </c>
      <c r="F2" s="158" t="s">
        <v>14</v>
      </c>
      <c r="G2" s="159" t="s">
        <v>26</v>
      </c>
      <c r="H2" s="158" t="s">
        <v>3</v>
      </c>
      <c r="I2" s="159" t="s">
        <v>57</v>
      </c>
      <c r="J2" s="158" t="s">
        <v>55</v>
      </c>
      <c r="K2" s="159" t="s">
        <v>59</v>
      </c>
      <c r="L2" s="159" t="s">
        <v>52</v>
      </c>
      <c r="M2" s="159" t="s">
        <v>53</v>
      </c>
      <c r="N2" s="159" t="s">
        <v>18</v>
      </c>
      <c r="O2" s="160" t="s">
        <v>2</v>
      </c>
      <c r="Q2" s="215" t="s">
        <v>252</v>
      </c>
      <c r="S2" s="215" t="s">
        <v>262</v>
      </c>
      <c r="T2" s="215" t="s">
        <v>270</v>
      </c>
      <c r="U2" s="215" t="s">
        <v>266</v>
      </c>
      <c r="W2" s="215" t="s">
        <v>263</v>
      </c>
      <c r="X2" s="215" t="s">
        <v>264</v>
      </c>
      <c r="Y2" s="215" t="s">
        <v>265</v>
      </c>
      <c r="Z2" s="215" t="s">
        <v>267</v>
      </c>
      <c r="AB2" s="215" t="s">
        <v>268</v>
      </c>
      <c r="AD2" s="223" t="s">
        <v>253</v>
      </c>
    </row>
    <row r="3" spans="2:30" ht="16">
      <c r="B3" s="80"/>
      <c r="C3" s="80"/>
      <c r="D3" s="80"/>
      <c r="E3" s="80"/>
      <c r="F3" s="80"/>
      <c r="G3" s="79"/>
      <c r="H3" s="80"/>
      <c r="I3" s="79"/>
      <c r="J3" s="80"/>
      <c r="K3" s="79"/>
      <c r="L3" s="81"/>
      <c r="M3" s="79"/>
      <c r="N3" s="81"/>
      <c r="O3" s="80"/>
    </row>
    <row r="4" spans="2:30" ht="19">
      <c r="B4" s="170">
        <v>100</v>
      </c>
      <c r="C4" s="214"/>
      <c r="D4" s="188" t="s">
        <v>103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90"/>
    </row>
    <row r="5" spans="2:30" ht="15" customHeight="1">
      <c r="B5" s="61">
        <v>101</v>
      </c>
      <c r="C5" s="198"/>
      <c r="D5" s="221" t="s">
        <v>287</v>
      </c>
      <c r="E5" s="163"/>
      <c r="F5" s="163"/>
      <c r="G5" s="163"/>
      <c r="H5" s="163"/>
      <c r="I5" s="163"/>
      <c r="J5" s="163"/>
      <c r="K5" s="163"/>
      <c r="L5" s="163"/>
      <c r="M5" s="163"/>
      <c r="N5" s="164"/>
      <c r="O5" s="213"/>
      <c r="Q5" s="118"/>
      <c r="S5" s="118"/>
      <c r="T5" s="118"/>
      <c r="U5" s="118"/>
      <c r="W5" s="118"/>
      <c r="X5" s="118"/>
      <c r="Y5" s="118"/>
      <c r="Z5" s="118"/>
      <c r="AB5" s="118"/>
      <c r="AD5" s="118"/>
    </row>
    <row r="6" spans="2:30" ht="14.5" customHeight="1">
      <c r="B6" s="15" t="s">
        <v>38</v>
      </c>
      <c r="C6" s="15"/>
      <c r="D6" s="83" t="s">
        <v>730</v>
      </c>
      <c r="E6" s="83"/>
      <c r="F6" s="171">
        <f>'Budget Summary'!D31</f>
        <v>63651264.740249999</v>
      </c>
      <c r="G6" s="31">
        <f>SUMIF('Committed Costs '!C:C,B6,'Committed Costs '!G:G)</f>
        <v>0</v>
      </c>
      <c r="H6" s="31">
        <f>SUMIF('Change Orders'!F:F,'Project Detail'!B6,'Change Orders'!E:E)</f>
        <v>0</v>
      </c>
      <c r="I6" s="31">
        <f>SUMIF(Invoices!B:B,B6,Invoices!G:G)</f>
        <v>0</v>
      </c>
      <c r="J6" s="31">
        <v>0</v>
      </c>
      <c r="K6" s="31">
        <f>I6-J6</f>
        <v>0</v>
      </c>
      <c r="L6" s="108">
        <f>+M6-G6</f>
        <v>63651264.740249999</v>
      </c>
      <c r="M6" s="108">
        <f>IF((F6+H6)&gt;G6,F6+H6,G6)</f>
        <v>63651264.740249999</v>
      </c>
      <c r="N6" s="108">
        <f>F6-M6</f>
        <v>0</v>
      </c>
      <c r="O6" s="13"/>
      <c r="Q6" s="7"/>
      <c r="S6" s="7"/>
      <c r="T6" s="7"/>
      <c r="U6" s="7"/>
      <c r="W6" s="7"/>
      <c r="X6" s="7"/>
      <c r="Y6" s="7"/>
      <c r="Z6" s="7"/>
      <c r="AB6" s="7"/>
      <c r="AD6" s="7"/>
    </row>
    <row r="7" spans="2:30" ht="14.5" hidden="1" customHeight="1">
      <c r="B7" s="83" t="s">
        <v>107</v>
      </c>
      <c r="C7" s="83"/>
      <c r="D7" s="83"/>
      <c r="E7" s="83"/>
      <c r="F7" s="171">
        <v>0</v>
      </c>
      <c r="G7" s="31">
        <f>SUMIF('Committed Costs '!C:C,B7,'Committed Costs '!G:G)</f>
        <v>0</v>
      </c>
      <c r="H7" s="31">
        <f>SUMIF('Change Orders'!F:F,'Project Detail'!B7,'Change Orders'!E:E)</f>
        <v>0</v>
      </c>
      <c r="I7" s="31">
        <f>SUMIF(Invoices!B:B,B7,Invoices!G:G)</f>
        <v>0</v>
      </c>
      <c r="J7" s="31">
        <v>0</v>
      </c>
      <c r="K7" s="31">
        <f t="shared" ref="K7:K9" si="0">I7-J7</f>
        <v>0</v>
      </c>
      <c r="L7" s="108">
        <f t="shared" ref="L7:L9" si="1">+M7-G7</f>
        <v>0</v>
      </c>
      <c r="M7" s="108">
        <f t="shared" ref="M7:M9" si="2">IF((F7+H7)&gt;G7,F7+H7,G7)</f>
        <v>0</v>
      </c>
      <c r="N7" s="108">
        <f t="shared" ref="N7:N9" si="3">F7-M7</f>
        <v>0</v>
      </c>
      <c r="O7" s="13"/>
      <c r="Q7" s="7"/>
      <c r="S7" s="7"/>
      <c r="T7" s="7"/>
      <c r="U7" s="7"/>
      <c r="W7" s="7"/>
      <c r="X7" s="7"/>
      <c r="Y7" s="7"/>
      <c r="Z7" s="7"/>
      <c r="AB7" s="7"/>
      <c r="AD7" s="7"/>
    </row>
    <row r="8" spans="2:30" ht="14.5" hidden="1" customHeight="1">
      <c r="B8" s="83" t="s">
        <v>108</v>
      </c>
      <c r="C8" s="83"/>
      <c r="D8" s="83"/>
      <c r="E8" s="83"/>
      <c r="F8" s="171">
        <v>0</v>
      </c>
      <c r="G8" s="31">
        <f>SUMIF('Committed Costs '!C:C,B8,'Committed Costs '!G:G)</f>
        <v>0</v>
      </c>
      <c r="H8" s="31">
        <f>SUMIF('Change Orders'!F:F,'Project Detail'!B8,'Change Orders'!E:E)</f>
        <v>0</v>
      </c>
      <c r="I8" s="31">
        <f>SUMIF(Invoices!B:B,B8,Invoices!G:G)</f>
        <v>0</v>
      </c>
      <c r="J8" s="31">
        <v>0</v>
      </c>
      <c r="K8" s="31">
        <f t="shared" si="0"/>
        <v>0</v>
      </c>
      <c r="L8" s="108">
        <f t="shared" si="1"/>
        <v>0</v>
      </c>
      <c r="M8" s="108">
        <f t="shared" si="2"/>
        <v>0</v>
      </c>
      <c r="N8" s="108">
        <f t="shared" si="3"/>
        <v>0</v>
      </c>
      <c r="O8" s="13"/>
      <c r="Q8" s="191"/>
      <c r="S8" s="191"/>
      <c r="T8" s="191"/>
      <c r="U8" s="191"/>
      <c r="W8" s="191"/>
      <c r="X8" s="191"/>
      <c r="Y8" s="191"/>
      <c r="Z8" s="191"/>
      <c r="AB8" s="191"/>
      <c r="AD8" s="191"/>
    </row>
    <row r="9" spans="2:30" ht="14.5" hidden="1" customHeight="1">
      <c r="B9" s="83" t="s">
        <v>109</v>
      </c>
      <c r="C9" s="83"/>
      <c r="D9" s="83"/>
      <c r="E9" s="83"/>
      <c r="F9" s="171">
        <v>0</v>
      </c>
      <c r="G9" s="31">
        <f>SUMIF('Committed Costs '!C:C,B9,'Committed Costs '!G:G)</f>
        <v>0</v>
      </c>
      <c r="H9" s="31">
        <f>SUMIF('Change Orders'!F:F,'Project Detail'!B9,'Change Orders'!E:E)</f>
        <v>0</v>
      </c>
      <c r="I9" s="31">
        <f>SUMIF(Invoices!B:B,B9,Invoices!G:G)</f>
        <v>0</v>
      </c>
      <c r="J9" s="31">
        <v>0</v>
      </c>
      <c r="K9" s="31">
        <f t="shared" si="0"/>
        <v>0</v>
      </c>
      <c r="L9" s="108">
        <f t="shared" si="1"/>
        <v>0</v>
      </c>
      <c r="M9" s="108">
        <f t="shared" si="2"/>
        <v>0</v>
      </c>
      <c r="N9" s="108">
        <f t="shared" si="3"/>
        <v>0</v>
      </c>
      <c r="O9" s="13"/>
      <c r="Q9" s="108">
        <f>M9-K9</f>
        <v>0</v>
      </c>
      <c r="S9" s="108"/>
      <c r="T9" s="108"/>
      <c r="U9" s="108">
        <f>S9+T9</f>
        <v>0</v>
      </c>
      <c r="W9" s="108"/>
      <c r="X9" s="108"/>
      <c r="Y9" s="108"/>
      <c r="Z9" s="108">
        <f>W9+X9+Y9</f>
        <v>0</v>
      </c>
      <c r="AB9" s="108">
        <f>U9+Z9</f>
        <v>0</v>
      </c>
      <c r="AD9" s="108">
        <f>Q9-AB9</f>
        <v>0</v>
      </c>
    </row>
    <row r="10" spans="2:30" ht="15" customHeight="1">
      <c r="B10" s="15"/>
      <c r="C10" s="15">
        <v>101</v>
      </c>
      <c r="D10" s="83"/>
      <c r="E10" s="172" t="s">
        <v>731</v>
      </c>
      <c r="F10" s="173">
        <f>SUM(F6:F9)</f>
        <v>63651264.740249999</v>
      </c>
      <c r="G10" s="174">
        <f t="shared" ref="G10:N10" si="4">SUM(G6:G9)</f>
        <v>0</v>
      </c>
      <c r="H10" s="174">
        <f t="shared" si="4"/>
        <v>0</v>
      </c>
      <c r="I10" s="174">
        <f t="shared" si="4"/>
        <v>0</v>
      </c>
      <c r="J10" s="174">
        <f t="shared" si="4"/>
        <v>0</v>
      </c>
      <c r="K10" s="174">
        <f t="shared" si="4"/>
        <v>0</v>
      </c>
      <c r="L10" s="174">
        <f t="shared" si="4"/>
        <v>63651264.740249999</v>
      </c>
      <c r="M10" s="174">
        <f t="shared" si="4"/>
        <v>63651264.740249999</v>
      </c>
      <c r="N10" s="174">
        <f t="shared" si="4"/>
        <v>0</v>
      </c>
      <c r="O10" s="13"/>
      <c r="Q10" s="174">
        <f>Q9</f>
        <v>0</v>
      </c>
      <c r="S10" s="174">
        <f t="shared" ref="S10:U10" si="5">S9</f>
        <v>0</v>
      </c>
      <c r="T10" s="174">
        <f t="shared" si="5"/>
        <v>0</v>
      </c>
      <c r="U10" s="174">
        <f t="shared" si="5"/>
        <v>0</v>
      </c>
      <c r="W10" s="174">
        <f t="shared" ref="W10:Z10" si="6">W9</f>
        <v>0</v>
      </c>
      <c r="X10" s="174">
        <f t="shared" si="6"/>
        <v>0</v>
      </c>
      <c r="Y10" s="174">
        <f t="shared" si="6"/>
        <v>0</v>
      </c>
      <c r="Z10" s="174">
        <f t="shared" si="6"/>
        <v>0</v>
      </c>
      <c r="AB10" s="174">
        <f>AB9</f>
        <v>0</v>
      </c>
      <c r="AD10" s="174">
        <f>AD9</f>
        <v>0</v>
      </c>
    </row>
    <row r="11" spans="2:30">
      <c r="B11" s="61">
        <v>102</v>
      </c>
      <c r="C11" s="198"/>
      <c r="D11" s="221" t="s">
        <v>275</v>
      </c>
      <c r="E11" s="163"/>
      <c r="F11" s="163"/>
      <c r="G11" s="163"/>
      <c r="H11" s="163"/>
      <c r="I11" s="163"/>
      <c r="J11" s="163"/>
      <c r="K11" s="163"/>
      <c r="L11" s="163"/>
      <c r="M11" s="163"/>
      <c r="N11" s="164"/>
      <c r="O11" s="164"/>
      <c r="Q11" s="163"/>
      <c r="S11" s="163"/>
      <c r="T11" s="163"/>
      <c r="U11" s="163"/>
      <c r="W11" s="163"/>
      <c r="X11" s="163"/>
      <c r="Y11" s="163"/>
      <c r="Z11" s="163"/>
      <c r="AB11" s="163"/>
      <c r="AD11" s="163"/>
    </row>
    <row r="12" spans="2:30">
      <c r="B12" s="15" t="s">
        <v>39</v>
      </c>
      <c r="C12" s="15"/>
      <c r="D12" s="175"/>
      <c r="E12" s="83"/>
      <c r="F12" s="176">
        <v>0</v>
      </c>
      <c r="G12" s="31">
        <f>SUMIF('Committed Costs '!C:C,B12,'Committed Costs '!G:G)</f>
        <v>0</v>
      </c>
      <c r="H12" s="31">
        <f>SUMIF('Change Orders'!F:F,'Project Detail'!B12,'Change Orders'!E:E)</f>
        <v>0</v>
      </c>
      <c r="I12" s="31">
        <f>SUMIF(Invoices!B:B,B12,Invoices!G:G)</f>
        <v>0</v>
      </c>
      <c r="J12" s="31">
        <v>0</v>
      </c>
      <c r="K12" s="31">
        <f>I12-J12</f>
        <v>0</v>
      </c>
      <c r="L12" s="108">
        <f>+M12-G12</f>
        <v>0</v>
      </c>
      <c r="M12" s="108">
        <f>IF((F12+H12)&gt;G12,F12+H12,G12)</f>
        <v>0</v>
      </c>
      <c r="N12" s="108">
        <f>F12-M12</f>
        <v>0</v>
      </c>
      <c r="O12" s="108"/>
      <c r="Q12" s="7"/>
      <c r="S12" s="7"/>
      <c r="T12" s="7"/>
      <c r="U12" s="7"/>
      <c r="W12" s="7"/>
      <c r="X12" s="7"/>
      <c r="Y12" s="7"/>
      <c r="Z12" s="7"/>
      <c r="AB12" s="7"/>
      <c r="AD12" s="7"/>
    </row>
    <row r="13" spans="2:30" hidden="1">
      <c r="B13" s="15" t="s">
        <v>104</v>
      </c>
      <c r="C13" s="15"/>
      <c r="D13" s="175"/>
      <c r="E13" s="83"/>
      <c r="F13" s="176">
        <v>0</v>
      </c>
      <c r="G13" s="31">
        <f>SUMIF('Committed Costs '!C:C,B13,'Committed Costs '!G:G)</f>
        <v>0</v>
      </c>
      <c r="H13" s="31">
        <f>SUMIF('Change Orders'!F:F,'Project Detail'!B13,'Change Orders'!E:E)</f>
        <v>0</v>
      </c>
      <c r="I13" s="31">
        <f>SUMIF(Invoices!B:B,B13,Invoices!G:G)</f>
        <v>0</v>
      </c>
      <c r="J13" s="31">
        <v>0</v>
      </c>
      <c r="K13" s="31">
        <f t="shared" ref="K13:K15" si="7">I13-J13</f>
        <v>0</v>
      </c>
      <c r="L13" s="108">
        <f t="shared" ref="L13:L15" si="8">+M13-G13</f>
        <v>0</v>
      </c>
      <c r="M13" s="108">
        <f t="shared" ref="M13:M15" si="9">IF((F13+H13)&gt;G13,F13+H13,G13)</f>
        <v>0</v>
      </c>
      <c r="N13" s="108">
        <f t="shared" ref="N13:N15" si="10">F13-M13</f>
        <v>0</v>
      </c>
      <c r="O13" s="108"/>
      <c r="Q13" s="7"/>
      <c r="S13" s="7"/>
      <c r="T13" s="7"/>
      <c r="U13" s="7"/>
      <c r="W13" s="7"/>
      <c r="X13" s="7"/>
      <c r="Y13" s="7"/>
      <c r="Z13" s="7"/>
      <c r="AB13" s="7"/>
      <c r="AD13" s="7"/>
    </row>
    <row r="14" spans="2:30" hidden="1">
      <c r="B14" s="15" t="s">
        <v>105</v>
      </c>
      <c r="C14" s="15"/>
      <c r="D14" s="175"/>
      <c r="E14" s="83"/>
      <c r="F14" s="176">
        <v>0</v>
      </c>
      <c r="G14" s="31">
        <f>SUMIF('Committed Costs '!C:C,B14,'Committed Costs '!G:G)</f>
        <v>0</v>
      </c>
      <c r="H14" s="31">
        <f>SUMIF('Change Orders'!F:F,'Project Detail'!B14,'Change Orders'!E:E)</f>
        <v>0</v>
      </c>
      <c r="I14" s="31">
        <f>SUMIF(Invoices!B:B,B14,Invoices!G:G)</f>
        <v>0</v>
      </c>
      <c r="J14" s="31">
        <v>0</v>
      </c>
      <c r="K14" s="31">
        <f t="shared" si="7"/>
        <v>0</v>
      </c>
      <c r="L14" s="108">
        <f t="shared" si="8"/>
        <v>0</v>
      </c>
      <c r="M14" s="108">
        <f t="shared" si="9"/>
        <v>0</v>
      </c>
      <c r="N14" s="108">
        <f t="shared" si="10"/>
        <v>0</v>
      </c>
      <c r="O14" s="108"/>
      <c r="Q14" s="191"/>
      <c r="S14" s="191"/>
      <c r="T14" s="191"/>
      <c r="U14" s="191"/>
      <c r="W14" s="191"/>
      <c r="X14" s="191"/>
      <c r="Y14" s="191"/>
      <c r="Z14" s="191"/>
      <c r="AB14" s="191"/>
      <c r="AD14" s="191"/>
    </row>
    <row r="15" spans="2:30" hidden="1">
      <c r="B15" s="15" t="s">
        <v>106</v>
      </c>
      <c r="C15" s="15"/>
      <c r="D15" s="175"/>
      <c r="E15" s="83"/>
      <c r="F15" s="176">
        <v>0</v>
      </c>
      <c r="G15" s="31">
        <f>SUMIF('Committed Costs '!C:C,B15,'Committed Costs '!G:G)</f>
        <v>0</v>
      </c>
      <c r="H15" s="31">
        <f>SUMIF('Change Orders'!F:F,'Project Detail'!B15,'Change Orders'!E:E)</f>
        <v>0</v>
      </c>
      <c r="I15" s="31">
        <f>SUMIF(Invoices!B:B,B15,Invoices!G:G)</f>
        <v>0</v>
      </c>
      <c r="J15" s="31">
        <v>0</v>
      </c>
      <c r="K15" s="31">
        <f t="shared" si="7"/>
        <v>0</v>
      </c>
      <c r="L15" s="108">
        <f t="shared" si="8"/>
        <v>0</v>
      </c>
      <c r="M15" s="108">
        <f t="shared" si="9"/>
        <v>0</v>
      </c>
      <c r="N15" s="108">
        <f t="shared" si="10"/>
        <v>0</v>
      </c>
      <c r="O15" s="108"/>
      <c r="Q15" s="108">
        <f>M15-K15</f>
        <v>0</v>
      </c>
      <c r="S15" s="108"/>
      <c r="T15" s="108"/>
      <c r="U15" s="108">
        <f>S15+T15</f>
        <v>0</v>
      </c>
      <c r="W15" s="108"/>
      <c r="X15" s="108"/>
      <c r="Y15" s="108"/>
      <c r="Z15" s="108">
        <f>W15+X15+Y15</f>
        <v>0</v>
      </c>
      <c r="AB15" s="108">
        <f>U15+Z15</f>
        <v>0</v>
      </c>
      <c r="AD15" s="108">
        <f>Q15-AB15</f>
        <v>0</v>
      </c>
    </row>
    <row r="16" spans="2:30">
      <c r="B16" s="15"/>
      <c r="C16" s="15">
        <v>102</v>
      </c>
      <c r="D16" s="83"/>
      <c r="E16" s="172" t="s">
        <v>277</v>
      </c>
      <c r="F16" s="173">
        <f>SUM(F12:F15)</f>
        <v>0</v>
      </c>
      <c r="G16" s="174">
        <f t="shared" ref="G16:N16" si="11">SUM(G12:G15)</f>
        <v>0</v>
      </c>
      <c r="H16" s="174">
        <f t="shared" si="11"/>
        <v>0</v>
      </c>
      <c r="I16" s="174">
        <f t="shared" si="11"/>
        <v>0</v>
      </c>
      <c r="J16" s="174">
        <f t="shared" si="11"/>
        <v>0</v>
      </c>
      <c r="K16" s="174">
        <f t="shared" si="11"/>
        <v>0</v>
      </c>
      <c r="L16" s="174">
        <f t="shared" si="11"/>
        <v>0</v>
      </c>
      <c r="M16" s="174">
        <f t="shared" si="11"/>
        <v>0</v>
      </c>
      <c r="N16" s="174">
        <f t="shared" si="11"/>
        <v>0</v>
      </c>
      <c r="O16" s="13"/>
      <c r="Q16" s="174">
        <f>Q15</f>
        <v>0</v>
      </c>
      <c r="S16" s="174">
        <f t="shared" ref="S16:U16" si="12">S15</f>
        <v>0</v>
      </c>
      <c r="T16" s="174">
        <f t="shared" si="12"/>
        <v>0</v>
      </c>
      <c r="U16" s="174">
        <f t="shared" si="12"/>
        <v>0</v>
      </c>
      <c r="W16" s="174">
        <f t="shared" ref="W16:Z16" si="13">W15</f>
        <v>0</v>
      </c>
      <c r="X16" s="174">
        <f t="shared" si="13"/>
        <v>0</v>
      </c>
      <c r="Y16" s="174">
        <f t="shared" si="13"/>
        <v>0</v>
      </c>
      <c r="Z16" s="174">
        <f t="shared" si="13"/>
        <v>0</v>
      </c>
      <c r="AB16" s="174">
        <f>AB15</f>
        <v>0</v>
      </c>
      <c r="AD16" s="174">
        <f>AD15</f>
        <v>0</v>
      </c>
    </row>
    <row r="17" spans="2:30" hidden="1">
      <c r="B17" s="61">
        <v>103</v>
      </c>
      <c r="C17" s="198"/>
      <c r="D17" s="221" t="s">
        <v>276</v>
      </c>
      <c r="E17" s="163"/>
      <c r="F17" s="163"/>
      <c r="G17" s="163"/>
      <c r="H17" s="163"/>
      <c r="I17" s="163"/>
      <c r="J17" s="163"/>
      <c r="K17" s="163"/>
      <c r="L17" s="163"/>
      <c r="M17" s="163"/>
      <c r="N17" s="164"/>
      <c r="O17" s="164"/>
      <c r="Q17" s="118"/>
      <c r="S17" s="163"/>
      <c r="T17" s="163"/>
      <c r="U17" s="163"/>
      <c r="W17" s="163"/>
      <c r="X17" s="163"/>
      <c r="Y17" s="163"/>
      <c r="Z17" s="163"/>
      <c r="AB17" s="163"/>
      <c r="AD17" s="118"/>
    </row>
    <row r="18" spans="2:30" hidden="1">
      <c r="B18" s="15" t="s">
        <v>40</v>
      </c>
      <c r="C18" s="15"/>
      <c r="D18" s="175"/>
      <c r="E18" s="175"/>
      <c r="F18" s="171">
        <v>0</v>
      </c>
      <c r="G18" s="31">
        <f>SUMIF('Committed Costs '!C:C,B18,'Committed Costs '!G:G)</f>
        <v>0</v>
      </c>
      <c r="H18" s="31">
        <f>SUMIF('Change Orders'!F:F,'Project Detail'!B18,'Change Orders'!E:E)</f>
        <v>0</v>
      </c>
      <c r="I18" s="31">
        <f>SUMIF(Invoices!B:B,B18,Invoices!G:G)</f>
        <v>0</v>
      </c>
      <c r="J18" s="31">
        <v>0</v>
      </c>
      <c r="K18" s="31">
        <f t="shared" ref="K18" si="14">I18-J18</f>
        <v>0</v>
      </c>
      <c r="L18" s="108">
        <f>+M18-G18</f>
        <v>0</v>
      </c>
      <c r="M18" s="108">
        <f>IF((F18+H18)&gt;G18,F18+H18,G18)</f>
        <v>0</v>
      </c>
      <c r="N18" s="108">
        <f>F18-M18</f>
        <v>0</v>
      </c>
      <c r="O18" s="13"/>
      <c r="Q18" s="7"/>
      <c r="S18" s="7"/>
      <c r="T18" s="7"/>
      <c r="U18" s="7"/>
      <c r="W18" s="7"/>
      <c r="X18" s="7"/>
      <c r="Y18" s="7"/>
      <c r="Z18" s="7"/>
      <c r="AB18" s="7"/>
      <c r="AD18" s="7"/>
    </row>
    <row r="19" spans="2:30" hidden="1">
      <c r="B19" s="15" t="s">
        <v>41</v>
      </c>
      <c r="C19" s="15"/>
      <c r="D19" s="175"/>
      <c r="E19" s="175"/>
      <c r="F19" s="171">
        <v>0</v>
      </c>
      <c r="G19" s="31">
        <f>SUMIF('Committed Costs '!C:C,B19,'Committed Costs '!G:G)</f>
        <v>0</v>
      </c>
      <c r="H19" s="31">
        <f>SUMIF('Change Orders'!F:F,'Project Detail'!B19,'Change Orders'!E:E)</f>
        <v>0</v>
      </c>
      <c r="I19" s="31">
        <f>SUMIF(Invoices!B:B,B19,Invoices!G:G)</f>
        <v>0</v>
      </c>
      <c r="J19" s="31">
        <v>0</v>
      </c>
      <c r="K19" s="31">
        <f t="shared" ref="K19:K21" si="15">I19-J19</f>
        <v>0</v>
      </c>
      <c r="L19" s="108">
        <f t="shared" ref="L19:L21" si="16">+M19-G19</f>
        <v>0</v>
      </c>
      <c r="M19" s="108">
        <f t="shared" ref="M19:M21" si="17">IF((F19+H19)&gt;G19,F19+H19,G19)</f>
        <v>0</v>
      </c>
      <c r="N19" s="108">
        <f t="shared" ref="N19:N21" si="18">F19-M19</f>
        <v>0</v>
      </c>
      <c r="O19" s="13"/>
      <c r="Q19" s="7"/>
      <c r="S19" s="7"/>
      <c r="T19" s="7"/>
      <c r="U19" s="7"/>
      <c r="W19" s="7"/>
      <c r="X19" s="7"/>
      <c r="Y19" s="7"/>
      <c r="Z19" s="7"/>
      <c r="AB19" s="7"/>
      <c r="AD19" s="7"/>
    </row>
    <row r="20" spans="2:30" hidden="1">
      <c r="B20" s="15" t="s">
        <v>110</v>
      </c>
      <c r="C20" s="15"/>
      <c r="D20" s="175"/>
      <c r="E20" s="175"/>
      <c r="F20" s="171">
        <v>0</v>
      </c>
      <c r="G20" s="31">
        <f>SUMIF('Committed Costs '!C:C,B20,'Committed Costs '!G:G)</f>
        <v>0</v>
      </c>
      <c r="H20" s="31">
        <f>SUMIF('Change Orders'!F:F,'Project Detail'!B20,'Change Orders'!E:E)</f>
        <v>0</v>
      </c>
      <c r="I20" s="31">
        <f>SUMIF(Invoices!B:B,B20,Invoices!G:G)</f>
        <v>0</v>
      </c>
      <c r="J20" s="31">
        <v>0</v>
      </c>
      <c r="K20" s="31">
        <f t="shared" si="15"/>
        <v>0</v>
      </c>
      <c r="L20" s="108">
        <f t="shared" si="16"/>
        <v>0</v>
      </c>
      <c r="M20" s="108">
        <f t="shared" si="17"/>
        <v>0</v>
      </c>
      <c r="N20" s="108">
        <f t="shared" si="18"/>
        <v>0</v>
      </c>
      <c r="O20" s="13"/>
      <c r="Q20" s="191"/>
      <c r="S20" s="191"/>
      <c r="T20" s="191"/>
      <c r="U20" s="191"/>
      <c r="W20" s="191"/>
      <c r="X20" s="191"/>
      <c r="Y20" s="191"/>
      <c r="Z20" s="191"/>
      <c r="AB20" s="191"/>
      <c r="AD20" s="191"/>
    </row>
    <row r="21" spans="2:30" ht="14.5" hidden="1" customHeight="1">
      <c r="B21" s="15" t="s">
        <v>111</v>
      </c>
      <c r="C21" s="15"/>
      <c r="D21" s="83"/>
      <c r="E21" s="83"/>
      <c r="F21" s="171">
        <v>0</v>
      </c>
      <c r="G21" s="31">
        <f>SUMIF('Committed Costs '!C:C,B21,'Committed Costs '!G:G)</f>
        <v>0</v>
      </c>
      <c r="H21" s="31">
        <f>SUMIF('Change Orders'!F:F,'Project Detail'!B21,'Change Orders'!E:E)</f>
        <v>0</v>
      </c>
      <c r="I21" s="31">
        <f>SUMIF(Invoices!B:B,B21,Invoices!G:G)</f>
        <v>0</v>
      </c>
      <c r="J21" s="31">
        <v>0</v>
      </c>
      <c r="K21" s="31">
        <f t="shared" si="15"/>
        <v>0</v>
      </c>
      <c r="L21" s="108">
        <f t="shared" si="16"/>
        <v>0</v>
      </c>
      <c r="M21" s="108">
        <f t="shared" si="17"/>
        <v>0</v>
      </c>
      <c r="N21" s="108">
        <f t="shared" si="18"/>
        <v>0</v>
      </c>
      <c r="O21" s="13"/>
      <c r="Q21" s="108">
        <f>M21-K21</f>
        <v>0</v>
      </c>
      <c r="S21" s="108"/>
      <c r="T21" s="108"/>
      <c r="U21" s="108">
        <f>S21+T21</f>
        <v>0</v>
      </c>
      <c r="W21" s="108"/>
      <c r="X21" s="108"/>
      <c r="Y21" s="108"/>
      <c r="Z21" s="108">
        <f>W21+X21+Y21</f>
        <v>0</v>
      </c>
      <c r="AB21" s="108">
        <f>U21+Z21</f>
        <v>0</v>
      </c>
      <c r="AD21" s="108">
        <f>Q21-AB21</f>
        <v>0</v>
      </c>
    </row>
    <row r="22" spans="2:30" hidden="1">
      <c r="B22" s="15"/>
      <c r="C22" s="15">
        <v>103</v>
      </c>
      <c r="D22" s="83"/>
      <c r="E22" s="172" t="s">
        <v>278</v>
      </c>
      <c r="F22" s="173">
        <f>SUM(F18:F21)</f>
        <v>0</v>
      </c>
      <c r="G22" s="174">
        <f t="shared" ref="G22:N22" si="19">SUM(G18:G21)</f>
        <v>0</v>
      </c>
      <c r="H22" s="174">
        <f t="shared" si="19"/>
        <v>0</v>
      </c>
      <c r="I22" s="174">
        <f t="shared" si="19"/>
        <v>0</v>
      </c>
      <c r="J22" s="174">
        <f t="shared" si="19"/>
        <v>0</v>
      </c>
      <c r="K22" s="174">
        <f t="shared" si="19"/>
        <v>0</v>
      </c>
      <c r="L22" s="174">
        <f t="shared" si="19"/>
        <v>0</v>
      </c>
      <c r="M22" s="174">
        <f t="shared" si="19"/>
        <v>0</v>
      </c>
      <c r="N22" s="174">
        <f t="shared" si="19"/>
        <v>0</v>
      </c>
      <c r="O22" s="13"/>
      <c r="Q22" s="174">
        <f>Q21</f>
        <v>0</v>
      </c>
      <c r="S22" s="174">
        <f t="shared" ref="S22:U22" si="20">S21</f>
        <v>0</v>
      </c>
      <c r="T22" s="174">
        <f t="shared" si="20"/>
        <v>0</v>
      </c>
      <c r="U22" s="174">
        <f t="shared" si="20"/>
        <v>0</v>
      </c>
      <c r="W22" s="174">
        <f t="shared" ref="W22:Z22" si="21">W21</f>
        <v>0</v>
      </c>
      <c r="X22" s="174">
        <f t="shared" si="21"/>
        <v>0</v>
      </c>
      <c r="Y22" s="174">
        <f t="shared" si="21"/>
        <v>0</v>
      </c>
      <c r="Z22" s="174">
        <f t="shared" si="21"/>
        <v>0</v>
      </c>
      <c r="AB22" s="174">
        <f>AB21</f>
        <v>0</v>
      </c>
      <c r="AD22" s="174">
        <f>AD21</f>
        <v>0</v>
      </c>
    </row>
    <row r="23" spans="2:30" hidden="1">
      <c r="B23" s="61">
        <v>104</v>
      </c>
      <c r="C23" s="198"/>
      <c r="D23" s="197"/>
      <c r="E23" s="163"/>
      <c r="F23" s="163"/>
      <c r="G23" s="163"/>
      <c r="H23" s="163"/>
      <c r="I23" s="163"/>
      <c r="J23" s="163"/>
      <c r="K23" s="163"/>
      <c r="L23" s="163"/>
      <c r="M23" s="163"/>
      <c r="N23" s="164"/>
      <c r="O23" s="164"/>
      <c r="Q23" s="118"/>
      <c r="S23" s="163"/>
      <c r="T23" s="163"/>
      <c r="U23" s="163"/>
      <c r="W23" s="163"/>
      <c r="X23" s="163"/>
      <c r="Y23" s="163"/>
      <c r="Z23" s="163"/>
      <c r="AB23" s="163"/>
      <c r="AD23" s="118"/>
    </row>
    <row r="24" spans="2:30" hidden="1">
      <c r="B24" s="15" t="s">
        <v>42</v>
      </c>
      <c r="C24" s="15"/>
      <c r="D24" s="83"/>
      <c r="E24" s="83"/>
      <c r="F24" s="176">
        <v>0</v>
      </c>
      <c r="G24" s="31">
        <f>SUMIF('Committed Costs '!C:C,B24,'Committed Costs '!G:G)</f>
        <v>0</v>
      </c>
      <c r="H24" s="31">
        <f>SUMIF('Change Orders'!F:F,'Project Detail'!B24,'Change Orders'!E:E)</f>
        <v>0</v>
      </c>
      <c r="I24" s="31">
        <f>SUMIF(Invoices!B:B,B24,Invoices!G:G)</f>
        <v>0</v>
      </c>
      <c r="J24" s="31">
        <v>0</v>
      </c>
      <c r="K24" s="145">
        <f>I24-J24</f>
        <v>0</v>
      </c>
      <c r="L24" s="108">
        <f>+M24-G24</f>
        <v>0</v>
      </c>
      <c r="M24" s="108">
        <f>K24</f>
        <v>0</v>
      </c>
      <c r="N24" s="108">
        <f>F24-M24</f>
        <v>0</v>
      </c>
      <c r="O24" s="13"/>
      <c r="Q24" s="7"/>
      <c r="S24" s="7"/>
      <c r="T24" s="7"/>
      <c r="U24" s="7"/>
      <c r="W24" s="7"/>
      <c r="X24" s="7"/>
      <c r="Y24" s="7"/>
      <c r="Z24" s="7"/>
      <c r="AB24" s="7"/>
      <c r="AD24" s="7"/>
    </row>
    <row r="25" spans="2:30" hidden="1">
      <c r="B25" s="15" t="s">
        <v>89</v>
      </c>
      <c r="C25" s="15"/>
      <c r="D25" s="83"/>
      <c r="E25" s="83"/>
      <c r="F25" s="176">
        <v>0</v>
      </c>
      <c r="G25" s="31">
        <f>SUMIF('Committed Costs '!C:C,B25,'Committed Costs '!G:G)</f>
        <v>0</v>
      </c>
      <c r="H25" s="31">
        <f>SUMIF('Change Orders'!F:F,'Project Detail'!B25,'Change Orders'!E:E)</f>
        <v>0</v>
      </c>
      <c r="I25" s="31">
        <f>SUMIF(Invoices!B:B,B25,Invoices!G:G)</f>
        <v>0</v>
      </c>
      <c r="J25" s="31">
        <v>0</v>
      </c>
      <c r="K25" s="31">
        <f t="shared" ref="K25:K27" si="22">I25-J25</f>
        <v>0</v>
      </c>
      <c r="L25" s="177">
        <f>+M25-G25</f>
        <v>0</v>
      </c>
      <c r="M25" s="108">
        <f>IF((F25+H25)&gt;G25,F25+H25,G25)</f>
        <v>0</v>
      </c>
      <c r="N25" s="108">
        <f>F25-M25</f>
        <v>0</v>
      </c>
      <c r="O25" s="13"/>
      <c r="Q25" s="7"/>
      <c r="S25" s="7"/>
      <c r="T25" s="7"/>
      <c r="U25" s="7"/>
      <c r="W25" s="7"/>
      <c r="X25" s="7"/>
      <c r="Y25" s="7"/>
      <c r="Z25" s="7"/>
      <c r="AB25" s="7"/>
      <c r="AD25" s="7"/>
    </row>
    <row r="26" spans="2:30" hidden="1">
      <c r="B26" s="15" t="s">
        <v>90</v>
      </c>
      <c r="C26" s="15"/>
      <c r="D26" s="83"/>
      <c r="E26" s="83"/>
      <c r="F26" s="176">
        <v>0</v>
      </c>
      <c r="G26" s="31">
        <f>SUMIF('Committed Costs '!C:C,B26,'Committed Costs '!G:G)</f>
        <v>0</v>
      </c>
      <c r="H26" s="31">
        <f>SUMIF('Change Orders'!F:F,'Project Detail'!B26,'Change Orders'!E:E)</f>
        <v>0</v>
      </c>
      <c r="I26" s="31">
        <f>SUMIF(Invoices!B:B,B26,Invoices!G:G)</f>
        <v>0</v>
      </c>
      <c r="J26" s="31">
        <v>0</v>
      </c>
      <c r="K26" s="31">
        <f t="shared" si="22"/>
        <v>0</v>
      </c>
      <c r="L26" s="177">
        <f>+M26-G26</f>
        <v>0</v>
      </c>
      <c r="M26" s="108">
        <f>IF((F26+H26)&gt;G26,F26+H26,G26)</f>
        <v>0</v>
      </c>
      <c r="N26" s="108">
        <f>F26-M26</f>
        <v>0</v>
      </c>
      <c r="O26" s="13"/>
      <c r="Q26" s="191"/>
      <c r="S26" s="191"/>
      <c r="T26" s="191"/>
      <c r="U26" s="191"/>
      <c r="W26" s="191"/>
      <c r="X26" s="191"/>
      <c r="Y26" s="191"/>
      <c r="Z26" s="191"/>
      <c r="AB26" s="191"/>
      <c r="AD26" s="191"/>
    </row>
    <row r="27" spans="2:30" hidden="1">
      <c r="B27" s="178" t="s">
        <v>91</v>
      </c>
      <c r="C27" s="178"/>
      <c r="D27" s="154"/>
      <c r="E27" s="154"/>
      <c r="F27" s="171">
        <v>0</v>
      </c>
      <c r="G27" s="108">
        <f>SUMIF('Committed Costs '!C:C,B27,'Committed Costs '!G:G)</f>
        <v>0</v>
      </c>
      <c r="H27" s="108">
        <f>SUMIF('Change Orders'!F:F,'Project Detail'!B27,'Change Orders'!E:E)</f>
        <v>0</v>
      </c>
      <c r="I27" s="108">
        <f>SUMIF(Invoices!B:B,B27,Invoices!G:G)</f>
        <v>0</v>
      </c>
      <c r="J27" s="108">
        <v>0</v>
      </c>
      <c r="K27" s="108">
        <f t="shared" si="22"/>
        <v>0</v>
      </c>
      <c r="L27" s="108">
        <f>+M27-G27</f>
        <v>0</v>
      </c>
      <c r="M27" s="108">
        <f>IF((F27+H27)&gt;G27,F27+H27,G27)</f>
        <v>0</v>
      </c>
      <c r="N27" s="108">
        <f>F27-M27</f>
        <v>0</v>
      </c>
      <c r="O27" s="154"/>
      <c r="P27" s="32"/>
      <c r="Q27" s="108">
        <f>M27-K27</f>
        <v>0</v>
      </c>
      <c r="S27" s="108"/>
      <c r="T27" s="108"/>
      <c r="U27" s="108">
        <f>S27+T27</f>
        <v>0</v>
      </c>
      <c r="W27" s="108"/>
      <c r="X27" s="108"/>
      <c r="Y27" s="108"/>
      <c r="Z27" s="108">
        <f>W27+X27+Y27</f>
        <v>0</v>
      </c>
      <c r="AB27" s="108">
        <f>U27+Z27</f>
        <v>0</v>
      </c>
      <c r="AD27" s="108">
        <f>Q27-AB27</f>
        <v>0</v>
      </c>
    </row>
    <row r="28" spans="2:30" hidden="1">
      <c r="B28" s="15"/>
      <c r="C28" s="15">
        <v>104</v>
      </c>
      <c r="D28" s="83"/>
      <c r="E28" s="172" t="s">
        <v>31</v>
      </c>
      <c r="F28" s="173">
        <f>SUM(F24:F27)</f>
        <v>0</v>
      </c>
      <c r="G28" s="173">
        <f t="shared" ref="G28:M28" si="23">SUM(G24:G27)</f>
        <v>0</v>
      </c>
      <c r="H28" s="173">
        <f t="shared" si="23"/>
        <v>0</v>
      </c>
      <c r="I28" s="173">
        <f t="shared" si="23"/>
        <v>0</v>
      </c>
      <c r="J28" s="173">
        <f t="shared" si="23"/>
        <v>0</v>
      </c>
      <c r="K28" s="173">
        <f t="shared" si="23"/>
        <v>0</v>
      </c>
      <c r="L28" s="173">
        <f t="shared" si="23"/>
        <v>0</v>
      </c>
      <c r="M28" s="173">
        <f t="shared" si="23"/>
        <v>0</v>
      </c>
      <c r="N28" s="173">
        <f>SUM(N24:N27)</f>
        <v>0</v>
      </c>
      <c r="O28" s="13"/>
      <c r="Q28" s="173">
        <f>Q27</f>
        <v>0</v>
      </c>
      <c r="S28" s="174">
        <f t="shared" ref="S28:U28" si="24">S27</f>
        <v>0</v>
      </c>
      <c r="T28" s="174">
        <f t="shared" si="24"/>
        <v>0</v>
      </c>
      <c r="U28" s="174">
        <f t="shared" si="24"/>
        <v>0</v>
      </c>
      <c r="W28" s="174">
        <f t="shared" ref="W28:Z28" si="25">W27</f>
        <v>0</v>
      </c>
      <c r="X28" s="174">
        <f t="shared" si="25"/>
        <v>0</v>
      </c>
      <c r="Y28" s="174">
        <f t="shared" si="25"/>
        <v>0</v>
      </c>
      <c r="Z28" s="174">
        <f t="shared" si="25"/>
        <v>0</v>
      </c>
      <c r="AB28" s="173">
        <f>AB27</f>
        <v>0</v>
      </c>
      <c r="AD28" s="173">
        <f>AD27</f>
        <v>0</v>
      </c>
    </row>
    <row r="29" spans="2:30" ht="4.5" customHeight="1">
      <c r="B29" s="192"/>
      <c r="C29" s="193"/>
      <c r="D29" s="194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5"/>
      <c r="Q29" s="193"/>
      <c r="S29" s="193"/>
      <c r="T29" s="193"/>
      <c r="U29" s="193"/>
      <c r="W29" s="193"/>
      <c r="X29" s="193"/>
      <c r="Y29" s="193"/>
      <c r="Z29" s="193"/>
      <c r="AB29" s="193"/>
      <c r="AD29" s="193"/>
    </row>
    <row r="30" spans="2:30">
      <c r="B30" s="168"/>
      <c r="C30" s="167"/>
      <c r="D30" s="166"/>
      <c r="E30" s="196" t="s">
        <v>112</v>
      </c>
      <c r="F30" s="174">
        <f>SUM(F10,F16,F22,F28)</f>
        <v>63651264.740249999</v>
      </c>
      <c r="G30" s="174">
        <f t="shared" ref="G30:N30" si="26">SUM(G10,G16,G22,G28)</f>
        <v>0</v>
      </c>
      <c r="H30" s="174">
        <f t="shared" si="26"/>
        <v>0</v>
      </c>
      <c r="I30" s="174">
        <f t="shared" si="26"/>
        <v>0</v>
      </c>
      <c r="J30" s="174">
        <f t="shared" si="26"/>
        <v>0</v>
      </c>
      <c r="K30" s="174">
        <f t="shared" si="26"/>
        <v>0</v>
      </c>
      <c r="L30" s="174">
        <f t="shared" si="26"/>
        <v>63651264.740249999</v>
      </c>
      <c r="M30" s="174">
        <f>SUM(M10,M16,M22,M28)</f>
        <v>63651264.740249999</v>
      </c>
      <c r="N30" s="174">
        <f t="shared" si="26"/>
        <v>0</v>
      </c>
      <c r="O30" s="180"/>
      <c r="Q30" s="174">
        <f>SUM(Q10,Q16,Q22,Q28)</f>
        <v>0</v>
      </c>
      <c r="S30" s="174">
        <f t="shared" ref="S30:U30" si="27">SUM(S10,S16,S22,S28)</f>
        <v>0</v>
      </c>
      <c r="T30" s="174">
        <f t="shared" si="27"/>
        <v>0</v>
      </c>
      <c r="U30" s="174">
        <f t="shared" si="27"/>
        <v>0</v>
      </c>
      <c r="W30" s="174">
        <f t="shared" ref="W30:Z30" si="28">SUM(W10,W16,W22,W28)</f>
        <v>0</v>
      </c>
      <c r="X30" s="174">
        <f t="shared" si="28"/>
        <v>0</v>
      </c>
      <c r="Y30" s="174">
        <f t="shared" si="28"/>
        <v>0</v>
      </c>
      <c r="Z30" s="174">
        <f t="shared" si="28"/>
        <v>0</v>
      </c>
      <c r="AB30" s="174">
        <f>SUM(AB10,AB16,AB22,AB28)</f>
        <v>0</v>
      </c>
      <c r="AD30" s="174">
        <f>SUM(AD10,AD16,AD22,AD28)</f>
        <v>0</v>
      </c>
    </row>
    <row r="31" spans="2:30">
      <c r="B31" s="6"/>
      <c r="C31" s="6"/>
      <c r="D31" s="84"/>
      <c r="E31" s="6"/>
      <c r="F31" s="4"/>
      <c r="G31" s="4"/>
      <c r="H31" s="4"/>
      <c r="I31" s="4"/>
      <c r="J31" s="4"/>
      <c r="K31" s="4"/>
      <c r="L31" s="4"/>
      <c r="M31" s="4"/>
      <c r="N31" s="4"/>
      <c r="O31" s="6"/>
      <c r="Q31" s="4"/>
      <c r="S31" s="4"/>
      <c r="T31" s="4"/>
      <c r="U31" s="4"/>
      <c r="W31" s="4"/>
      <c r="X31" s="4"/>
      <c r="Y31" s="4"/>
      <c r="Z31" s="4"/>
      <c r="AB31" s="4"/>
      <c r="AD31" s="4"/>
    </row>
    <row r="32" spans="2:30" ht="16" thickBot="1">
      <c r="B32" s="3"/>
      <c r="C32" s="3"/>
      <c r="D32" s="84"/>
      <c r="E32" s="3"/>
      <c r="F32" s="4"/>
      <c r="G32" s="5"/>
      <c r="H32" s="5"/>
      <c r="I32" s="5"/>
      <c r="J32" s="5"/>
      <c r="K32" s="5"/>
      <c r="L32" s="5"/>
      <c r="M32" s="5"/>
      <c r="N32" s="5"/>
      <c r="O32" s="6"/>
      <c r="Q32" s="5"/>
      <c r="S32" s="5"/>
      <c r="T32" s="5"/>
      <c r="U32" s="5"/>
      <c r="W32" s="5"/>
      <c r="X32" s="5"/>
      <c r="Y32" s="5"/>
      <c r="Z32" s="5"/>
      <c r="AB32" s="5"/>
      <c r="AD32" s="5"/>
    </row>
    <row r="33" spans="2:30" ht="18" customHeight="1" thickBot="1">
      <c r="B33" s="170">
        <v>200</v>
      </c>
      <c r="C33" s="78"/>
      <c r="D33" s="188" t="s">
        <v>113</v>
      </c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90"/>
      <c r="Q33" s="216"/>
      <c r="S33" s="216"/>
      <c r="T33" s="216"/>
      <c r="U33" s="216"/>
      <c r="W33" s="216"/>
      <c r="X33" s="216"/>
      <c r="Y33" s="216"/>
      <c r="Z33" s="216"/>
      <c r="AB33" s="216"/>
      <c r="AD33" s="216"/>
    </row>
    <row r="34" spans="2:30" ht="15" customHeight="1">
      <c r="B34" s="200">
        <v>201</v>
      </c>
      <c r="C34" s="201"/>
      <c r="D34" s="202" t="s">
        <v>230</v>
      </c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4"/>
      <c r="Q34" s="118"/>
      <c r="S34" s="203"/>
      <c r="T34" s="203"/>
      <c r="U34" s="203"/>
      <c r="W34" s="203"/>
      <c r="X34" s="203"/>
      <c r="Y34" s="203"/>
      <c r="Z34" s="203"/>
      <c r="AB34" s="203"/>
      <c r="AD34" s="118"/>
    </row>
    <row r="35" spans="2:30" ht="14.5" customHeight="1">
      <c r="B35" s="144" t="s">
        <v>45</v>
      </c>
      <c r="C35" s="144"/>
      <c r="D35" s="83" t="s">
        <v>238</v>
      </c>
      <c r="E35" s="83" t="s">
        <v>230</v>
      </c>
      <c r="F35" s="85">
        <f>'Budget Summary'!D45</f>
        <v>520000</v>
      </c>
      <c r="G35" s="31">
        <f>SUMIF('Committed Costs '!C:C,B35,'Committed Costs '!G:G)</f>
        <v>0</v>
      </c>
      <c r="H35" s="31">
        <f>SUMIF('Change Orders'!F:F,'Project Detail'!B35,'Change Orders'!E:E)</f>
        <v>0</v>
      </c>
      <c r="I35" s="31">
        <f>SUMIF(Invoices!B:B,B35,Invoices!G:G)</f>
        <v>0</v>
      </c>
      <c r="J35" s="31">
        <v>0</v>
      </c>
      <c r="K35" s="31">
        <f>I35-J35</f>
        <v>0</v>
      </c>
      <c r="L35" s="108">
        <f>+M35-G35</f>
        <v>0</v>
      </c>
      <c r="M35" s="108">
        <f>G35</f>
        <v>0</v>
      </c>
      <c r="N35" s="108">
        <f>F35-M35</f>
        <v>520000</v>
      </c>
      <c r="O35" s="154"/>
      <c r="Q35" s="108">
        <f>M35-K35</f>
        <v>0</v>
      </c>
      <c r="S35" s="108"/>
      <c r="T35" s="108"/>
      <c r="U35" s="108">
        <f>S35+T35</f>
        <v>0</v>
      </c>
      <c r="W35" s="108"/>
      <c r="X35" s="108"/>
      <c r="Y35" s="108"/>
      <c r="Z35" s="108">
        <f>W35+X35+Y35</f>
        <v>0</v>
      </c>
      <c r="AB35" s="108">
        <f>U35+Z35</f>
        <v>0</v>
      </c>
      <c r="AD35" s="108">
        <f>Q35-AB35</f>
        <v>0</v>
      </c>
    </row>
    <row r="36" spans="2:30" ht="14.5" customHeight="1">
      <c r="B36" s="144" t="s">
        <v>114</v>
      </c>
      <c r="C36" s="144"/>
      <c r="D36" s="181" t="s">
        <v>228</v>
      </c>
      <c r="E36" s="13" t="s">
        <v>293</v>
      </c>
      <c r="F36" s="85" t="e">
        <f>'Budget Summary'!#REF!</f>
        <v>#REF!</v>
      </c>
      <c r="G36" s="31">
        <f>SUMIF('Committed Costs '!C:C,B36,'Committed Costs '!G:G)</f>
        <v>0</v>
      </c>
      <c r="H36" s="31">
        <f>SUMIF('Change Orders'!F:F,'Project Detail'!B36,'Change Orders'!E:E)</f>
        <v>0</v>
      </c>
      <c r="I36" s="31">
        <f>SUMIF(Invoices!B:B,B36,Invoices!G:G)</f>
        <v>0</v>
      </c>
      <c r="J36" s="31">
        <v>0</v>
      </c>
      <c r="K36" s="31">
        <f t="shared" ref="K36:K38" si="29">I36-J36</f>
        <v>0</v>
      </c>
      <c r="L36" s="108" t="e">
        <f t="shared" ref="L36:L38" si="30">+M36-G36</f>
        <v>#REF!</v>
      </c>
      <c r="M36" s="108" t="e">
        <f t="shared" ref="M36:M38" si="31">IF((F36+H36)&gt;G36,F36+H36,G36)</f>
        <v>#REF!</v>
      </c>
      <c r="N36" s="108" t="e">
        <f t="shared" ref="N36:N38" si="32">F36-M36</f>
        <v>#REF!</v>
      </c>
      <c r="O36" s="13"/>
      <c r="Q36" s="108"/>
      <c r="S36" s="108"/>
      <c r="T36" s="108"/>
      <c r="U36" s="108"/>
      <c r="W36" s="108"/>
      <c r="X36" s="108"/>
      <c r="Y36" s="108"/>
      <c r="Z36" s="108"/>
      <c r="AB36" s="108"/>
      <c r="AD36" s="108"/>
    </row>
    <row r="37" spans="2:30" ht="14.5" customHeight="1">
      <c r="B37" s="144" t="s">
        <v>115</v>
      </c>
      <c r="C37" s="144"/>
      <c r="D37" s="181"/>
      <c r="E37" s="13"/>
      <c r="F37" s="85">
        <v>0</v>
      </c>
      <c r="G37" s="31">
        <f>SUMIF('Committed Costs '!C:C,B37,'Committed Costs '!G:G)</f>
        <v>0</v>
      </c>
      <c r="H37" s="31">
        <f>SUMIF('Change Orders'!F:F,'Project Detail'!B37,'Change Orders'!E:E)</f>
        <v>0</v>
      </c>
      <c r="I37" s="31">
        <f>SUMIF(Invoices!B:B,B37,Invoices!G:G)</f>
        <v>0</v>
      </c>
      <c r="J37" s="31">
        <v>0</v>
      </c>
      <c r="K37" s="31">
        <f t="shared" si="29"/>
        <v>0</v>
      </c>
      <c r="L37" s="108">
        <f t="shared" si="30"/>
        <v>0</v>
      </c>
      <c r="M37" s="108">
        <f t="shared" si="31"/>
        <v>0</v>
      </c>
      <c r="N37" s="108">
        <f t="shared" si="32"/>
        <v>0</v>
      </c>
      <c r="O37" s="13"/>
      <c r="Q37" s="108"/>
      <c r="S37" s="108"/>
      <c r="T37" s="108"/>
      <c r="U37" s="108"/>
      <c r="W37" s="108"/>
      <c r="X37" s="108"/>
      <c r="Y37" s="108"/>
      <c r="Z37" s="108"/>
      <c r="AB37" s="108"/>
      <c r="AD37" s="108"/>
    </row>
    <row r="38" spans="2:30" ht="14.5" customHeight="1">
      <c r="B38" s="144" t="s">
        <v>116</v>
      </c>
      <c r="C38" s="144"/>
      <c r="D38" s="181"/>
      <c r="E38" s="13"/>
      <c r="F38" s="85">
        <v>0</v>
      </c>
      <c r="G38" s="31">
        <f>SUMIF('Committed Costs '!C:C,B38,'Committed Costs '!G:G)</f>
        <v>0</v>
      </c>
      <c r="H38" s="31">
        <f>SUMIF('Change Orders'!F:F,'Project Detail'!B38,'Change Orders'!E:E)</f>
        <v>0</v>
      </c>
      <c r="I38" s="31">
        <f>SUMIF(Invoices!B:B,B38,Invoices!G:G)</f>
        <v>0</v>
      </c>
      <c r="J38" s="31">
        <v>0</v>
      </c>
      <c r="K38" s="31">
        <f t="shared" si="29"/>
        <v>0</v>
      </c>
      <c r="L38" s="108">
        <f t="shared" si="30"/>
        <v>0</v>
      </c>
      <c r="M38" s="108">
        <f t="shared" si="31"/>
        <v>0</v>
      </c>
      <c r="N38" s="108">
        <f t="shared" si="32"/>
        <v>0</v>
      </c>
      <c r="O38" s="13"/>
      <c r="Q38" s="108"/>
      <c r="S38" s="108"/>
      <c r="T38" s="108"/>
      <c r="U38" s="108"/>
      <c r="W38" s="108"/>
      <c r="X38" s="108"/>
      <c r="Y38" s="108"/>
      <c r="Z38" s="108"/>
      <c r="AB38" s="108"/>
      <c r="AD38" s="108"/>
    </row>
    <row r="39" spans="2:30" ht="15" customHeight="1">
      <c r="B39" s="15"/>
      <c r="C39" s="15">
        <v>201</v>
      </c>
      <c r="D39" s="83"/>
      <c r="E39" s="172" t="s">
        <v>231</v>
      </c>
      <c r="F39" s="173" t="e">
        <f>SUM(F35:F38)</f>
        <v>#REF!</v>
      </c>
      <c r="G39" s="173">
        <f t="shared" ref="G39:N39" si="33">SUM(G35:G38)</f>
        <v>0</v>
      </c>
      <c r="H39" s="173">
        <f t="shared" si="33"/>
        <v>0</v>
      </c>
      <c r="I39" s="173">
        <f t="shared" si="33"/>
        <v>0</v>
      </c>
      <c r="J39" s="173">
        <f t="shared" si="33"/>
        <v>0</v>
      </c>
      <c r="K39" s="173">
        <f t="shared" si="33"/>
        <v>0</v>
      </c>
      <c r="L39" s="173" t="e">
        <f t="shared" si="33"/>
        <v>#REF!</v>
      </c>
      <c r="M39" s="173" t="e">
        <f t="shared" si="33"/>
        <v>#REF!</v>
      </c>
      <c r="N39" s="173" t="e">
        <f t="shared" si="33"/>
        <v>#REF!</v>
      </c>
      <c r="O39" s="13"/>
      <c r="Q39" s="173">
        <f>Q35</f>
        <v>0</v>
      </c>
      <c r="S39" s="173">
        <f t="shared" ref="S39:U39" si="34">S35</f>
        <v>0</v>
      </c>
      <c r="T39" s="173">
        <f t="shared" si="34"/>
        <v>0</v>
      </c>
      <c r="U39" s="173">
        <f t="shared" si="34"/>
        <v>0</v>
      </c>
      <c r="W39" s="173">
        <f t="shared" ref="W39:Z39" si="35">W35</f>
        <v>0</v>
      </c>
      <c r="X39" s="173">
        <f t="shared" si="35"/>
        <v>0</v>
      </c>
      <c r="Y39" s="173">
        <f t="shared" si="35"/>
        <v>0</v>
      </c>
      <c r="Z39" s="173">
        <f t="shared" si="35"/>
        <v>0</v>
      </c>
      <c r="AB39" s="173">
        <f>AB35</f>
        <v>0</v>
      </c>
      <c r="AD39" s="173">
        <f>AD35</f>
        <v>0</v>
      </c>
    </row>
    <row r="40" spans="2:30" ht="15" customHeight="1">
      <c r="B40" s="206">
        <v>202</v>
      </c>
      <c r="C40" s="207"/>
      <c r="D40" s="208" t="s">
        <v>608</v>
      </c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10"/>
      <c r="Q40" s="118"/>
      <c r="S40" s="209"/>
      <c r="T40" s="209"/>
      <c r="U40" s="209"/>
      <c r="W40" s="209"/>
      <c r="X40" s="209"/>
      <c r="Y40" s="209"/>
      <c r="Z40" s="209"/>
      <c r="AB40" s="209"/>
      <c r="AD40" s="118"/>
    </row>
    <row r="41" spans="2:30" ht="14.5" customHeight="1">
      <c r="B41" s="144" t="s">
        <v>46</v>
      </c>
      <c r="C41" s="144"/>
      <c r="D41" s="181" t="s">
        <v>228</v>
      </c>
      <c r="E41" s="83" t="s">
        <v>608</v>
      </c>
      <c r="F41" s="182">
        <f>'Budget Summary'!D35</f>
        <v>3526000</v>
      </c>
      <c r="G41" s="31">
        <f>SUMIF('Committed Costs '!C:C,B41,'Committed Costs '!G:G)</f>
        <v>0</v>
      </c>
      <c r="H41" s="31">
        <f>SUMIF('Change Orders'!F:F,'Project Detail'!B41,'Change Orders'!E:E)</f>
        <v>0</v>
      </c>
      <c r="I41" s="31">
        <f>SUMIF(Invoices!B:B,B41,Invoices!G:G)</f>
        <v>0</v>
      </c>
      <c r="J41" s="31">
        <v>0</v>
      </c>
      <c r="K41" s="31">
        <f>I41-J41</f>
        <v>0</v>
      </c>
      <c r="L41" s="108">
        <f>+M41-G41</f>
        <v>0</v>
      </c>
      <c r="M41" s="108">
        <f>G41</f>
        <v>0</v>
      </c>
      <c r="N41" s="108">
        <f>F41-M41</f>
        <v>3526000</v>
      </c>
      <c r="O41" s="154"/>
      <c r="Q41" s="108">
        <f t="shared" ref="Q41:Q43" si="36">M41-K41</f>
        <v>0</v>
      </c>
      <c r="S41" s="108"/>
      <c r="T41" s="108"/>
      <c r="U41" s="108">
        <f>S41+T41</f>
        <v>0</v>
      </c>
      <c r="W41" s="108"/>
      <c r="X41" s="108"/>
      <c r="Y41" s="108"/>
      <c r="Z41" s="108">
        <f t="shared" ref="Z41:Z43" si="37">W41+X41+Y41</f>
        <v>0</v>
      </c>
      <c r="AB41" s="108">
        <f>U41+Z41</f>
        <v>0</v>
      </c>
      <c r="AD41" s="108">
        <f t="shared" ref="AD41:AD42" si="38">Q41-AB41</f>
        <v>0</v>
      </c>
    </row>
    <row r="42" spans="2:30" ht="14.5" customHeight="1">
      <c r="B42" s="183" t="s">
        <v>117</v>
      </c>
      <c r="C42" s="183"/>
      <c r="D42" s="184"/>
      <c r="E42" s="154"/>
      <c r="F42" s="182">
        <v>0</v>
      </c>
      <c r="G42" s="108">
        <f>SUMIF('Committed Costs '!C:C,B42,'Committed Costs '!G:G)</f>
        <v>0</v>
      </c>
      <c r="H42" s="108">
        <f>SUMIF('Change Orders'!F:F,'Project Detail'!B42,'Change Orders'!E:E)</f>
        <v>0</v>
      </c>
      <c r="I42" s="108">
        <f>SUMIF(Invoices!B:B,B42,Invoices!G:G)</f>
        <v>0</v>
      </c>
      <c r="J42" s="108">
        <v>0</v>
      </c>
      <c r="K42" s="108">
        <f t="shared" ref="K42:K44" si="39">I42-J42</f>
        <v>0</v>
      </c>
      <c r="L42" s="108">
        <f t="shared" ref="L42:L44" si="40">+M42-G42</f>
        <v>0</v>
      </c>
      <c r="M42" s="108">
        <f t="shared" ref="M42:M44" si="41">IF((F42+H42)&gt;G42,F42+H42,G42)</f>
        <v>0</v>
      </c>
      <c r="N42" s="185">
        <f t="shared" ref="N42:N44" si="42">F42-M42</f>
        <v>0</v>
      </c>
      <c r="O42" s="154"/>
      <c r="Q42" s="108">
        <f t="shared" si="36"/>
        <v>0</v>
      </c>
      <c r="S42" s="108"/>
      <c r="T42" s="108"/>
      <c r="U42" s="108">
        <f>S42+T42</f>
        <v>0</v>
      </c>
      <c r="W42" s="108"/>
      <c r="X42" s="108"/>
      <c r="Y42" s="108"/>
      <c r="Z42" s="108">
        <f t="shared" si="37"/>
        <v>0</v>
      </c>
      <c r="AB42" s="108">
        <f>U42+Z42</f>
        <v>0</v>
      </c>
      <c r="AD42" s="108">
        <f t="shared" si="38"/>
        <v>0</v>
      </c>
    </row>
    <row r="43" spans="2:30" ht="14.5" customHeight="1">
      <c r="B43" s="144" t="s">
        <v>118</v>
      </c>
      <c r="C43" s="144"/>
      <c r="D43" s="181"/>
      <c r="E43" s="83"/>
      <c r="F43" s="182">
        <v>0</v>
      </c>
      <c r="G43" s="31">
        <f>SUMIF('Committed Costs '!C:C,B43,'Committed Costs '!G:G)</f>
        <v>0</v>
      </c>
      <c r="H43" s="31">
        <f>SUMIF('Change Orders'!F:F,'Project Detail'!B43,'Change Orders'!E:E)</f>
        <v>0</v>
      </c>
      <c r="I43" s="31">
        <f>SUMIF(Invoices!B:B,B43,Invoices!G:G)</f>
        <v>0</v>
      </c>
      <c r="J43" s="31">
        <v>0</v>
      </c>
      <c r="K43" s="31">
        <f t="shared" si="39"/>
        <v>0</v>
      </c>
      <c r="L43" s="108">
        <f t="shared" si="40"/>
        <v>0</v>
      </c>
      <c r="M43" s="108">
        <v>0</v>
      </c>
      <c r="N43" s="108">
        <f t="shared" si="42"/>
        <v>0</v>
      </c>
      <c r="O43" s="154"/>
      <c r="Q43" s="108">
        <f t="shared" si="36"/>
        <v>0</v>
      </c>
      <c r="S43" s="108"/>
      <c r="T43" s="108"/>
      <c r="U43" s="108">
        <f>S43+T43</f>
        <v>0</v>
      </c>
      <c r="W43" s="108"/>
      <c r="X43" s="108"/>
      <c r="Y43" s="108"/>
      <c r="Z43" s="108">
        <f t="shared" si="37"/>
        <v>0</v>
      </c>
      <c r="AB43" s="108">
        <f>U43+Z43</f>
        <v>0</v>
      </c>
      <c r="AD43" s="108">
        <f>Q43-AB43</f>
        <v>0</v>
      </c>
    </row>
    <row r="44" spans="2:30" ht="14.5" customHeight="1">
      <c r="B44" s="144" t="s">
        <v>119</v>
      </c>
      <c r="C44" s="144"/>
      <c r="D44" s="181"/>
      <c r="E44" s="13"/>
      <c r="F44" s="85">
        <v>0</v>
      </c>
      <c r="G44" s="31">
        <f>SUMIF('Committed Costs '!C:C,B44,'Committed Costs '!G:G)</f>
        <v>0</v>
      </c>
      <c r="H44" s="31">
        <f>SUMIF('Change Orders'!F:F,'Project Detail'!B44,'Change Orders'!E:E)</f>
        <v>0</v>
      </c>
      <c r="I44" s="31">
        <f>SUMIF(Invoices!B:B,B44,Invoices!G:G)</f>
        <v>0</v>
      </c>
      <c r="J44" s="31">
        <v>0</v>
      </c>
      <c r="K44" s="31">
        <f t="shared" si="39"/>
        <v>0</v>
      </c>
      <c r="L44" s="108">
        <f t="shared" si="40"/>
        <v>0</v>
      </c>
      <c r="M44" s="108">
        <f t="shared" si="41"/>
        <v>0</v>
      </c>
      <c r="N44" s="108">
        <f t="shared" si="42"/>
        <v>0</v>
      </c>
      <c r="O44" s="13"/>
      <c r="Q44" s="108"/>
      <c r="S44" s="108"/>
      <c r="T44" s="108"/>
      <c r="U44" s="108"/>
      <c r="W44" s="108"/>
      <c r="X44" s="108"/>
      <c r="Y44" s="108"/>
      <c r="Z44" s="108"/>
      <c r="AB44" s="108"/>
      <c r="AD44" s="108"/>
    </row>
    <row r="45" spans="2:30" ht="15" customHeight="1">
      <c r="B45" s="15"/>
      <c r="C45" s="15">
        <v>202</v>
      </c>
      <c r="D45" s="83"/>
      <c r="E45" s="172" t="s">
        <v>611</v>
      </c>
      <c r="F45" s="173">
        <f>SUM(F41:F44)</f>
        <v>3526000</v>
      </c>
      <c r="G45" s="173">
        <f t="shared" ref="G45:N45" si="43">SUM(G41:G44)</f>
        <v>0</v>
      </c>
      <c r="H45" s="173">
        <f t="shared" si="43"/>
        <v>0</v>
      </c>
      <c r="I45" s="173">
        <f t="shared" si="43"/>
        <v>0</v>
      </c>
      <c r="J45" s="173">
        <f t="shared" si="43"/>
        <v>0</v>
      </c>
      <c r="K45" s="173">
        <f t="shared" si="43"/>
        <v>0</v>
      </c>
      <c r="L45" s="173">
        <f t="shared" si="43"/>
        <v>0</v>
      </c>
      <c r="M45" s="173">
        <f t="shared" si="43"/>
        <v>0</v>
      </c>
      <c r="N45" s="173">
        <f t="shared" si="43"/>
        <v>3526000</v>
      </c>
      <c r="O45" s="13"/>
      <c r="Q45" s="173">
        <f>SUM(Q41:Q43)</f>
        <v>0</v>
      </c>
      <c r="S45" s="173">
        <f t="shared" ref="S45:U45" si="44">SUM(S41:S43)</f>
        <v>0</v>
      </c>
      <c r="T45" s="173">
        <f t="shared" si="44"/>
        <v>0</v>
      </c>
      <c r="U45" s="173">
        <f t="shared" si="44"/>
        <v>0</v>
      </c>
      <c r="W45" s="173">
        <f t="shared" ref="W45:Z45" si="45">SUM(W41:W43)</f>
        <v>0</v>
      </c>
      <c r="X45" s="173">
        <f t="shared" si="45"/>
        <v>0</v>
      </c>
      <c r="Y45" s="173">
        <f t="shared" si="45"/>
        <v>0</v>
      </c>
      <c r="Z45" s="173">
        <f t="shared" si="45"/>
        <v>0</v>
      </c>
      <c r="AB45" s="173">
        <f>SUM(AB41:AB43)</f>
        <v>0</v>
      </c>
      <c r="AD45" s="173">
        <f>SUM(AD41:AD43)</f>
        <v>0</v>
      </c>
    </row>
    <row r="46" spans="2:30" ht="15" customHeight="1">
      <c r="B46" s="206">
        <v>203</v>
      </c>
      <c r="C46" s="207"/>
      <c r="D46" s="208" t="s">
        <v>738</v>
      </c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10"/>
      <c r="Q46" s="118"/>
      <c r="S46" s="209"/>
      <c r="T46" s="209"/>
      <c r="U46" s="209"/>
      <c r="W46" s="209"/>
      <c r="X46" s="209"/>
      <c r="Y46" s="209"/>
      <c r="Z46" s="209"/>
      <c r="AB46" s="209"/>
      <c r="AD46" s="118"/>
    </row>
    <row r="47" spans="2:30" ht="14.5" customHeight="1">
      <c r="B47" s="183" t="s">
        <v>47</v>
      </c>
      <c r="C47" s="183"/>
      <c r="D47" s="154" t="s">
        <v>97</v>
      </c>
      <c r="E47" s="154" t="s">
        <v>740</v>
      </c>
      <c r="F47" s="182" t="e">
        <f>'Budget Summary'!#REF!</f>
        <v>#REF!</v>
      </c>
      <c r="G47" s="108">
        <f>SUMIF('Committed Costs '!C:C,B47,'Committed Costs '!G:G)</f>
        <v>0</v>
      </c>
      <c r="H47" s="108">
        <f>SUMIF('Change Orders'!F:F,'Project Detail'!B47,'Change Orders'!E:E)</f>
        <v>0</v>
      </c>
      <c r="I47" s="108">
        <f>SUMIF(Invoices!B:B,B47,Invoices!G:G)</f>
        <v>0</v>
      </c>
      <c r="J47" s="108">
        <v>0</v>
      </c>
      <c r="K47" s="108">
        <f>I47-J47</f>
        <v>0</v>
      </c>
      <c r="L47" s="108">
        <f>+M47-G47</f>
        <v>0</v>
      </c>
      <c r="M47" s="108">
        <f>G47</f>
        <v>0</v>
      </c>
      <c r="N47" s="108" t="e">
        <f>F47-M47</f>
        <v>#REF!</v>
      </c>
      <c r="O47" s="154"/>
      <c r="Q47" s="108">
        <f t="shared" ref="Q47:Q56" si="46">M47-K47</f>
        <v>0</v>
      </c>
      <c r="S47" s="108"/>
      <c r="T47" s="108"/>
      <c r="U47" s="108">
        <f>S47+T47</f>
        <v>0</v>
      </c>
      <c r="W47" s="108"/>
      <c r="X47" s="108"/>
      <c r="Y47" s="108"/>
      <c r="Z47" s="108">
        <f t="shared" ref="Z47:Z56" si="47">W47+X47+Y47</f>
        <v>0</v>
      </c>
      <c r="AB47" s="108">
        <f t="shared" ref="AB47:AB56" si="48">U47+Z47</f>
        <v>0</v>
      </c>
      <c r="AD47" s="108">
        <f t="shared" ref="AD47:AD56" si="49">Q47-AB47</f>
        <v>0</v>
      </c>
    </row>
    <row r="48" spans="2:30" ht="14.5" customHeight="1">
      <c r="B48" s="144" t="s">
        <v>120</v>
      </c>
      <c r="C48" s="144"/>
      <c r="D48" s="83" t="s">
        <v>95</v>
      </c>
      <c r="E48" s="83" t="s">
        <v>122</v>
      </c>
      <c r="F48" s="182" t="e">
        <f>'Budget Summary'!#REF!</f>
        <v>#REF!</v>
      </c>
      <c r="G48" s="31">
        <f>SUMIF('Committed Costs '!C:C,B48,'Committed Costs '!G:G)</f>
        <v>0</v>
      </c>
      <c r="H48" s="31">
        <f>SUMIF('Change Orders'!F:F,'Project Detail'!B48,'Change Orders'!E:E)</f>
        <v>0</v>
      </c>
      <c r="I48" s="31">
        <f>SUMIF(Invoices!B:B,B48,Invoices!G:G)</f>
        <v>0</v>
      </c>
      <c r="J48" s="31">
        <v>0</v>
      </c>
      <c r="K48" s="31">
        <f t="shared" ref="K48:K49" si="50">I48-J48</f>
        <v>0</v>
      </c>
      <c r="L48" s="108">
        <f t="shared" ref="L48:L49" si="51">+M48-G48</f>
        <v>0</v>
      </c>
      <c r="M48" s="108">
        <f>G48</f>
        <v>0</v>
      </c>
      <c r="N48" s="108" t="e">
        <f t="shared" ref="N48:N49" si="52">F48-M48</f>
        <v>#REF!</v>
      </c>
      <c r="O48" s="83"/>
      <c r="Q48" s="108">
        <f t="shared" si="46"/>
        <v>0</v>
      </c>
      <c r="S48" s="108"/>
      <c r="T48" s="108"/>
      <c r="U48" s="108">
        <f>S48+T48</f>
        <v>0</v>
      </c>
      <c r="W48" s="108"/>
      <c r="X48" s="108"/>
      <c r="Y48" s="108"/>
      <c r="Z48" s="108">
        <f t="shared" si="47"/>
        <v>0</v>
      </c>
      <c r="AB48" s="108">
        <f t="shared" si="48"/>
        <v>0</v>
      </c>
      <c r="AD48" s="108">
        <f t="shared" si="49"/>
        <v>0</v>
      </c>
    </row>
    <row r="49" spans="2:30" ht="14.5" customHeight="1">
      <c r="B49" s="144" t="s">
        <v>121</v>
      </c>
      <c r="C49" s="144"/>
      <c r="D49" s="83" t="s">
        <v>229</v>
      </c>
      <c r="E49" s="83" t="s">
        <v>123</v>
      </c>
      <c r="F49" s="182" t="e">
        <f>'Budget Summary'!#REF!</f>
        <v>#REF!</v>
      </c>
      <c r="G49" s="31">
        <f>SUMIF('Committed Costs '!C:C,B49,'Committed Costs '!G:G)</f>
        <v>0</v>
      </c>
      <c r="H49" s="31">
        <f>SUMIF('Change Orders'!F:F,'Project Detail'!B49,'Change Orders'!E:E)</f>
        <v>0</v>
      </c>
      <c r="I49" s="31">
        <f>SUMIF(Invoices!B:B,B49,Invoices!G:G)</f>
        <v>0</v>
      </c>
      <c r="J49" s="31">
        <v>0</v>
      </c>
      <c r="K49" s="31">
        <f t="shared" si="50"/>
        <v>0</v>
      </c>
      <c r="L49" s="108">
        <f t="shared" si="51"/>
        <v>0</v>
      </c>
      <c r="M49" s="108">
        <f>G49</f>
        <v>0</v>
      </c>
      <c r="N49" s="108" t="e">
        <f t="shared" si="52"/>
        <v>#REF!</v>
      </c>
      <c r="O49" s="83"/>
      <c r="Q49" s="108">
        <f t="shared" si="46"/>
        <v>0</v>
      </c>
      <c r="S49" s="108"/>
      <c r="T49" s="108"/>
      <c r="U49" s="108">
        <f>S49+T49</f>
        <v>0</v>
      </c>
      <c r="W49" s="108"/>
      <c r="X49" s="108"/>
      <c r="Y49" s="108"/>
      <c r="Z49" s="108">
        <f t="shared" si="47"/>
        <v>0</v>
      </c>
      <c r="AB49" s="108">
        <f t="shared" si="48"/>
        <v>0</v>
      </c>
      <c r="AD49" s="108">
        <f t="shared" si="49"/>
        <v>0</v>
      </c>
    </row>
    <row r="50" spans="2:30" ht="14.5" customHeight="1">
      <c r="B50" s="144" t="s">
        <v>259</v>
      </c>
      <c r="C50" s="144"/>
      <c r="D50" s="83" t="s">
        <v>228</v>
      </c>
      <c r="E50" s="83" t="s">
        <v>290</v>
      </c>
      <c r="F50" s="182">
        <f>'Budget Summary'!D33</f>
        <v>1483680</v>
      </c>
      <c r="G50" s="31">
        <f>SUMIF('Committed Costs '!C:C,B50,'Committed Costs '!G:G)</f>
        <v>0</v>
      </c>
      <c r="H50" s="31">
        <f>SUMIF('Change Orders'!F:F,'Project Detail'!B50,'Change Orders'!E:E)</f>
        <v>0</v>
      </c>
      <c r="I50" s="31">
        <f>SUMIF(Invoices!B:B,B50,Invoices!G:G)</f>
        <v>0</v>
      </c>
      <c r="J50" s="31">
        <v>0</v>
      </c>
      <c r="K50" s="31">
        <f t="shared" ref="K50:K55" si="53">I50-J50</f>
        <v>0</v>
      </c>
      <c r="L50" s="108">
        <f t="shared" ref="L50:L55" si="54">+M50-G50</f>
        <v>0</v>
      </c>
      <c r="M50" s="108">
        <f t="shared" ref="M50:M55" si="55">G50</f>
        <v>0</v>
      </c>
      <c r="N50" s="108">
        <f t="shared" ref="N50:N55" si="56">F50-M50</f>
        <v>1483680</v>
      </c>
      <c r="O50" s="83"/>
      <c r="Q50" s="108"/>
      <c r="S50" s="108"/>
      <c r="T50" s="108"/>
      <c r="U50" s="108"/>
      <c r="W50" s="108"/>
      <c r="X50" s="108"/>
      <c r="Y50" s="108"/>
      <c r="Z50" s="108"/>
      <c r="AB50" s="108"/>
      <c r="AD50" s="108"/>
    </row>
    <row r="51" spans="2:30" ht="14.5" customHeight="1">
      <c r="B51" s="144" t="s">
        <v>732</v>
      </c>
      <c r="C51" s="144"/>
      <c r="D51" s="83" t="s">
        <v>228</v>
      </c>
      <c r="E51" s="83" t="s">
        <v>612</v>
      </c>
      <c r="F51" s="182">
        <f>'Budget Summary'!D36</f>
        <v>10000</v>
      </c>
      <c r="G51" s="31">
        <f>SUMIF('Committed Costs '!C:C,B51,'Committed Costs '!G:G)</f>
        <v>0</v>
      </c>
      <c r="H51" s="31">
        <f>SUMIF('Change Orders'!F:F,'Project Detail'!B51,'Change Orders'!E:E)</f>
        <v>0</v>
      </c>
      <c r="I51" s="31">
        <f>SUMIF(Invoices!B:B,B51,Invoices!G:G)</f>
        <v>0</v>
      </c>
      <c r="J51" s="31">
        <v>0</v>
      </c>
      <c r="K51" s="31">
        <f t="shared" si="53"/>
        <v>0</v>
      </c>
      <c r="L51" s="108">
        <f t="shared" si="54"/>
        <v>0</v>
      </c>
      <c r="M51" s="108">
        <f t="shared" si="55"/>
        <v>0</v>
      </c>
      <c r="N51" s="108">
        <f t="shared" si="56"/>
        <v>10000</v>
      </c>
      <c r="O51" s="83"/>
      <c r="Q51" s="108"/>
      <c r="S51" s="108"/>
      <c r="T51" s="108"/>
      <c r="U51" s="108"/>
      <c r="W51" s="108"/>
      <c r="X51" s="108"/>
      <c r="Y51" s="108"/>
      <c r="Z51" s="108"/>
      <c r="AB51" s="108"/>
      <c r="AD51" s="108"/>
    </row>
    <row r="52" spans="2:30" ht="14.5" customHeight="1">
      <c r="B52" s="144" t="s">
        <v>733</v>
      </c>
      <c r="C52" s="144"/>
      <c r="D52" s="83" t="s">
        <v>741</v>
      </c>
      <c r="E52" s="83" t="s">
        <v>742</v>
      </c>
      <c r="F52" s="182" t="e">
        <f>'Budget Summary'!#REF!</f>
        <v>#REF!</v>
      </c>
      <c r="G52" s="31">
        <f>SUMIF('Committed Costs '!C:C,B52,'Committed Costs '!G:G)</f>
        <v>0</v>
      </c>
      <c r="H52" s="31">
        <f>SUMIF('Change Orders'!F:F,'Project Detail'!B52,'Change Orders'!E:E)</f>
        <v>0</v>
      </c>
      <c r="I52" s="31">
        <f>SUMIF(Invoices!B:B,B52,Invoices!G:G)</f>
        <v>0</v>
      </c>
      <c r="J52" s="31">
        <v>0</v>
      </c>
      <c r="K52" s="31">
        <f t="shared" si="53"/>
        <v>0</v>
      </c>
      <c r="L52" s="108">
        <f t="shared" si="54"/>
        <v>0</v>
      </c>
      <c r="M52" s="108">
        <f t="shared" si="55"/>
        <v>0</v>
      </c>
      <c r="N52" s="108" t="e">
        <f t="shared" si="56"/>
        <v>#REF!</v>
      </c>
      <c r="O52" s="83"/>
      <c r="Q52" s="108"/>
      <c r="S52" s="108"/>
      <c r="T52" s="108"/>
      <c r="U52" s="108"/>
      <c r="W52" s="108"/>
      <c r="X52" s="108"/>
      <c r="Y52" s="108"/>
      <c r="Z52" s="108"/>
      <c r="AB52" s="108"/>
      <c r="AD52" s="108"/>
    </row>
    <row r="53" spans="2:30" ht="14.5" customHeight="1">
      <c r="B53" s="144" t="s">
        <v>734</v>
      </c>
      <c r="C53" s="144"/>
      <c r="D53" s="83" t="s">
        <v>228</v>
      </c>
      <c r="E53" s="83" t="s">
        <v>295</v>
      </c>
      <c r="F53" s="182" t="e">
        <f>'Budget Summary'!#REF!</f>
        <v>#REF!</v>
      </c>
      <c r="G53" s="31">
        <f>SUMIF('Committed Costs '!C:C,B53,'Committed Costs '!G:G)</f>
        <v>0</v>
      </c>
      <c r="H53" s="31">
        <f>SUMIF('Change Orders'!F:F,'Project Detail'!B53,'Change Orders'!E:E)</f>
        <v>0</v>
      </c>
      <c r="I53" s="31">
        <f>SUMIF(Invoices!B:B,B53,Invoices!G:G)</f>
        <v>0</v>
      </c>
      <c r="J53" s="31">
        <v>0</v>
      </c>
      <c r="K53" s="31">
        <f t="shared" si="53"/>
        <v>0</v>
      </c>
      <c r="L53" s="108">
        <f t="shared" si="54"/>
        <v>0</v>
      </c>
      <c r="M53" s="108">
        <f t="shared" si="55"/>
        <v>0</v>
      </c>
      <c r="N53" s="108" t="e">
        <f t="shared" si="56"/>
        <v>#REF!</v>
      </c>
      <c r="O53" s="83"/>
      <c r="Q53" s="108"/>
      <c r="S53" s="108"/>
      <c r="T53" s="108"/>
      <c r="U53" s="108"/>
      <c r="W53" s="108"/>
      <c r="X53" s="108"/>
      <c r="Y53" s="108"/>
      <c r="Z53" s="108"/>
      <c r="AB53" s="108"/>
      <c r="AD53" s="108"/>
    </row>
    <row r="54" spans="2:30" ht="14.5" customHeight="1">
      <c r="B54" s="144" t="s">
        <v>735</v>
      </c>
      <c r="C54" s="144"/>
      <c r="D54" s="83" t="s">
        <v>228</v>
      </c>
      <c r="E54" s="83" t="s">
        <v>743</v>
      </c>
      <c r="F54" s="182">
        <f>'Budget Summary'!D41</f>
        <v>628297.47674999991</v>
      </c>
      <c r="G54" s="31">
        <f>SUMIF('Committed Costs '!C:C,B54,'Committed Costs '!G:G)</f>
        <v>0</v>
      </c>
      <c r="H54" s="31">
        <f>SUMIF('Change Orders'!F:F,'Project Detail'!B54,'Change Orders'!E:E)</f>
        <v>0</v>
      </c>
      <c r="I54" s="31">
        <f>SUMIF(Invoices!B:B,B54,Invoices!G:G)</f>
        <v>0</v>
      </c>
      <c r="J54" s="31">
        <v>0</v>
      </c>
      <c r="K54" s="31">
        <f t="shared" si="53"/>
        <v>0</v>
      </c>
      <c r="L54" s="108">
        <f t="shared" si="54"/>
        <v>0</v>
      </c>
      <c r="M54" s="108">
        <f t="shared" si="55"/>
        <v>0</v>
      </c>
      <c r="N54" s="108">
        <f t="shared" si="56"/>
        <v>628297.47674999991</v>
      </c>
      <c r="O54" s="83"/>
      <c r="Q54" s="108"/>
      <c r="S54" s="108"/>
      <c r="T54" s="108"/>
      <c r="U54" s="108"/>
      <c r="W54" s="108"/>
      <c r="X54" s="108"/>
      <c r="Y54" s="108"/>
      <c r="Z54" s="108"/>
      <c r="AB54" s="108"/>
      <c r="AD54" s="108"/>
    </row>
    <row r="55" spans="2:30" ht="14.5" customHeight="1">
      <c r="B55" s="144" t="s">
        <v>736</v>
      </c>
      <c r="C55" s="144"/>
      <c r="D55" s="83" t="s">
        <v>228</v>
      </c>
      <c r="E55" s="83" t="s">
        <v>297</v>
      </c>
      <c r="F55" s="182">
        <f>'Budget Summary'!D44</f>
        <v>50000</v>
      </c>
      <c r="G55" s="31">
        <f>SUMIF('Committed Costs '!C:C,B55,'Committed Costs '!G:G)</f>
        <v>0</v>
      </c>
      <c r="H55" s="31">
        <f>SUMIF('Change Orders'!F:F,'Project Detail'!B55,'Change Orders'!E:E)</f>
        <v>0</v>
      </c>
      <c r="I55" s="31">
        <f>SUMIF(Invoices!B:B,B55,Invoices!G:G)</f>
        <v>0</v>
      </c>
      <c r="J55" s="31">
        <v>0</v>
      </c>
      <c r="K55" s="31">
        <f t="shared" si="53"/>
        <v>0</v>
      </c>
      <c r="L55" s="108">
        <f t="shared" si="54"/>
        <v>0</v>
      </c>
      <c r="M55" s="108">
        <f t="shared" si="55"/>
        <v>0</v>
      </c>
      <c r="N55" s="108">
        <f t="shared" si="56"/>
        <v>50000</v>
      </c>
      <c r="O55" s="83"/>
      <c r="Q55" s="108"/>
      <c r="S55" s="108"/>
      <c r="T55" s="108"/>
      <c r="U55" s="108"/>
      <c r="W55" s="108"/>
      <c r="X55" s="108"/>
      <c r="Y55" s="108"/>
      <c r="Z55" s="108"/>
      <c r="AB55" s="108"/>
      <c r="AD55" s="108"/>
    </row>
    <row r="56" spans="2:30" ht="14.5" customHeight="1">
      <c r="B56" s="144" t="s">
        <v>737</v>
      </c>
      <c r="C56" s="144"/>
      <c r="D56" s="83" t="s">
        <v>228</v>
      </c>
      <c r="E56" s="83" t="s">
        <v>80</v>
      </c>
      <c r="F56" s="182">
        <f>'Budget Summary'!D46</f>
        <v>0</v>
      </c>
      <c r="G56" s="31">
        <f>SUMIF('Committed Costs '!C:C,B56,'Committed Costs '!G:G)</f>
        <v>0</v>
      </c>
      <c r="H56" s="31">
        <f>SUMIF('Change Orders'!F:F,'Project Detail'!B56,'Change Orders'!E:E)</f>
        <v>0</v>
      </c>
      <c r="I56" s="31">
        <f>SUMIF(Invoices!B:B,B56,Invoices!G:G)</f>
        <v>0</v>
      </c>
      <c r="J56" s="31">
        <v>0</v>
      </c>
      <c r="K56" s="31">
        <f t="shared" ref="K56" si="57">I56-J56</f>
        <v>0</v>
      </c>
      <c r="L56" s="108">
        <f t="shared" ref="L56" si="58">+M56-G56</f>
        <v>0</v>
      </c>
      <c r="M56" s="108">
        <f>G56</f>
        <v>0</v>
      </c>
      <c r="N56" s="108">
        <f t="shared" ref="N56" si="59">F56-M56</f>
        <v>0</v>
      </c>
      <c r="O56" s="83"/>
      <c r="Q56" s="108">
        <f t="shared" si="46"/>
        <v>0</v>
      </c>
      <c r="S56" s="108"/>
      <c r="T56" s="108"/>
      <c r="U56" s="108">
        <f>S56+T56</f>
        <v>0</v>
      </c>
      <c r="W56" s="108"/>
      <c r="X56" s="108"/>
      <c r="Y56" s="108"/>
      <c r="Z56" s="108">
        <f t="shared" si="47"/>
        <v>0</v>
      </c>
      <c r="AB56" s="108">
        <f t="shared" si="48"/>
        <v>0</v>
      </c>
      <c r="AD56" s="108">
        <f t="shared" si="49"/>
        <v>0</v>
      </c>
    </row>
    <row r="57" spans="2:30" ht="15" customHeight="1">
      <c r="B57" s="15"/>
      <c r="C57" s="15">
        <v>203</v>
      </c>
      <c r="D57" s="83"/>
      <c r="E57" s="172" t="s">
        <v>739</v>
      </c>
      <c r="F57" s="173" t="e">
        <f>SUM(F47:F56)</f>
        <v>#REF!</v>
      </c>
      <c r="G57" s="173">
        <f t="shared" ref="G57:N57" si="60">SUM(G47:G56)</f>
        <v>0</v>
      </c>
      <c r="H57" s="173">
        <f t="shared" si="60"/>
        <v>0</v>
      </c>
      <c r="I57" s="173">
        <f t="shared" si="60"/>
        <v>0</v>
      </c>
      <c r="J57" s="173">
        <f t="shared" si="60"/>
        <v>0</v>
      </c>
      <c r="K57" s="173">
        <f t="shared" si="60"/>
        <v>0</v>
      </c>
      <c r="L57" s="173">
        <f t="shared" si="60"/>
        <v>0</v>
      </c>
      <c r="M57" s="173">
        <f t="shared" si="60"/>
        <v>0</v>
      </c>
      <c r="N57" s="173" t="e">
        <f t="shared" si="60"/>
        <v>#REF!</v>
      </c>
      <c r="O57" s="13"/>
      <c r="Q57" s="173">
        <f>SUM(Q47:Q56)</f>
        <v>0</v>
      </c>
      <c r="S57" s="173">
        <f>SUM(S47:S56)</f>
        <v>0</v>
      </c>
      <c r="T57" s="173">
        <f t="shared" ref="T57:U57" si="61">SUM(T47:T56)</f>
        <v>0</v>
      </c>
      <c r="U57" s="173">
        <f t="shared" si="61"/>
        <v>0</v>
      </c>
      <c r="W57" s="173">
        <f>SUM(W47:W56)</f>
        <v>0</v>
      </c>
      <c r="X57" s="173">
        <f t="shared" ref="X57:Z57" si="62">SUM(X47:X56)</f>
        <v>0</v>
      </c>
      <c r="Y57" s="173">
        <f t="shared" si="62"/>
        <v>0</v>
      </c>
      <c r="Z57" s="173">
        <f t="shared" si="62"/>
        <v>0</v>
      </c>
      <c r="AB57" s="173">
        <f>SUM(AB47:AB56)</f>
        <v>0</v>
      </c>
      <c r="AD57" s="173">
        <f>SUM(AD47:AD56)</f>
        <v>0</v>
      </c>
    </row>
    <row r="58" spans="2:30" ht="4.5" customHeight="1">
      <c r="B58" s="192"/>
      <c r="C58" s="193"/>
      <c r="D58" s="194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5"/>
      <c r="Q58" s="193"/>
      <c r="S58" s="193"/>
      <c r="T58" s="193"/>
      <c r="U58" s="193"/>
      <c r="W58" s="193"/>
      <c r="X58" s="193"/>
      <c r="Y58" s="193"/>
      <c r="Z58" s="193"/>
      <c r="AB58" s="193"/>
      <c r="AD58" s="193"/>
    </row>
    <row r="59" spans="2:30">
      <c r="B59" s="168"/>
      <c r="C59" s="167"/>
      <c r="D59" s="166"/>
      <c r="E59" s="196" t="s">
        <v>232</v>
      </c>
      <c r="F59" s="186" t="e">
        <f t="shared" ref="F59:N59" si="63">SUM(F39,F45,F57)</f>
        <v>#REF!</v>
      </c>
      <c r="G59" s="186">
        <f t="shared" si="63"/>
        <v>0</v>
      </c>
      <c r="H59" s="186">
        <f t="shared" si="63"/>
        <v>0</v>
      </c>
      <c r="I59" s="186">
        <f t="shared" si="63"/>
        <v>0</v>
      </c>
      <c r="J59" s="186">
        <f t="shared" si="63"/>
        <v>0</v>
      </c>
      <c r="K59" s="186">
        <f t="shared" si="63"/>
        <v>0</v>
      </c>
      <c r="L59" s="186" t="e">
        <f t="shared" si="63"/>
        <v>#REF!</v>
      </c>
      <c r="M59" s="186" t="e">
        <f t="shared" si="63"/>
        <v>#REF!</v>
      </c>
      <c r="N59" s="186" t="e">
        <f t="shared" si="63"/>
        <v>#REF!</v>
      </c>
      <c r="O59" s="187"/>
      <c r="Q59" s="186">
        <f>SUM(Q39,Q45,Q57)</f>
        <v>0</v>
      </c>
      <c r="S59" s="186">
        <f t="shared" ref="S59:U59" si="64">SUM(S39,S45,S57)</f>
        <v>0</v>
      </c>
      <c r="T59" s="186">
        <f t="shared" si="64"/>
        <v>0</v>
      </c>
      <c r="U59" s="186">
        <f t="shared" si="64"/>
        <v>0</v>
      </c>
      <c r="W59" s="186">
        <f t="shared" ref="W59:Z59" si="65">SUM(W39,W45,W57)</f>
        <v>0</v>
      </c>
      <c r="X59" s="186">
        <f t="shared" si="65"/>
        <v>0</v>
      </c>
      <c r="Y59" s="186">
        <f t="shared" si="65"/>
        <v>0</v>
      </c>
      <c r="Z59" s="186">
        <f t="shared" si="65"/>
        <v>0</v>
      </c>
      <c r="AB59" s="186">
        <f>SUM(AB39,AB45,AB57)</f>
        <v>0</v>
      </c>
      <c r="AD59" s="186">
        <f>SUM(AD39,AD45,AD57)</f>
        <v>0</v>
      </c>
    </row>
    <row r="60" spans="2:30">
      <c r="B60" s="6"/>
      <c r="C60" s="6"/>
      <c r="D60" s="84"/>
      <c r="E60" s="6"/>
      <c r="F60" s="52"/>
      <c r="G60" s="52"/>
      <c r="H60" s="52"/>
      <c r="I60" s="52"/>
      <c r="J60" s="52"/>
      <c r="K60" s="52"/>
      <c r="L60" s="52"/>
      <c r="M60" s="52"/>
      <c r="N60" s="52"/>
      <c r="Q60" s="52"/>
      <c r="S60" s="52"/>
      <c r="T60" s="52"/>
      <c r="U60" s="52"/>
      <c r="W60" s="52"/>
      <c r="X60" s="52"/>
      <c r="Y60" s="52"/>
      <c r="Z60" s="52"/>
      <c r="AB60" s="52"/>
      <c r="AD60" s="52"/>
    </row>
    <row r="61" spans="2:30" ht="16" thickBot="1">
      <c r="E61" s="82"/>
      <c r="F61" s="4"/>
    </row>
    <row r="62" spans="2:30" ht="18" customHeight="1" thickBot="1">
      <c r="B62" s="170">
        <v>300</v>
      </c>
      <c r="C62" s="78"/>
      <c r="D62" s="211" t="s">
        <v>25</v>
      </c>
      <c r="E62" s="189"/>
      <c r="F62" s="212"/>
      <c r="G62" s="212"/>
      <c r="H62" s="189"/>
      <c r="I62" s="189"/>
      <c r="J62" s="189"/>
      <c r="K62" s="189"/>
      <c r="L62" s="189"/>
      <c r="M62" s="189"/>
      <c r="N62" s="189"/>
      <c r="O62" s="190"/>
      <c r="Q62" s="216"/>
      <c r="S62" s="216"/>
      <c r="T62" s="216"/>
      <c r="U62" s="216"/>
      <c r="W62" s="216"/>
      <c r="X62" s="216"/>
      <c r="Y62" s="216"/>
      <c r="Z62" s="216"/>
      <c r="AB62" s="216"/>
      <c r="AD62" s="216"/>
    </row>
    <row r="63" spans="2:30" ht="15" customHeight="1">
      <c r="B63" s="206">
        <v>301</v>
      </c>
      <c r="C63" s="201"/>
      <c r="D63" s="208" t="s">
        <v>100</v>
      </c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10"/>
      <c r="Q63" s="118"/>
      <c r="S63" s="209"/>
      <c r="T63" s="209"/>
      <c r="U63" s="209"/>
      <c r="W63" s="209"/>
      <c r="X63" s="209"/>
      <c r="Y63" s="209"/>
      <c r="Z63" s="209"/>
      <c r="AB63" s="209"/>
      <c r="AD63" s="118"/>
    </row>
    <row r="64" spans="2:30" ht="14.5" customHeight="1">
      <c r="B64" s="144" t="s">
        <v>61</v>
      </c>
      <c r="C64" s="144"/>
      <c r="D64" s="83" t="s">
        <v>228</v>
      </c>
      <c r="E64" s="83" t="s">
        <v>221</v>
      </c>
      <c r="F64" s="85">
        <f>'Budget Summary'!D49</f>
        <v>1043750</v>
      </c>
      <c r="G64" s="31">
        <f>SUMIF('Committed Costs '!C:C,B64,'Committed Costs '!G:G)</f>
        <v>0</v>
      </c>
      <c r="H64" s="31">
        <f>SUMIF('Change Orders'!F:F,'Project Detail'!B64,'Change Orders'!E:E)</f>
        <v>0</v>
      </c>
      <c r="I64" s="31">
        <f>SUMIF(Invoices!B:B,B64,Invoices!G:G)</f>
        <v>0</v>
      </c>
      <c r="J64" s="31">
        <v>0</v>
      </c>
      <c r="K64" s="31">
        <f t="shared" ref="K64" si="66">I64-J64</f>
        <v>0</v>
      </c>
      <c r="L64" s="108">
        <f t="shared" ref="L64" si="67">+M64-G64</f>
        <v>1043750</v>
      </c>
      <c r="M64" s="108">
        <f>IF((F64+H64)&gt;G64,F64+H64,G64)</f>
        <v>1043750</v>
      </c>
      <c r="N64" s="108">
        <f t="shared" ref="N64" si="68">F64-M64</f>
        <v>0</v>
      </c>
      <c r="O64" s="83"/>
      <c r="Q64" s="108">
        <f t="shared" ref="Q64:Q79" si="69">M64-K64</f>
        <v>1043750</v>
      </c>
      <c r="S64" s="108"/>
      <c r="T64" s="108"/>
      <c r="U64" s="108">
        <f>S64+T64</f>
        <v>0</v>
      </c>
      <c r="W64" s="108"/>
      <c r="X64" s="108"/>
      <c r="Y64" s="108"/>
      <c r="Z64" s="108">
        <f t="shared" ref="Z64:Z80" si="70">W64+X64+Y64</f>
        <v>0</v>
      </c>
      <c r="AB64" s="108">
        <f t="shared" ref="AB64:AB80" si="71">U64+Z64</f>
        <v>0</v>
      </c>
      <c r="AD64" s="108">
        <f t="shared" ref="AD64:AD80" si="72">Q64-AB64</f>
        <v>1043750</v>
      </c>
    </row>
    <row r="65" spans="2:31" ht="14.5" hidden="1" customHeight="1">
      <c r="B65" s="144" t="s">
        <v>62</v>
      </c>
      <c r="C65" s="144"/>
      <c r="D65" s="83" t="s">
        <v>227</v>
      </c>
      <c r="E65" s="83" t="s">
        <v>125</v>
      </c>
      <c r="F65" s="37">
        <f>46800-46800</f>
        <v>0</v>
      </c>
      <c r="G65" s="31">
        <f>SUMIF('Committed Costs '!C:C,B65,'Committed Costs '!G:G)</f>
        <v>0</v>
      </c>
      <c r="H65" s="31">
        <f>SUMIF('Change Orders'!F:F,'Project Detail'!B65,'Change Orders'!E:E)</f>
        <v>0</v>
      </c>
      <c r="I65" s="31">
        <f>SUMIF(Invoices!B:B,B65,Invoices!G:G)</f>
        <v>0</v>
      </c>
      <c r="J65" s="31">
        <v>0</v>
      </c>
      <c r="K65" s="31">
        <f t="shared" ref="K65:K78" si="73">I65-J65</f>
        <v>0</v>
      </c>
      <c r="L65" s="108">
        <f t="shared" ref="L65:L78" si="74">+M65-G65</f>
        <v>0</v>
      </c>
      <c r="M65" s="108">
        <f t="shared" ref="M65:M77" si="75">IF((F65+H65)&gt;G65,F65+H65,G65)</f>
        <v>0</v>
      </c>
      <c r="N65" s="177">
        <f t="shared" ref="N65:N78" si="76">F65-M65</f>
        <v>0</v>
      </c>
      <c r="O65" s="83"/>
      <c r="Q65" s="108">
        <f t="shared" si="69"/>
        <v>0</v>
      </c>
      <c r="S65" s="108"/>
      <c r="T65" s="108"/>
      <c r="U65" s="108" t="e">
        <f>S65+T65+#REF!</f>
        <v>#REF!</v>
      </c>
      <c r="W65" s="108"/>
      <c r="X65" s="108"/>
      <c r="Y65" s="108"/>
      <c r="Z65" s="108">
        <f t="shared" si="70"/>
        <v>0</v>
      </c>
      <c r="AB65" s="108" t="e">
        <f t="shared" si="71"/>
        <v>#REF!</v>
      </c>
      <c r="AD65" s="108" t="e">
        <f t="shared" si="72"/>
        <v>#REF!</v>
      </c>
    </row>
    <row r="66" spans="2:31" ht="14.5" hidden="1" customHeight="1">
      <c r="B66" s="144" t="s">
        <v>63</v>
      </c>
      <c r="C66" s="144"/>
      <c r="D66" s="83" t="s">
        <v>227</v>
      </c>
      <c r="E66" s="83" t="s">
        <v>126</v>
      </c>
      <c r="F66" s="37">
        <f>90000-90000</f>
        <v>0</v>
      </c>
      <c r="G66" s="31">
        <f>SUMIF('Committed Costs '!C:C,B66,'Committed Costs '!G:G)</f>
        <v>0</v>
      </c>
      <c r="H66" s="31">
        <f>SUMIF('Change Orders'!F:F,'Project Detail'!B66,'Change Orders'!E:E)</f>
        <v>0</v>
      </c>
      <c r="I66" s="31">
        <f>SUMIF(Invoices!B:B,B66,Invoices!G:G)</f>
        <v>0</v>
      </c>
      <c r="J66" s="31">
        <v>0</v>
      </c>
      <c r="K66" s="31">
        <f t="shared" si="73"/>
        <v>0</v>
      </c>
      <c r="L66" s="108">
        <f t="shared" si="74"/>
        <v>0</v>
      </c>
      <c r="M66" s="108">
        <f t="shared" si="75"/>
        <v>0</v>
      </c>
      <c r="N66" s="177">
        <f t="shared" si="76"/>
        <v>0</v>
      </c>
      <c r="O66" s="83"/>
      <c r="Q66" s="108">
        <f t="shared" si="69"/>
        <v>0</v>
      </c>
      <c r="S66" s="108"/>
      <c r="T66" s="108"/>
      <c r="U66" s="108" t="e">
        <f>S66+T66+#REF!</f>
        <v>#REF!</v>
      </c>
      <c r="W66" s="108"/>
      <c r="X66" s="108"/>
      <c r="Y66" s="108"/>
      <c r="Z66" s="108">
        <f t="shared" si="70"/>
        <v>0</v>
      </c>
      <c r="AB66" s="108" t="e">
        <f t="shared" si="71"/>
        <v>#REF!</v>
      </c>
      <c r="AD66" s="108" t="e">
        <f t="shared" si="72"/>
        <v>#REF!</v>
      </c>
    </row>
    <row r="67" spans="2:31" ht="14.5" hidden="1" customHeight="1">
      <c r="B67" s="144" t="s">
        <v>64</v>
      </c>
      <c r="C67" s="144"/>
      <c r="D67" s="83" t="s">
        <v>227</v>
      </c>
      <c r="E67" s="83" t="s">
        <v>127</v>
      </c>
      <c r="F67" s="37">
        <f>18720-18720</f>
        <v>0</v>
      </c>
      <c r="G67" s="31">
        <f>SUMIF('Committed Costs '!C:C,B67,'Committed Costs '!G:G)</f>
        <v>0</v>
      </c>
      <c r="H67" s="31">
        <f>SUMIF('Change Orders'!F:F,'Project Detail'!B67,'Change Orders'!E:E)</f>
        <v>0</v>
      </c>
      <c r="I67" s="31">
        <f>SUMIF(Invoices!B:B,B67,Invoices!G:G)</f>
        <v>0</v>
      </c>
      <c r="J67" s="31">
        <v>0</v>
      </c>
      <c r="K67" s="31">
        <f t="shared" si="73"/>
        <v>0</v>
      </c>
      <c r="L67" s="108">
        <f t="shared" si="74"/>
        <v>0</v>
      </c>
      <c r="M67" s="108">
        <f t="shared" si="75"/>
        <v>0</v>
      </c>
      <c r="N67" s="177">
        <f t="shared" si="76"/>
        <v>0</v>
      </c>
      <c r="O67" s="83"/>
      <c r="Q67" s="108">
        <f t="shared" si="69"/>
        <v>0</v>
      </c>
      <c r="S67" s="108"/>
      <c r="T67" s="108"/>
      <c r="U67" s="108" t="e">
        <f>S67+T67+#REF!</f>
        <v>#REF!</v>
      </c>
      <c r="W67" s="108"/>
      <c r="X67" s="108"/>
      <c r="Y67" s="108"/>
      <c r="Z67" s="108">
        <f t="shared" si="70"/>
        <v>0</v>
      </c>
      <c r="AB67" s="108" t="e">
        <f t="shared" si="71"/>
        <v>#REF!</v>
      </c>
      <c r="AD67" s="108" t="e">
        <f t="shared" si="72"/>
        <v>#REF!</v>
      </c>
    </row>
    <row r="68" spans="2:31" ht="14.5" hidden="1" customHeight="1">
      <c r="B68" s="144" t="s">
        <v>65</v>
      </c>
      <c r="C68" s="144"/>
      <c r="D68" s="83" t="s">
        <v>227</v>
      </c>
      <c r="E68" s="83" t="s">
        <v>128</v>
      </c>
      <c r="F68" s="37">
        <f>18000-18000</f>
        <v>0</v>
      </c>
      <c r="G68" s="31">
        <f>SUMIF('Committed Costs '!C:C,B68,'Committed Costs '!G:G)</f>
        <v>0</v>
      </c>
      <c r="H68" s="31">
        <f>SUMIF('Change Orders'!F:F,'Project Detail'!B68,'Change Orders'!E:E)</f>
        <v>0</v>
      </c>
      <c r="I68" s="31">
        <f>SUMIF(Invoices!B:B,B68,Invoices!G:G)</f>
        <v>0</v>
      </c>
      <c r="J68" s="31">
        <v>0</v>
      </c>
      <c r="K68" s="31">
        <f t="shared" si="73"/>
        <v>0</v>
      </c>
      <c r="L68" s="108">
        <f t="shared" si="74"/>
        <v>0</v>
      </c>
      <c r="M68" s="108">
        <f t="shared" si="75"/>
        <v>0</v>
      </c>
      <c r="N68" s="177">
        <f t="shared" si="76"/>
        <v>0</v>
      </c>
      <c r="O68" s="83"/>
      <c r="Q68" s="108">
        <f t="shared" si="69"/>
        <v>0</v>
      </c>
      <c r="S68" s="108"/>
      <c r="T68" s="108"/>
      <c r="U68" s="108" t="e">
        <f>S68+T68+#REF!</f>
        <v>#REF!</v>
      </c>
      <c r="W68" s="108"/>
      <c r="X68" s="108"/>
      <c r="Y68" s="108"/>
      <c r="Z68" s="108">
        <f t="shared" si="70"/>
        <v>0</v>
      </c>
      <c r="AB68" s="108" t="e">
        <f t="shared" si="71"/>
        <v>#REF!</v>
      </c>
      <c r="AD68" s="108" t="e">
        <f t="shared" si="72"/>
        <v>#REF!</v>
      </c>
    </row>
    <row r="69" spans="2:31" ht="14.5" hidden="1" customHeight="1">
      <c r="B69" s="144" t="s">
        <v>66</v>
      </c>
      <c r="C69" s="144"/>
      <c r="D69" s="83" t="s">
        <v>227</v>
      </c>
      <c r="E69" s="83" t="s">
        <v>129</v>
      </c>
      <c r="F69" s="37">
        <f>5300-5300</f>
        <v>0</v>
      </c>
      <c r="G69" s="31">
        <f>SUMIF('Committed Costs '!C:C,B69,'Committed Costs '!G:G)</f>
        <v>0</v>
      </c>
      <c r="H69" s="31">
        <f>SUMIF('Change Orders'!F:F,'Project Detail'!B69,'Change Orders'!E:E)</f>
        <v>0</v>
      </c>
      <c r="I69" s="31">
        <f>SUMIF(Invoices!B:B,B69,Invoices!G:G)</f>
        <v>0</v>
      </c>
      <c r="J69" s="31">
        <v>0</v>
      </c>
      <c r="K69" s="31">
        <f t="shared" si="73"/>
        <v>0</v>
      </c>
      <c r="L69" s="108">
        <f t="shared" si="74"/>
        <v>0</v>
      </c>
      <c r="M69" s="108">
        <f t="shared" si="75"/>
        <v>0</v>
      </c>
      <c r="N69" s="177">
        <f t="shared" si="76"/>
        <v>0</v>
      </c>
      <c r="O69" s="83"/>
      <c r="Q69" s="108">
        <f t="shared" si="69"/>
        <v>0</v>
      </c>
      <c r="S69" s="108"/>
      <c r="T69" s="108"/>
      <c r="U69" s="108" t="e">
        <f>S69+T69+#REF!</f>
        <v>#REF!</v>
      </c>
      <c r="W69" s="108"/>
      <c r="X69" s="108"/>
      <c r="Y69" s="108"/>
      <c r="Z69" s="108">
        <f t="shared" si="70"/>
        <v>0</v>
      </c>
      <c r="AB69" s="108" t="e">
        <f t="shared" si="71"/>
        <v>#REF!</v>
      </c>
      <c r="AD69" s="108" t="e">
        <f t="shared" si="72"/>
        <v>#REF!</v>
      </c>
    </row>
    <row r="70" spans="2:31" ht="14.5" hidden="1" customHeight="1">
      <c r="B70" s="144" t="s">
        <v>67</v>
      </c>
      <c r="C70" s="144"/>
      <c r="D70" s="83" t="s">
        <v>227</v>
      </c>
      <c r="E70" s="83" t="s">
        <v>130</v>
      </c>
      <c r="F70" s="37">
        <f>12000-12000</f>
        <v>0</v>
      </c>
      <c r="G70" s="31">
        <f>SUMIF('Committed Costs '!C:C,B70,'Committed Costs '!G:G)</f>
        <v>0</v>
      </c>
      <c r="H70" s="31">
        <f>SUMIF('Change Orders'!F:F,'Project Detail'!B70,'Change Orders'!E:E)</f>
        <v>0</v>
      </c>
      <c r="I70" s="31">
        <f>SUMIF(Invoices!B:B,B70,Invoices!G:G)</f>
        <v>0</v>
      </c>
      <c r="J70" s="31">
        <v>0</v>
      </c>
      <c r="K70" s="31">
        <f t="shared" si="73"/>
        <v>0</v>
      </c>
      <c r="L70" s="108">
        <f t="shared" si="74"/>
        <v>0</v>
      </c>
      <c r="M70" s="108">
        <f t="shared" si="75"/>
        <v>0</v>
      </c>
      <c r="N70" s="177">
        <f t="shared" si="76"/>
        <v>0</v>
      </c>
      <c r="O70" s="83"/>
      <c r="Q70" s="108">
        <f t="shared" si="69"/>
        <v>0</v>
      </c>
      <c r="S70" s="108"/>
      <c r="T70" s="108"/>
      <c r="U70" s="108" t="e">
        <f>S70+T70+#REF!</f>
        <v>#REF!</v>
      </c>
      <c r="W70" s="108"/>
      <c r="X70" s="108"/>
      <c r="Y70" s="108"/>
      <c r="Z70" s="108">
        <f t="shared" si="70"/>
        <v>0</v>
      </c>
      <c r="AB70" s="108" t="e">
        <f t="shared" si="71"/>
        <v>#REF!</v>
      </c>
      <c r="AD70" s="108" t="e">
        <f t="shared" si="72"/>
        <v>#REF!</v>
      </c>
    </row>
    <row r="71" spans="2:31" ht="14.5" hidden="1" customHeight="1">
      <c r="B71" s="144" t="s">
        <v>68</v>
      </c>
      <c r="C71" s="144"/>
      <c r="D71" s="83" t="s">
        <v>227</v>
      </c>
      <c r="E71" s="83" t="s">
        <v>131</v>
      </c>
      <c r="F71" s="37">
        <f>12000-12000</f>
        <v>0</v>
      </c>
      <c r="G71" s="31">
        <f>SUMIF('Committed Costs '!C:C,B71,'Committed Costs '!G:G)</f>
        <v>0</v>
      </c>
      <c r="H71" s="31">
        <f>SUMIF('Change Orders'!F:F,'Project Detail'!B71,'Change Orders'!E:E)</f>
        <v>0</v>
      </c>
      <c r="I71" s="31">
        <f>SUMIF(Invoices!B:B,B71,Invoices!G:G)</f>
        <v>0</v>
      </c>
      <c r="J71" s="31">
        <v>0</v>
      </c>
      <c r="K71" s="31">
        <f t="shared" si="73"/>
        <v>0</v>
      </c>
      <c r="L71" s="108">
        <f t="shared" si="74"/>
        <v>0</v>
      </c>
      <c r="M71" s="108">
        <f t="shared" si="75"/>
        <v>0</v>
      </c>
      <c r="N71" s="177">
        <f t="shared" si="76"/>
        <v>0</v>
      </c>
      <c r="O71" s="83"/>
      <c r="Q71" s="108">
        <f t="shared" si="69"/>
        <v>0</v>
      </c>
      <c r="S71" s="108"/>
      <c r="T71" s="108"/>
      <c r="U71" s="108" t="e">
        <f>S71+T71+#REF!</f>
        <v>#REF!</v>
      </c>
      <c r="W71" s="108"/>
      <c r="X71" s="108"/>
      <c r="Y71" s="108"/>
      <c r="Z71" s="108">
        <f t="shared" si="70"/>
        <v>0</v>
      </c>
      <c r="AB71" s="108" t="e">
        <f t="shared" si="71"/>
        <v>#REF!</v>
      </c>
      <c r="AD71" s="108" t="e">
        <f t="shared" si="72"/>
        <v>#REF!</v>
      </c>
    </row>
    <row r="72" spans="2:31" ht="14.5" hidden="1" customHeight="1">
      <c r="B72" s="144" t="s">
        <v>69</v>
      </c>
      <c r="C72" s="144"/>
      <c r="D72" s="83" t="s">
        <v>227</v>
      </c>
      <c r="E72" s="83" t="s">
        <v>132</v>
      </c>
      <c r="F72" s="37">
        <f>5000-5000</f>
        <v>0</v>
      </c>
      <c r="G72" s="31">
        <f>SUMIF('Committed Costs '!C:C,B72,'Committed Costs '!G:G)</f>
        <v>0</v>
      </c>
      <c r="H72" s="31">
        <f>SUMIF('Change Orders'!F:F,'Project Detail'!B72,'Change Orders'!E:E)</f>
        <v>0</v>
      </c>
      <c r="I72" s="31">
        <f>SUMIF(Invoices!B:B,B72,Invoices!G:G)</f>
        <v>0</v>
      </c>
      <c r="J72" s="31">
        <v>0</v>
      </c>
      <c r="K72" s="31">
        <f t="shared" si="73"/>
        <v>0</v>
      </c>
      <c r="L72" s="108">
        <f t="shared" si="74"/>
        <v>0</v>
      </c>
      <c r="M72" s="108">
        <f t="shared" si="75"/>
        <v>0</v>
      </c>
      <c r="N72" s="177">
        <f t="shared" si="76"/>
        <v>0</v>
      </c>
      <c r="O72" s="83"/>
      <c r="Q72" s="108">
        <f t="shared" si="69"/>
        <v>0</v>
      </c>
      <c r="S72" s="108"/>
      <c r="T72" s="108"/>
      <c r="U72" s="108" t="e">
        <f>S72+T72+#REF!</f>
        <v>#REF!</v>
      </c>
      <c r="W72" s="108"/>
      <c r="X72" s="108"/>
      <c r="Y72" s="108"/>
      <c r="Z72" s="108">
        <f t="shared" si="70"/>
        <v>0</v>
      </c>
      <c r="AB72" s="108" t="e">
        <f t="shared" si="71"/>
        <v>#REF!</v>
      </c>
      <c r="AD72" s="108" t="e">
        <f t="shared" si="72"/>
        <v>#REF!</v>
      </c>
    </row>
    <row r="73" spans="2:31" ht="14.5" hidden="1" customHeight="1">
      <c r="B73" s="144" t="s">
        <v>70</v>
      </c>
      <c r="C73" s="144"/>
      <c r="D73" s="83" t="s">
        <v>227</v>
      </c>
      <c r="E73" s="83" t="s">
        <v>133</v>
      </c>
      <c r="F73" s="37">
        <f>12000-12000</f>
        <v>0</v>
      </c>
      <c r="G73" s="31">
        <f>SUMIF('Committed Costs '!C:C,B73,'Committed Costs '!G:G)</f>
        <v>0</v>
      </c>
      <c r="H73" s="31">
        <f>SUMIF('Change Orders'!F:F,'Project Detail'!B73,'Change Orders'!E:E)</f>
        <v>0</v>
      </c>
      <c r="I73" s="31">
        <f>SUMIF(Invoices!B:B,B73,Invoices!G:G)</f>
        <v>0</v>
      </c>
      <c r="J73" s="31">
        <v>0</v>
      </c>
      <c r="K73" s="31">
        <f t="shared" si="73"/>
        <v>0</v>
      </c>
      <c r="L73" s="108">
        <f t="shared" si="74"/>
        <v>0</v>
      </c>
      <c r="M73" s="108">
        <f t="shared" si="75"/>
        <v>0</v>
      </c>
      <c r="N73" s="177">
        <f t="shared" si="76"/>
        <v>0</v>
      </c>
      <c r="O73" s="83"/>
      <c r="Q73" s="108">
        <f t="shared" si="69"/>
        <v>0</v>
      </c>
      <c r="S73" s="108"/>
      <c r="T73" s="108"/>
      <c r="U73" s="108" t="e">
        <f>S73+T73+#REF!</f>
        <v>#REF!</v>
      </c>
      <c r="W73" s="108"/>
      <c r="X73" s="108"/>
      <c r="Y73" s="108"/>
      <c r="Z73" s="108">
        <f t="shared" si="70"/>
        <v>0</v>
      </c>
      <c r="AB73" s="108" t="e">
        <f t="shared" si="71"/>
        <v>#REF!</v>
      </c>
      <c r="AD73" s="108" t="e">
        <f t="shared" si="72"/>
        <v>#REF!</v>
      </c>
    </row>
    <row r="74" spans="2:31" ht="14.5" hidden="1" customHeight="1">
      <c r="B74" s="144" t="s">
        <v>71</v>
      </c>
      <c r="C74" s="144"/>
      <c r="D74" s="83" t="s">
        <v>227</v>
      </c>
      <c r="E74" s="83" t="s">
        <v>134</v>
      </c>
      <c r="F74" s="37">
        <f>21000-21000</f>
        <v>0</v>
      </c>
      <c r="G74" s="31">
        <f>SUMIF('Committed Costs '!C:C,B74,'Committed Costs '!G:G)</f>
        <v>0</v>
      </c>
      <c r="H74" s="31">
        <f>SUMIF('Change Orders'!F:F,'Project Detail'!B74,'Change Orders'!E:E)</f>
        <v>0</v>
      </c>
      <c r="I74" s="31">
        <f>SUMIF(Invoices!B:B,B74,Invoices!G:G)</f>
        <v>0</v>
      </c>
      <c r="J74" s="31">
        <v>0</v>
      </c>
      <c r="K74" s="31">
        <f t="shared" si="73"/>
        <v>0</v>
      </c>
      <c r="L74" s="108">
        <f t="shared" si="74"/>
        <v>0</v>
      </c>
      <c r="M74" s="108">
        <f t="shared" si="75"/>
        <v>0</v>
      </c>
      <c r="N74" s="177">
        <f t="shared" si="76"/>
        <v>0</v>
      </c>
      <c r="O74" s="83"/>
      <c r="Q74" s="108">
        <f t="shared" si="69"/>
        <v>0</v>
      </c>
      <c r="S74" s="108"/>
      <c r="T74" s="108"/>
      <c r="U74" s="108" t="e">
        <f>S74+T74+#REF!</f>
        <v>#REF!</v>
      </c>
      <c r="W74" s="108"/>
      <c r="X74" s="108"/>
      <c r="Y74" s="108"/>
      <c r="Z74" s="108">
        <f t="shared" si="70"/>
        <v>0</v>
      </c>
      <c r="AB74" s="108" t="e">
        <f t="shared" si="71"/>
        <v>#REF!</v>
      </c>
      <c r="AD74" s="108" t="e">
        <f t="shared" si="72"/>
        <v>#REF!</v>
      </c>
    </row>
    <row r="75" spans="2:31" ht="14.5" hidden="1" customHeight="1">
      <c r="B75" s="144" t="s">
        <v>72</v>
      </c>
      <c r="C75" s="144"/>
      <c r="D75" s="83" t="s">
        <v>227</v>
      </c>
      <c r="E75" s="83" t="s">
        <v>135</v>
      </c>
      <c r="F75" s="37">
        <f>15000-15000</f>
        <v>0</v>
      </c>
      <c r="G75" s="31">
        <f>SUMIF('Committed Costs '!C:C,B75,'Committed Costs '!G:G)</f>
        <v>0</v>
      </c>
      <c r="H75" s="31">
        <f>SUMIF('Change Orders'!F:F,'Project Detail'!B75,'Change Orders'!E:E)</f>
        <v>0</v>
      </c>
      <c r="I75" s="31">
        <f>SUMIF(Invoices!B:B,B75,Invoices!G:G)</f>
        <v>0</v>
      </c>
      <c r="J75" s="31">
        <v>0</v>
      </c>
      <c r="K75" s="31">
        <f t="shared" si="73"/>
        <v>0</v>
      </c>
      <c r="L75" s="108">
        <f t="shared" si="74"/>
        <v>0</v>
      </c>
      <c r="M75" s="108">
        <f t="shared" si="75"/>
        <v>0</v>
      </c>
      <c r="N75" s="177">
        <f t="shared" si="76"/>
        <v>0</v>
      </c>
      <c r="O75" s="83"/>
      <c r="Q75" s="108">
        <f t="shared" si="69"/>
        <v>0</v>
      </c>
      <c r="S75" s="108"/>
      <c r="T75" s="108"/>
      <c r="U75" s="108" t="e">
        <f>S75+T75+#REF!</f>
        <v>#REF!</v>
      </c>
      <c r="W75" s="108"/>
      <c r="X75" s="108"/>
      <c r="Y75" s="108"/>
      <c r="Z75" s="108">
        <f t="shared" si="70"/>
        <v>0</v>
      </c>
      <c r="AB75" s="108" t="e">
        <f t="shared" si="71"/>
        <v>#REF!</v>
      </c>
      <c r="AD75" s="108" t="e">
        <f t="shared" si="72"/>
        <v>#REF!</v>
      </c>
    </row>
    <row r="76" spans="2:31" ht="14.5" hidden="1" customHeight="1">
      <c r="B76" s="144" t="s">
        <v>73</v>
      </c>
      <c r="C76" s="144"/>
      <c r="D76" s="83" t="s">
        <v>227</v>
      </c>
      <c r="E76" s="83" t="s">
        <v>136</v>
      </c>
      <c r="F76" s="37">
        <f>15000-15000</f>
        <v>0</v>
      </c>
      <c r="G76" s="31">
        <f>SUMIF('Committed Costs '!C:C,B76,'Committed Costs '!G:G)</f>
        <v>0</v>
      </c>
      <c r="H76" s="31">
        <f>SUMIF('Change Orders'!F:F,'Project Detail'!B76,'Change Orders'!E:E)</f>
        <v>0</v>
      </c>
      <c r="I76" s="31">
        <f>SUMIF(Invoices!B:B,B76,Invoices!G:G)</f>
        <v>0</v>
      </c>
      <c r="J76" s="31">
        <v>0</v>
      </c>
      <c r="K76" s="31">
        <f t="shared" si="73"/>
        <v>0</v>
      </c>
      <c r="L76" s="108">
        <f t="shared" si="74"/>
        <v>0</v>
      </c>
      <c r="M76" s="108">
        <f t="shared" si="75"/>
        <v>0</v>
      </c>
      <c r="N76" s="177">
        <f t="shared" si="76"/>
        <v>0</v>
      </c>
      <c r="O76" s="83"/>
      <c r="Q76" s="108">
        <f t="shared" si="69"/>
        <v>0</v>
      </c>
      <c r="S76" s="108"/>
      <c r="T76" s="108"/>
      <c r="U76" s="108" t="e">
        <f>S76+T76+#REF!</f>
        <v>#REF!</v>
      </c>
      <c r="W76" s="108"/>
      <c r="X76" s="108"/>
      <c r="Y76" s="108"/>
      <c r="Z76" s="108">
        <f t="shared" si="70"/>
        <v>0</v>
      </c>
      <c r="AB76" s="108" t="e">
        <f t="shared" si="71"/>
        <v>#REF!</v>
      </c>
      <c r="AD76" s="108" t="e">
        <f t="shared" si="72"/>
        <v>#REF!</v>
      </c>
    </row>
    <row r="77" spans="2:31" hidden="1">
      <c r="B77" s="144" t="s">
        <v>74</v>
      </c>
      <c r="C77" s="144"/>
      <c r="D77" s="83" t="s">
        <v>227</v>
      </c>
      <c r="E77" s="83" t="s">
        <v>137</v>
      </c>
      <c r="F77" s="37">
        <f>5000-5000</f>
        <v>0</v>
      </c>
      <c r="G77" s="31">
        <f>SUMIF('Committed Costs '!C:C,B77,'Committed Costs '!G:G)</f>
        <v>0</v>
      </c>
      <c r="H77" s="31">
        <f>SUMIF('Change Orders'!F:F,'Project Detail'!B77,'Change Orders'!E:E)</f>
        <v>0</v>
      </c>
      <c r="I77" s="31">
        <f>SUMIF(Invoices!B:B,B77,Invoices!G:G)</f>
        <v>0</v>
      </c>
      <c r="J77" s="31">
        <v>0</v>
      </c>
      <c r="K77" s="31">
        <f t="shared" si="73"/>
        <v>0</v>
      </c>
      <c r="L77" s="108">
        <f t="shared" si="74"/>
        <v>0</v>
      </c>
      <c r="M77" s="108">
        <f t="shared" si="75"/>
        <v>0</v>
      </c>
      <c r="N77" s="177">
        <f t="shared" si="76"/>
        <v>0</v>
      </c>
      <c r="O77" s="83"/>
      <c r="Q77" s="108">
        <f t="shared" si="69"/>
        <v>0</v>
      </c>
      <c r="S77" s="108"/>
      <c r="T77" s="108"/>
      <c r="U77" s="108" t="e">
        <f>S77+T77+#REF!</f>
        <v>#REF!</v>
      </c>
      <c r="W77" s="108"/>
      <c r="X77" s="108"/>
      <c r="Y77" s="108"/>
      <c r="Z77" s="108">
        <f t="shared" si="70"/>
        <v>0</v>
      </c>
      <c r="AB77" s="108" t="e">
        <f t="shared" si="71"/>
        <v>#REF!</v>
      </c>
      <c r="AD77" s="108" t="e">
        <f t="shared" si="72"/>
        <v>#REF!</v>
      </c>
    </row>
    <row r="78" spans="2:31" hidden="1">
      <c r="B78" s="144" t="s">
        <v>75</v>
      </c>
      <c r="C78" s="144"/>
      <c r="D78" s="83" t="s">
        <v>227</v>
      </c>
      <c r="E78" s="83" t="s">
        <v>138</v>
      </c>
      <c r="F78" s="37">
        <f>8000-6820.3-1179.7</f>
        <v>0</v>
      </c>
      <c r="G78" s="31">
        <f>SUMIF('Committed Costs '!C:C,B78,'Committed Costs '!G:G)</f>
        <v>0</v>
      </c>
      <c r="H78" s="31">
        <f>SUMIF('Change Orders'!F:F,'Project Detail'!B78,'Change Orders'!E:E)</f>
        <v>0</v>
      </c>
      <c r="I78" s="31">
        <f>SUMIF(Invoices!B:B,B78,Invoices!G:G)</f>
        <v>0</v>
      </c>
      <c r="J78" s="31">
        <v>0</v>
      </c>
      <c r="K78" s="31">
        <f t="shared" si="73"/>
        <v>0</v>
      </c>
      <c r="L78" s="177">
        <f t="shared" si="74"/>
        <v>0</v>
      </c>
      <c r="M78" s="108">
        <v>0</v>
      </c>
      <c r="N78" s="108">
        <f t="shared" si="76"/>
        <v>0</v>
      </c>
      <c r="O78" s="83"/>
      <c r="Q78" s="108">
        <f t="shared" si="69"/>
        <v>0</v>
      </c>
      <c r="S78" s="108"/>
      <c r="T78" s="108"/>
      <c r="U78" s="108" t="e">
        <f>S78+T78+#REF!</f>
        <v>#REF!</v>
      </c>
      <c r="W78" s="108"/>
      <c r="X78" s="108"/>
      <c r="Y78" s="108"/>
      <c r="Z78" s="108">
        <f t="shared" si="70"/>
        <v>0</v>
      </c>
      <c r="AB78" s="108" t="e">
        <f t="shared" si="71"/>
        <v>#REF!</v>
      </c>
      <c r="AD78" s="108" t="e">
        <f t="shared" si="72"/>
        <v>#REF!</v>
      </c>
    </row>
    <row r="79" spans="2:31" hidden="1">
      <c r="B79" s="144" t="s">
        <v>76</v>
      </c>
      <c r="C79" s="144"/>
      <c r="D79" s="83" t="s">
        <v>227</v>
      </c>
      <c r="E79" s="83" t="s">
        <v>139</v>
      </c>
      <c r="F79" s="37">
        <f>4000-4000</f>
        <v>0</v>
      </c>
      <c r="G79" s="31">
        <f>SUMIF('Committed Costs '!C:C,B79,'Committed Costs '!G:G)</f>
        <v>0</v>
      </c>
      <c r="H79" s="31">
        <f>SUMIF('Change Orders'!F:F,'Project Detail'!B79,'Change Orders'!E:E)</f>
        <v>0</v>
      </c>
      <c r="I79" s="31">
        <f>SUMIF(Invoices!B:B,B79,Invoices!G:G)</f>
        <v>0</v>
      </c>
      <c r="J79" s="31">
        <v>0</v>
      </c>
      <c r="K79" s="31">
        <f t="shared" ref="K79" si="77">I79-J79</f>
        <v>0</v>
      </c>
      <c r="L79" s="108">
        <f t="shared" ref="L79:L80" si="78">+M79-G79</f>
        <v>0</v>
      </c>
      <c r="M79" s="108">
        <v>0</v>
      </c>
      <c r="N79" s="108">
        <f t="shared" ref="N79" si="79">F79-M79</f>
        <v>0</v>
      </c>
      <c r="O79" s="83"/>
      <c r="Q79" s="108">
        <f t="shared" si="69"/>
        <v>0</v>
      </c>
      <c r="S79" s="108"/>
      <c r="T79" s="108"/>
      <c r="U79" s="108" t="e">
        <f>S79+T79+#REF!</f>
        <v>#REF!</v>
      </c>
      <c r="W79" s="108"/>
      <c r="X79" s="108"/>
      <c r="Y79" s="108"/>
      <c r="Z79" s="108">
        <f t="shared" si="70"/>
        <v>0</v>
      </c>
      <c r="AB79" s="108" t="e">
        <f t="shared" si="71"/>
        <v>#REF!</v>
      </c>
      <c r="AD79" s="108" t="e">
        <f t="shared" si="72"/>
        <v>#REF!</v>
      </c>
    </row>
    <row r="80" spans="2:31">
      <c r="B80" s="183" t="s">
        <v>246</v>
      </c>
      <c r="C80" s="183"/>
      <c r="D80" s="154" t="s">
        <v>235</v>
      </c>
      <c r="E80" s="154" t="s">
        <v>298</v>
      </c>
      <c r="F80" s="182" t="e">
        <f>'Budget Summary'!#REF!</f>
        <v>#REF!</v>
      </c>
      <c r="G80" s="108">
        <f>SUMIF('Committed Costs '!C:C,B80,'Committed Costs '!G:G)</f>
        <v>0</v>
      </c>
      <c r="H80" s="108">
        <f>SUMIF('Change Orders'!F:F,'Project Detail'!B80,'Change Orders'!E:E)</f>
        <v>0</v>
      </c>
      <c r="I80" s="108">
        <f>SUMIF(Invoices!B:B,B80,Invoices!G:G)</f>
        <v>0</v>
      </c>
      <c r="J80" s="108">
        <v>0</v>
      </c>
      <c r="K80" s="108">
        <f t="shared" ref="K80" si="80">I80-J80</f>
        <v>0</v>
      </c>
      <c r="L80" s="108" t="e">
        <f t="shared" si="78"/>
        <v>#REF!</v>
      </c>
      <c r="M80" s="108" t="e">
        <f>IF((F80+H80)&gt;G80,F80+H80,G80)</f>
        <v>#REF!</v>
      </c>
      <c r="N80" s="108" t="e">
        <f t="shared" ref="N80" si="81">F80-M80</f>
        <v>#REF!</v>
      </c>
      <c r="O80" s="154"/>
      <c r="P80" s="94"/>
      <c r="Q80" s="108" t="e">
        <f>M80-K80</f>
        <v>#REF!</v>
      </c>
      <c r="S80" s="108"/>
      <c r="T80" s="108"/>
      <c r="U80" s="108">
        <f>S80+T80</f>
        <v>0</v>
      </c>
      <c r="W80" s="108"/>
      <c r="X80" s="108"/>
      <c r="Y80" s="108"/>
      <c r="Z80" s="108">
        <f t="shared" si="70"/>
        <v>0</v>
      </c>
      <c r="AB80" s="108">
        <f t="shared" si="71"/>
        <v>0</v>
      </c>
      <c r="AD80" s="108" t="e">
        <f t="shared" si="72"/>
        <v>#REF!</v>
      </c>
      <c r="AE80" s="32"/>
    </row>
    <row r="81" spans="2:31" hidden="1">
      <c r="B81" s="183" t="s">
        <v>273</v>
      </c>
      <c r="C81" s="183"/>
      <c r="D81" s="154"/>
      <c r="E81" s="154"/>
      <c r="F81" s="182">
        <v>0</v>
      </c>
      <c r="G81" s="108">
        <f>SUMIF('Committed Costs '!C:C,B81,'Committed Costs '!G:G)</f>
        <v>0</v>
      </c>
      <c r="H81" s="108">
        <f>SUMIF('Change Orders'!F:F,'Project Detail'!B81,'Change Orders'!E:E)</f>
        <v>0</v>
      </c>
      <c r="I81" s="108">
        <f>SUMIF(Invoices!B:B,B81,Invoices!G:G)</f>
        <v>0</v>
      </c>
      <c r="J81" s="108">
        <v>0</v>
      </c>
      <c r="K81" s="108">
        <f t="shared" ref="K81" si="82">I81-J81</f>
        <v>0</v>
      </c>
      <c r="L81" s="108">
        <f t="shared" ref="L81" si="83">+M81-G81</f>
        <v>0</v>
      </c>
      <c r="M81" s="108">
        <f>IF((F81+H81)&gt;G81,F81+H81,G81)</f>
        <v>0</v>
      </c>
      <c r="N81" s="108">
        <f t="shared" ref="N81" si="84">F81-M81</f>
        <v>0</v>
      </c>
      <c r="O81" s="154"/>
      <c r="P81" s="94"/>
      <c r="Q81" s="108"/>
      <c r="S81" s="108"/>
      <c r="T81" s="108"/>
      <c r="U81" s="108"/>
      <c r="W81" s="108"/>
      <c r="X81" s="108"/>
      <c r="Y81" s="108"/>
      <c r="Z81" s="108"/>
      <c r="AB81" s="108"/>
      <c r="AD81" s="108"/>
      <c r="AE81" s="32"/>
    </row>
    <row r="82" spans="2:31" ht="15" customHeight="1">
      <c r="B82" s="144"/>
      <c r="C82" s="144">
        <v>301</v>
      </c>
      <c r="D82" s="205"/>
      <c r="E82" s="179" t="s">
        <v>124</v>
      </c>
      <c r="F82" s="186" t="e">
        <f>SUM(F64:F81)</f>
        <v>#REF!</v>
      </c>
      <c r="G82" s="186">
        <f>SUM(G64:G81)</f>
        <v>0</v>
      </c>
      <c r="H82" s="186">
        <f t="shared" ref="H82:N82" si="85">SUM(H64:H81)</f>
        <v>0</v>
      </c>
      <c r="I82" s="186">
        <f t="shared" si="85"/>
        <v>0</v>
      </c>
      <c r="J82" s="186">
        <f t="shared" si="85"/>
        <v>0</v>
      </c>
      <c r="K82" s="186">
        <f t="shared" si="85"/>
        <v>0</v>
      </c>
      <c r="L82" s="186" t="e">
        <f t="shared" si="85"/>
        <v>#REF!</v>
      </c>
      <c r="M82" s="186" t="e">
        <f t="shared" si="85"/>
        <v>#REF!</v>
      </c>
      <c r="N82" s="186" t="e">
        <f t="shared" si="85"/>
        <v>#REF!</v>
      </c>
      <c r="O82" s="13"/>
      <c r="Q82" s="186" t="e">
        <f>SUM(Q64:Q80)</f>
        <v>#REF!</v>
      </c>
      <c r="S82" s="186">
        <f>SUM(S64:S80)</f>
        <v>0</v>
      </c>
      <c r="T82" s="186">
        <f t="shared" ref="T82" si="86">SUM(T64:T80)</f>
        <v>0</v>
      </c>
      <c r="U82" s="186">
        <f>U64+U80</f>
        <v>0</v>
      </c>
      <c r="W82" s="186">
        <f t="shared" ref="W82:Z82" si="87">SUM(W64:W80)</f>
        <v>0</v>
      </c>
      <c r="X82" s="186">
        <f t="shared" si="87"/>
        <v>0</v>
      </c>
      <c r="Y82" s="186">
        <f t="shared" si="87"/>
        <v>0</v>
      </c>
      <c r="Z82" s="186">
        <f t="shared" si="87"/>
        <v>0</v>
      </c>
      <c r="AB82" s="186">
        <f>AB64+AB80</f>
        <v>0</v>
      </c>
      <c r="AD82" s="186" t="e">
        <f>AD64+AD80</f>
        <v>#REF!</v>
      </c>
    </row>
    <row r="83" spans="2:31" ht="15" customHeight="1">
      <c r="B83" s="206">
        <v>302</v>
      </c>
      <c r="C83" s="207"/>
      <c r="D83" s="208" t="s">
        <v>60</v>
      </c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10"/>
      <c r="Q83" s="118"/>
      <c r="S83" s="209"/>
      <c r="T83" s="209"/>
      <c r="U83" s="209"/>
      <c r="W83" s="209"/>
      <c r="X83" s="209"/>
      <c r="Y83" s="209"/>
      <c r="Z83" s="209"/>
      <c r="AB83" s="209"/>
      <c r="AD83" s="118"/>
    </row>
    <row r="84" spans="2:31" ht="14.5" customHeight="1">
      <c r="B84" s="144" t="s">
        <v>77</v>
      </c>
      <c r="C84" s="144"/>
      <c r="D84" s="83" t="s">
        <v>96</v>
      </c>
      <c r="E84" s="83" t="s">
        <v>141</v>
      </c>
      <c r="F84" s="182">
        <f>'Budget Summary'!D50</f>
        <v>1317000</v>
      </c>
      <c r="G84" s="31">
        <f>SUMIF('Committed Costs '!C:C,B84,'Committed Costs '!G:G)</f>
        <v>0</v>
      </c>
      <c r="H84" s="31">
        <f>SUMIF('Change Orders'!F:F,'Project Detail'!B84,'Change Orders'!E:E)</f>
        <v>0</v>
      </c>
      <c r="I84" s="31">
        <f>SUMIF(Invoices!B:B,B84,Invoices!G:G)</f>
        <v>0</v>
      </c>
      <c r="J84" s="31">
        <v>0</v>
      </c>
      <c r="K84" s="31">
        <f t="shared" ref="K84" si="88">I84-J84</f>
        <v>0</v>
      </c>
      <c r="L84" s="108">
        <f>+M84-G84</f>
        <v>0</v>
      </c>
      <c r="M84" s="108">
        <f>G84</f>
        <v>0</v>
      </c>
      <c r="N84" s="108">
        <f>F84-M84</f>
        <v>1317000</v>
      </c>
      <c r="O84" s="83"/>
      <c r="Q84" s="108">
        <f t="shared" ref="Q84:Q87" si="89">M84-K84</f>
        <v>0</v>
      </c>
      <c r="S84" s="108"/>
      <c r="T84" s="108"/>
      <c r="U84" s="108">
        <f>S84+T84</f>
        <v>0</v>
      </c>
      <c r="W84" s="108"/>
      <c r="X84" s="108"/>
      <c r="Y84" s="108"/>
      <c r="Z84" s="108">
        <f t="shared" ref="Z84:Z87" si="90">W84+X84+Y84</f>
        <v>0</v>
      </c>
      <c r="AB84" s="108">
        <f t="shared" ref="AB84:AB87" si="91">U84+Z84</f>
        <v>0</v>
      </c>
      <c r="AD84" s="108">
        <f t="shared" ref="AD84:AD87" si="92">Q84-AB84</f>
        <v>0</v>
      </c>
    </row>
    <row r="85" spans="2:31" ht="14.5" customHeight="1">
      <c r="B85" s="144" t="s">
        <v>78</v>
      </c>
      <c r="C85" s="144"/>
      <c r="D85" s="83" t="s">
        <v>228</v>
      </c>
      <c r="E85" s="83" t="s">
        <v>241</v>
      </c>
      <c r="F85" s="85">
        <f>'Budget Summary'!D51</f>
        <v>0</v>
      </c>
      <c r="G85" s="31">
        <f>SUMIF('Committed Costs '!C:C,B85,'Committed Costs '!G:G)</f>
        <v>0</v>
      </c>
      <c r="H85" s="31">
        <f>SUMIF('Change Orders'!F:F,'Project Detail'!B85,'Change Orders'!E:E)</f>
        <v>0</v>
      </c>
      <c r="I85" s="31">
        <f>SUMIF(Invoices!B:B,B85,Invoices!G:G)</f>
        <v>0</v>
      </c>
      <c r="J85" s="31">
        <v>0</v>
      </c>
      <c r="K85" s="31">
        <f>I85-J85</f>
        <v>0</v>
      </c>
      <c r="L85" s="31">
        <f>+M85-G85</f>
        <v>0</v>
      </c>
      <c r="M85" s="31">
        <f>G85</f>
        <v>0</v>
      </c>
      <c r="N85" s="31">
        <f>F85-M85</f>
        <v>0</v>
      </c>
      <c r="O85" s="83"/>
      <c r="P85" s="32"/>
      <c r="Q85" s="108">
        <f t="shared" si="89"/>
        <v>0</v>
      </c>
      <c r="S85" s="31"/>
      <c r="T85" s="31"/>
      <c r="U85" s="108">
        <f>S85+T85</f>
        <v>0</v>
      </c>
      <c r="W85" s="31"/>
      <c r="X85" s="31"/>
      <c r="Y85" s="31"/>
      <c r="Z85" s="108">
        <f t="shared" si="90"/>
        <v>0</v>
      </c>
      <c r="AB85" s="108">
        <f t="shared" si="91"/>
        <v>0</v>
      </c>
      <c r="AD85" s="108">
        <f t="shared" si="92"/>
        <v>0</v>
      </c>
    </row>
    <row r="86" spans="2:31" ht="14.5" customHeight="1">
      <c r="B86" s="144" t="s">
        <v>79</v>
      </c>
      <c r="C86" s="144"/>
      <c r="D86" s="83" t="s">
        <v>228</v>
      </c>
      <c r="E86" s="83" t="s">
        <v>249</v>
      </c>
      <c r="F86" s="85" t="e">
        <f>'Budget Summary'!#REF!</f>
        <v>#REF!</v>
      </c>
      <c r="G86" s="31">
        <f>SUMIF('Committed Costs '!C:C,B86,'Committed Costs '!G:G)</f>
        <v>0</v>
      </c>
      <c r="H86" s="31">
        <f>SUMIF('Change Orders'!F:F,'Project Detail'!B86,'Change Orders'!E:E)</f>
        <v>0</v>
      </c>
      <c r="I86" s="31">
        <f>SUMIF(Invoices!B:B,B86,Invoices!G:G)</f>
        <v>0</v>
      </c>
      <c r="J86" s="31">
        <v>0</v>
      </c>
      <c r="K86" s="31">
        <f>I86-J86</f>
        <v>0</v>
      </c>
      <c r="L86" s="31">
        <f>+M86-G86</f>
        <v>0</v>
      </c>
      <c r="M86" s="31">
        <v>0</v>
      </c>
      <c r="N86" s="31" t="e">
        <f>F86-M86</f>
        <v>#REF!</v>
      </c>
      <c r="O86" s="83"/>
      <c r="Q86" s="108">
        <f t="shared" si="89"/>
        <v>0</v>
      </c>
      <c r="S86" s="108"/>
      <c r="T86" s="108"/>
      <c r="U86" s="108">
        <f>S86+T86</f>
        <v>0</v>
      </c>
      <c r="W86" s="108"/>
      <c r="X86" s="108"/>
      <c r="Y86" s="108"/>
      <c r="Z86" s="108">
        <f t="shared" si="90"/>
        <v>0</v>
      </c>
      <c r="AB86" s="108">
        <f t="shared" si="91"/>
        <v>0</v>
      </c>
      <c r="AD86" s="108">
        <f t="shared" si="92"/>
        <v>0</v>
      </c>
    </row>
    <row r="87" spans="2:31" ht="14.5" hidden="1" customHeight="1">
      <c r="B87" s="144" t="s">
        <v>248</v>
      </c>
      <c r="C87" s="144"/>
      <c r="D87" s="83"/>
      <c r="E87" s="83"/>
      <c r="F87" s="85">
        <v>0</v>
      </c>
      <c r="G87" s="31">
        <f>SUMIF('Committed Costs '!C:C,B87,'Committed Costs '!G:G)</f>
        <v>0</v>
      </c>
      <c r="H87" s="31">
        <f>SUMIF('Change Orders'!F:F,'Project Detail'!B87,'Change Orders'!E:E)</f>
        <v>0</v>
      </c>
      <c r="I87" s="31">
        <f>SUMIF(Invoices!B:B,B87,Invoices!G:G)</f>
        <v>0</v>
      </c>
      <c r="J87" s="31">
        <v>0</v>
      </c>
      <c r="K87" s="31">
        <f>I87-J87</f>
        <v>0</v>
      </c>
      <c r="L87" s="108">
        <f>+M87-G87</f>
        <v>0</v>
      </c>
      <c r="M87" s="108">
        <f>IF((F87+H87)&gt;G87,F87+H87,G87)</f>
        <v>0</v>
      </c>
      <c r="N87" s="108">
        <f>F87-M87</f>
        <v>0</v>
      </c>
      <c r="O87" s="83"/>
      <c r="Q87" s="108">
        <f t="shared" si="89"/>
        <v>0</v>
      </c>
      <c r="S87" s="108"/>
      <c r="T87" s="108"/>
      <c r="U87" s="108">
        <f>S87+T87</f>
        <v>0</v>
      </c>
      <c r="W87" s="108"/>
      <c r="X87" s="108"/>
      <c r="Y87" s="108"/>
      <c r="Z87" s="108">
        <f t="shared" si="90"/>
        <v>0</v>
      </c>
      <c r="AB87" s="108">
        <f t="shared" si="91"/>
        <v>0</v>
      </c>
      <c r="AD87" s="108">
        <f t="shared" si="92"/>
        <v>0</v>
      </c>
    </row>
    <row r="88" spans="2:31" ht="15" customHeight="1">
      <c r="B88" s="144"/>
      <c r="C88" s="144">
        <v>302</v>
      </c>
      <c r="D88" s="205"/>
      <c r="E88" s="179" t="s">
        <v>140</v>
      </c>
      <c r="F88" s="186" t="e">
        <f>SUM(F84:F87)</f>
        <v>#REF!</v>
      </c>
      <c r="G88" s="186">
        <f t="shared" ref="G88:N88" si="93">SUM(G84:G87)</f>
        <v>0</v>
      </c>
      <c r="H88" s="186">
        <f t="shared" si="93"/>
        <v>0</v>
      </c>
      <c r="I88" s="186">
        <f t="shared" si="93"/>
        <v>0</v>
      </c>
      <c r="J88" s="186">
        <f t="shared" si="93"/>
        <v>0</v>
      </c>
      <c r="K88" s="186">
        <f t="shared" si="93"/>
        <v>0</v>
      </c>
      <c r="L88" s="186">
        <f t="shared" si="93"/>
        <v>0</v>
      </c>
      <c r="M88" s="186">
        <f t="shared" si="93"/>
        <v>0</v>
      </c>
      <c r="N88" s="186" t="e">
        <f t="shared" si="93"/>
        <v>#REF!</v>
      </c>
      <c r="O88" s="13"/>
      <c r="Q88" s="186">
        <f>SUM(Q84:Q87)</f>
        <v>0</v>
      </c>
      <c r="S88" s="186">
        <f>SUM(S84:S87)</f>
        <v>0</v>
      </c>
      <c r="T88" s="186">
        <f t="shared" ref="T88:U88" si="94">SUM(T84:T87)</f>
        <v>0</v>
      </c>
      <c r="U88" s="186">
        <f t="shared" si="94"/>
        <v>0</v>
      </c>
      <c r="W88" s="186">
        <f t="shared" ref="W88:Z88" si="95">SUM(W84:W87)</f>
        <v>0</v>
      </c>
      <c r="X88" s="186">
        <f t="shared" si="95"/>
        <v>0</v>
      </c>
      <c r="Y88" s="186">
        <f t="shared" si="95"/>
        <v>0</v>
      </c>
      <c r="Z88" s="186">
        <f t="shared" si="95"/>
        <v>0</v>
      </c>
      <c r="AB88" s="186">
        <f>SUM(AB84:AB87)</f>
        <v>0</v>
      </c>
      <c r="AD88" s="186">
        <f>SUM(AD84:AD87)</f>
        <v>0</v>
      </c>
    </row>
    <row r="89" spans="2:31" ht="15" customHeight="1">
      <c r="B89" s="206">
        <v>303</v>
      </c>
      <c r="C89" s="207"/>
      <c r="D89" s="208" t="s">
        <v>154</v>
      </c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10"/>
      <c r="Q89" s="118"/>
      <c r="S89" s="209"/>
      <c r="T89" s="209"/>
      <c r="U89" s="209"/>
      <c r="W89" s="209"/>
      <c r="X89" s="209"/>
      <c r="Y89" s="209"/>
      <c r="Z89" s="209"/>
      <c r="AB89" s="209"/>
      <c r="AD89" s="118"/>
    </row>
    <row r="90" spans="2:31" ht="14.5" customHeight="1">
      <c r="B90" s="144" t="s">
        <v>142</v>
      </c>
      <c r="C90" s="144"/>
      <c r="D90" s="139" t="s">
        <v>235</v>
      </c>
      <c r="E90" s="83" t="s">
        <v>237</v>
      </c>
      <c r="F90" s="85">
        <f>'Budget Summary'!D52</f>
        <v>220000</v>
      </c>
      <c r="G90" s="31">
        <f>SUMIF('Committed Costs '!C:C,B90,'Committed Costs '!G:G)</f>
        <v>0</v>
      </c>
      <c r="H90" s="31">
        <f>SUMIF('Change Orders'!F:F,'Project Detail'!B90,'Change Orders'!E:E)</f>
        <v>0</v>
      </c>
      <c r="I90" s="31">
        <f>SUMIF(Invoices!B:B,B90,Invoices!G:G)</f>
        <v>0</v>
      </c>
      <c r="J90" s="31">
        <v>0</v>
      </c>
      <c r="K90" s="31">
        <f t="shared" ref="K90:K91" si="96">I90-J90</f>
        <v>0</v>
      </c>
      <c r="L90" s="38">
        <f>+M90-G90</f>
        <v>220000</v>
      </c>
      <c r="M90" s="108">
        <f>IF((F90+H90)&gt;G90,F90+H90,G90)</f>
        <v>220000</v>
      </c>
      <c r="N90" s="108">
        <f t="shared" ref="N90:N91" si="97">F90-M90</f>
        <v>0</v>
      </c>
      <c r="O90" s="83"/>
      <c r="Q90" s="108">
        <f t="shared" ref="Q90:Q91" si="98">M90-K90</f>
        <v>220000</v>
      </c>
      <c r="S90" s="108"/>
      <c r="T90" s="108"/>
      <c r="U90" s="108">
        <f>S90+T90</f>
        <v>0</v>
      </c>
      <c r="W90" s="108"/>
      <c r="X90" s="108"/>
      <c r="Y90" s="108"/>
      <c r="Z90" s="108">
        <f t="shared" ref="Z90:Z91" si="99">W90+X90+Y90</f>
        <v>0</v>
      </c>
      <c r="AB90" s="108">
        <f t="shared" ref="AB90:AB91" si="100">U90+Z90</f>
        <v>0</v>
      </c>
      <c r="AD90" s="108">
        <f t="shared" ref="AD90:AD91" si="101">Q90-AB90</f>
        <v>220000</v>
      </c>
    </row>
    <row r="91" spans="2:31" ht="14.5" customHeight="1">
      <c r="B91" s="183" t="s">
        <v>143</v>
      </c>
      <c r="C91" s="183"/>
      <c r="D91" s="154" t="s">
        <v>258</v>
      </c>
      <c r="E91" s="154" t="s">
        <v>744</v>
      </c>
      <c r="F91" s="182">
        <f>'Budget Summary'!D53</f>
        <v>200000</v>
      </c>
      <c r="G91" s="218">
        <f>SUMIF('Committed Costs '!C:C,B91,'Committed Costs '!G:G)</f>
        <v>0</v>
      </c>
      <c r="H91" s="218">
        <f>SUMIF('Change Orders'!F:F,'Project Detail'!B91,'Change Orders'!E:E)</f>
        <v>0</v>
      </c>
      <c r="I91" s="218">
        <f>SUMIF(Invoices!B:B,B91,Invoices!G:G)</f>
        <v>0</v>
      </c>
      <c r="J91" s="218">
        <v>0</v>
      </c>
      <c r="K91" s="218">
        <f t="shared" si="96"/>
        <v>0</v>
      </c>
      <c r="L91" s="177">
        <f t="shared" ref="L91" si="102">+M91-G91</f>
        <v>200000</v>
      </c>
      <c r="M91" s="108">
        <f>IF((F91+H91)&gt;G91,F91+H91,G91)</f>
        <v>200000</v>
      </c>
      <c r="N91" s="108">
        <f t="shared" si="97"/>
        <v>0</v>
      </c>
      <c r="O91" s="154"/>
      <c r="P91"/>
      <c r="Q91" s="108">
        <f t="shared" si="98"/>
        <v>200000</v>
      </c>
      <c r="R91"/>
      <c r="S91" s="108"/>
      <c r="T91" s="108"/>
      <c r="U91" s="108">
        <f>S91+T91</f>
        <v>0</v>
      </c>
      <c r="V91"/>
      <c r="W91" s="108"/>
      <c r="X91" s="108"/>
      <c r="Y91" s="108"/>
      <c r="Z91" s="108">
        <f t="shared" si="99"/>
        <v>0</v>
      </c>
      <c r="AA91"/>
      <c r="AB91" s="108">
        <f t="shared" si="100"/>
        <v>0</v>
      </c>
      <c r="AC91"/>
      <c r="AD91" s="108">
        <f t="shared" si="101"/>
        <v>200000</v>
      </c>
    </row>
    <row r="92" spans="2:31" ht="15" customHeight="1">
      <c r="B92" s="144"/>
      <c r="C92" s="144">
        <v>303</v>
      </c>
      <c r="D92" s="205"/>
      <c r="E92" s="179" t="s">
        <v>155</v>
      </c>
      <c r="F92" s="186">
        <f>SUM(F90:F91)</f>
        <v>420000</v>
      </c>
      <c r="G92" s="186">
        <f t="shared" ref="G92:N92" si="103">SUM(G90:G91)</f>
        <v>0</v>
      </c>
      <c r="H92" s="186">
        <f t="shared" si="103"/>
        <v>0</v>
      </c>
      <c r="I92" s="186">
        <f t="shared" si="103"/>
        <v>0</v>
      </c>
      <c r="J92" s="186">
        <f t="shared" si="103"/>
        <v>0</v>
      </c>
      <c r="K92" s="186">
        <f t="shared" si="103"/>
        <v>0</v>
      </c>
      <c r="L92" s="186">
        <f t="shared" si="103"/>
        <v>420000</v>
      </c>
      <c r="M92" s="186">
        <f t="shared" si="103"/>
        <v>420000</v>
      </c>
      <c r="N92" s="186">
        <f t="shared" si="103"/>
        <v>0</v>
      </c>
      <c r="O92" s="13"/>
      <c r="Q92" s="186">
        <f>SUM(Q90:Q91)</f>
        <v>420000</v>
      </c>
      <c r="S92" s="186">
        <f>SUM(S90:S91)</f>
        <v>0</v>
      </c>
      <c r="T92" s="186">
        <f>SUM(T90:T91)</f>
        <v>0</v>
      </c>
      <c r="U92" s="186">
        <f>SUM(U90:U91)</f>
        <v>0</v>
      </c>
      <c r="W92" s="186">
        <f>SUM(W90:W91)</f>
        <v>0</v>
      </c>
      <c r="X92" s="186">
        <f>SUM(X90:X91)</f>
        <v>0</v>
      </c>
      <c r="Y92" s="186">
        <f>SUM(Y90:Y91)</f>
        <v>0</v>
      </c>
      <c r="Z92" s="186">
        <f>SUM(Z90:Z91)</f>
        <v>0</v>
      </c>
      <c r="AB92" s="186">
        <f>SUM(AB90:AB91)</f>
        <v>0</v>
      </c>
      <c r="AD92" s="186">
        <f>SUM(AD90:AD91)</f>
        <v>420000</v>
      </c>
    </row>
    <row r="93" spans="2:31" ht="15" customHeight="1">
      <c r="B93" s="206">
        <v>304</v>
      </c>
      <c r="C93" s="207"/>
      <c r="D93" s="208" t="s">
        <v>81</v>
      </c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10"/>
      <c r="Q93" s="118"/>
      <c r="S93" s="209"/>
      <c r="T93" s="209"/>
      <c r="U93" s="209"/>
      <c r="W93" s="209"/>
      <c r="X93" s="209"/>
      <c r="Y93" s="209"/>
      <c r="Z93" s="209"/>
      <c r="AB93" s="209"/>
      <c r="AD93" s="118"/>
    </row>
    <row r="94" spans="2:31" ht="14.5" customHeight="1">
      <c r="B94" s="144" t="s">
        <v>144</v>
      </c>
      <c r="C94" s="144"/>
      <c r="D94" s="83" t="s">
        <v>254</v>
      </c>
      <c r="E94" s="83" t="s">
        <v>247</v>
      </c>
      <c r="F94" s="85">
        <f>'Budget Summary'!D54</f>
        <v>65000</v>
      </c>
      <c r="G94" s="31">
        <f>SUMIF('Committed Costs '!C:C,B94,'Committed Costs '!G:G)</f>
        <v>0</v>
      </c>
      <c r="H94" s="31">
        <f>SUMIF('Change Orders'!F:F,'Project Detail'!B94,'Change Orders'!E:E)</f>
        <v>0</v>
      </c>
      <c r="I94" s="31">
        <f>SUMIF(Invoices!B:B,B94,Invoices!G:G)</f>
        <v>0</v>
      </c>
      <c r="J94" s="31">
        <v>0</v>
      </c>
      <c r="K94" s="31">
        <f>I94-J94</f>
        <v>0</v>
      </c>
      <c r="L94" s="108">
        <f>+M94-G94</f>
        <v>0</v>
      </c>
      <c r="M94" s="108">
        <f>G94</f>
        <v>0</v>
      </c>
      <c r="N94" s="108">
        <f>F94-M94</f>
        <v>65000</v>
      </c>
      <c r="O94" s="187"/>
      <c r="Q94" s="108">
        <f>M94-K94</f>
        <v>0</v>
      </c>
      <c r="S94" s="108"/>
      <c r="T94" s="108"/>
      <c r="U94" s="108">
        <f>S94+T94</f>
        <v>0</v>
      </c>
      <c r="W94" s="108"/>
      <c r="X94" s="108"/>
      <c r="Y94" s="108"/>
      <c r="Z94" s="108">
        <f t="shared" ref="Z94:Z98" si="104">W94+X94+Y94</f>
        <v>0</v>
      </c>
      <c r="AB94" s="108">
        <f t="shared" ref="AB94:AB98" si="105">U94+Z94</f>
        <v>0</v>
      </c>
      <c r="AD94" s="108">
        <f>Q94-AB94</f>
        <v>0</v>
      </c>
      <c r="AE94" s="32"/>
    </row>
    <row r="95" spans="2:31" ht="14.5" hidden="1" customHeight="1">
      <c r="B95" s="183" t="s">
        <v>145</v>
      </c>
      <c r="C95" s="183"/>
      <c r="D95" s="154" t="s">
        <v>227</v>
      </c>
      <c r="E95" s="154" t="s">
        <v>240</v>
      </c>
      <c r="F95" s="85">
        <f>600-600</f>
        <v>0</v>
      </c>
      <c r="G95" s="108">
        <f>SUMIF('Committed Costs '!C:C,B95,'Committed Costs '!G:G)</f>
        <v>0</v>
      </c>
      <c r="H95" s="108">
        <f>SUMIF('Change Orders'!F:F,'Project Detail'!B95,'Change Orders'!E:E)</f>
        <v>0</v>
      </c>
      <c r="I95" s="108">
        <f>SUMIF(Invoices!B:B,B95,Invoices!G:G)</f>
        <v>0</v>
      </c>
      <c r="J95" s="108">
        <v>0</v>
      </c>
      <c r="K95" s="108">
        <f t="shared" ref="K95:K98" si="106">I95-J95</f>
        <v>0</v>
      </c>
      <c r="L95" s="108">
        <f t="shared" ref="L95:L98" si="107">+M95-G95</f>
        <v>0</v>
      </c>
      <c r="M95" s="108">
        <f t="shared" ref="M95:M98" si="108">IF((F95+H95)&gt;G95,F95+H95,G95)</f>
        <v>0</v>
      </c>
      <c r="N95" s="31">
        <f t="shared" ref="N95:N98" si="109">F95-M95</f>
        <v>0</v>
      </c>
      <c r="O95" s="13"/>
      <c r="Q95" s="108">
        <f t="shared" ref="Q95:Q98" si="110">G95-K95</f>
        <v>0</v>
      </c>
      <c r="S95" s="108"/>
      <c r="T95" s="108"/>
      <c r="U95" s="108" t="e">
        <f>S95+T95+#REF!</f>
        <v>#REF!</v>
      </c>
      <c r="W95" s="108"/>
      <c r="X95" s="108"/>
      <c r="Y95" s="108"/>
      <c r="Z95" s="108">
        <f t="shared" si="104"/>
        <v>0</v>
      </c>
      <c r="AB95" s="108" t="e">
        <f t="shared" si="105"/>
        <v>#REF!</v>
      </c>
      <c r="AD95" s="108"/>
    </row>
    <row r="96" spans="2:31" ht="14.5" hidden="1" customHeight="1">
      <c r="B96" s="183" t="s">
        <v>146</v>
      </c>
      <c r="C96" s="183"/>
      <c r="D96" s="154" t="s">
        <v>227</v>
      </c>
      <c r="E96" s="154" t="s">
        <v>156</v>
      </c>
      <c r="F96" s="85">
        <f>1000-1000</f>
        <v>0</v>
      </c>
      <c r="G96" s="108">
        <f>SUMIF('Committed Costs '!C:C,B96,'Committed Costs '!G:G)</f>
        <v>0</v>
      </c>
      <c r="H96" s="108">
        <f>SUMIF('Change Orders'!F:F,'Project Detail'!B96,'Change Orders'!E:E)</f>
        <v>0</v>
      </c>
      <c r="I96" s="108">
        <f>SUMIF(Invoices!B:B,B96,Invoices!G:G)</f>
        <v>0</v>
      </c>
      <c r="J96" s="108">
        <v>0</v>
      </c>
      <c r="K96" s="108">
        <f t="shared" si="106"/>
        <v>0</v>
      </c>
      <c r="L96" s="108">
        <f t="shared" si="107"/>
        <v>0</v>
      </c>
      <c r="M96" s="108">
        <f t="shared" si="108"/>
        <v>0</v>
      </c>
      <c r="N96" s="31">
        <f t="shared" si="109"/>
        <v>0</v>
      </c>
      <c r="O96" s="13"/>
      <c r="Q96" s="108">
        <f t="shared" si="110"/>
        <v>0</v>
      </c>
      <c r="S96" s="108"/>
      <c r="T96" s="108"/>
      <c r="U96" s="108" t="e">
        <f>S96+T96+#REF!</f>
        <v>#REF!</v>
      </c>
      <c r="W96" s="108"/>
      <c r="X96" s="108"/>
      <c r="Y96" s="108"/>
      <c r="Z96" s="108">
        <f t="shared" si="104"/>
        <v>0</v>
      </c>
      <c r="AB96" s="108" t="e">
        <f t="shared" si="105"/>
        <v>#REF!</v>
      </c>
      <c r="AD96" s="108"/>
    </row>
    <row r="97" spans="2:30" ht="14.5" hidden="1" customHeight="1">
      <c r="B97" s="183" t="s">
        <v>147</v>
      </c>
      <c r="C97" s="183"/>
      <c r="D97" s="154" t="s">
        <v>227</v>
      </c>
      <c r="E97" s="154" t="s">
        <v>158</v>
      </c>
      <c r="F97" s="85">
        <f>800-800</f>
        <v>0</v>
      </c>
      <c r="G97" s="108">
        <f>SUMIF('Committed Costs '!C:C,B97,'Committed Costs '!G:G)</f>
        <v>0</v>
      </c>
      <c r="H97" s="108">
        <f>SUMIF('Change Orders'!F:F,'Project Detail'!B97,'Change Orders'!E:E)</f>
        <v>0</v>
      </c>
      <c r="I97" s="108">
        <f>SUMIF(Invoices!B:B,B97,Invoices!G:G)</f>
        <v>0</v>
      </c>
      <c r="J97" s="108">
        <v>0</v>
      </c>
      <c r="K97" s="108">
        <f t="shared" si="106"/>
        <v>0</v>
      </c>
      <c r="L97" s="108">
        <f t="shared" si="107"/>
        <v>0</v>
      </c>
      <c r="M97" s="108">
        <f t="shared" si="108"/>
        <v>0</v>
      </c>
      <c r="N97" s="31">
        <f t="shared" si="109"/>
        <v>0</v>
      </c>
      <c r="O97" s="13"/>
      <c r="Q97" s="108">
        <f t="shared" si="110"/>
        <v>0</v>
      </c>
      <c r="S97" s="108"/>
      <c r="T97" s="108"/>
      <c r="U97" s="108" t="e">
        <f>S97+T97+#REF!</f>
        <v>#REF!</v>
      </c>
      <c r="W97" s="108"/>
      <c r="X97" s="108"/>
      <c r="Y97" s="108"/>
      <c r="Z97" s="108">
        <f t="shared" si="104"/>
        <v>0</v>
      </c>
      <c r="AB97" s="108" t="e">
        <f t="shared" si="105"/>
        <v>#REF!</v>
      </c>
      <c r="AD97" s="108"/>
    </row>
    <row r="98" spans="2:30" ht="14.5" hidden="1" customHeight="1">
      <c r="B98" s="183" t="s">
        <v>148</v>
      </c>
      <c r="C98" s="183"/>
      <c r="D98" s="154" t="s">
        <v>227</v>
      </c>
      <c r="E98" s="154" t="s">
        <v>157</v>
      </c>
      <c r="F98" s="85">
        <f>800-800</f>
        <v>0</v>
      </c>
      <c r="G98" s="108">
        <f>SUMIF('Committed Costs '!C:C,B98,'Committed Costs '!G:G)</f>
        <v>0</v>
      </c>
      <c r="H98" s="108">
        <f>SUMIF('Change Orders'!F:F,'Project Detail'!B98,'Change Orders'!E:E)</f>
        <v>0</v>
      </c>
      <c r="I98" s="108">
        <f>SUMIF(Invoices!B:B,B98,Invoices!G:G)</f>
        <v>0</v>
      </c>
      <c r="J98" s="108">
        <v>0</v>
      </c>
      <c r="K98" s="108">
        <f t="shared" si="106"/>
        <v>0</v>
      </c>
      <c r="L98" s="108">
        <f t="shared" si="107"/>
        <v>0</v>
      </c>
      <c r="M98" s="108">
        <f t="shared" si="108"/>
        <v>0</v>
      </c>
      <c r="N98" s="31">
        <f t="shared" si="109"/>
        <v>0</v>
      </c>
      <c r="O98" s="13"/>
      <c r="Q98" s="108">
        <f t="shared" si="110"/>
        <v>0</v>
      </c>
      <c r="S98" s="108"/>
      <c r="T98" s="108"/>
      <c r="U98" s="108" t="e">
        <f>S98+T98+#REF!</f>
        <v>#REF!</v>
      </c>
      <c r="W98" s="108"/>
      <c r="X98" s="108"/>
      <c r="Y98" s="108"/>
      <c r="Z98" s="108">
        <f t="shared" si="104"/>
        <v>0</v>
      </c>
      <c r="AB98" s="108" t="e">
        <f t="shared" si="105"/>
        <v>#REF!</v>
      </c>
      <c r="AD98" s="108"/>
    </row>
    <row r="99" spans="2:30" ht="15" customHeight="1">
      <c r="B99" s="144"/>
      <c r="C99" s="144">
        <v>304</v>
      </c>
      <c r="D99" s="205"/>
      <c r="E99" s="179" t="s">
        <v>82</v>
      </c>
      <c r="F99" s="186">
        <f>SUM(F94:F98)</f>
        <v>65000</v>
      </c>
      <c r="G99" s="186">
        <f t="shared" ref="G99:N99" si="111">SUM(G94:G98)</f>
        <v>0</v>
      </c>
      <c r="H99" s="186">
        <f t="shared" si="111"/>
        <v>0</v>
      </c>
      <c r="I99" s="186">
        <f t="shared" si="111"/>
        <v>0</v>
      </c>
      <c r="J99" s="186">
        <f t="shared" si="111"/>
        <v>0</v>
      </c>
      <c r="K99" s="186">
        <f t="shared" si="111"/>
        <v>0</v>
      </c>
      <c r="L99" s="186">
        <f t="shared" si="111"/>
        <v>0</v>
      </c>
      <c r="M99" s="186">
        <f t="shared" si="111"/>
        <v>0</v>
      </c>
      <c r="N99" s="186">
        <f t="shared" si="111"/>
        <v>65000</v>
      </c>
      <c r="O99" s="13"/>
      <c r="Q99" s="186">
        <f>SUM(Q94:Q98)</f>
        <v>0</v>
      </c>
      <c r="S99" s="186">
        <f>SUM(S94:S98)</f>
        <v>0</v>
      </c>
      <c r="T99" s="186">
        <f>SUM(T94:T98)</f>
        <v>0</v>
      </c>
      <c r="U99" s="186">
        <f>U94</f>
        <v>0</v>
      </c>
      <c r="W99" s="186">
        <f t="shared" ref="W99:Z99" si="112">SUM(W94:W98)</f>
        <v>0</v>
      </c>
      <c r="X99" s="186">
        <f t="shared" si="112"/>
        <v>0</v>
      </c>
      <c r="Y99" s="186">
        <f t="shared" si="112"/>
        <v>0</v>
      </c>
      <c r="Z99" s="186">
        <f t="shared" si="112"/>
        <v>0</v>
      </c>
      <c r="AB99" s="186">
        <f>AB94</f>
        <v>0</v>
      </c>
      <c r="AD99" s="186">
        <f>SUM(AD94:AD98)</f>
        <v>0</v>
      </c>
    </row>
    <row r="100" spans="2:30" ht="15" customHeight="1">
      <c r="B100" s="206">
        <v>305</v>
      </c>
      <c r="C100" s="207"/>
      <c r="D100" s="208" t="s">
        <v>160</v>
      </c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10"/>
      <c r="Q100" s="118"/>
      <c r="S100" s="209"/>
      <c r="T100" s="209"/>
      <c r="U100" s="209"/>
      <c r="W100" s="209"/>
      <c r="X100" s="209"/>
      <c r="Y100" s="209"/>
      <c r="Z100" s="209"/>
      <c r="AB100" s="209"/>
      <c r="AD100" s="118"/>
    </row>
    <row r="101" spans="2:30" ht="15" customHeight="1">
      <c r="B101" s="144" t="s">
        <v>149</v>
      </c>
      <c r="C101" s="144"/>
      <c r="D101" s="83" t="s">
        <v>228</v>
      </c>
      <c r="E101" s="83" t="s">
        <v>302</v>
      </c>
      <c r="F101" s="85">
        <v>0</v>
      </c>
      <c r="G101" s="31">
        <f>SUMIF('Committed Costs '!C:C,B101,'Committed Costs '!G:G)</f>
        <v>0</v>
      </c>
      <c r="H101" s="31">
        <f>SUMIF('Change Orders'!F:F,'Project Detail'!B101,'Change Orders'!E:E)</f>
        <v>0</v>
      </c>
      <c r="I101" s="31">
        <f>SUMIF(Invoices!B:B,B101,Invoices!G:G)</f>
        <v>0</v>
      </c>
      <c r="J101" s="31">
        <v>0</v>
      </c>
      <c r="K101" s="31">
        <f>I101-J101</f>
        <v>0</v>
      </c>
      <c r="L101" s="108">
        <f>+M101-G101</f>
        <v>0</v>
      </c>
      <c r="M101" s="108">
        <v>0</v>
      </c>
      <c r="N101" s="108">
        <f>F101-M101</f>
        <v>0</v>
      </c>
      <c r="O101" s="83"/>
      <c r="Q101" s="108">
        <f>M101-K101</f>
        <v>0</v>
      </c>
      <c r="S101" s="108"/>
      <c r="T101" s="108"/>
      <c r="U101" s="108">
        <f>S101+T101</f>
        <v>0</v>
      </c>
      <c r="W101" s="108"/>
      <c r="X101" s="108"/>
      <c r="Y101" s="108"/>
      <c r="Z101" s="108">
        <f t="shared" ref="Z101:Z117" si="113">W101+X101+Y101</f>
        <v>0</v>
      </c>
      <c r="AB101" s="108">
        <f t="shared" ref="AB101:AB117" si="114">U101+Z101</f>
        <v>0</v>
      </c>
      <c r="AD101" s="108">
        <f t="shared" ref="AD101:AD117" si="115">Q101-AB101</f>
        <v>0</v>
      </c>
    </row>
    <row r="102" spans="2:30" ht="15" customHeight="1">
      <c r="B102" s="183" t="s">
        <v>150</v>
      </c>
      <c r="C102" s="183"/>
      <c r="D102" s="154" t="s">
        <v>228</v>
      </c>
      <c r="E102" s="154" t="s">
        <v>303</v>
      </c>
      <c r="F102" s="182">
        <v>0</v>
      </c>
      <c r="G102" s="108">
        <f>SUMIF('Committed Costs '!C:C,B102,'Committed Costs '!G:G)</f>
        <v>0</v>
      </c>
      <c r="H102" s="108">
        <f>SUMIF('Change Orders'!F:F,'Project Detail'!B102,'Change Orders'!E:E)</f>
        <v>0</v>
      </c>
      <c r="I102" s="108">
        <f>SUMIF(Invoices!B:B,B102,Invoices!G:G)</f>
        <v>0</v>
      </c>
      <c r="J102" s="108">
        <v>0</v>
      </c>
      <c r="K102" s="108">
        <f t="shared" ref="K102:K105" si="116">I102-J102</f>
        <v>0</v>
      </c>
      <c r="L102" s="108">
        <f t="shared" ref="L102:L105" si="117">+M102-G102</f>
        <v>0</v>
      </c>
      <c r="M102" s="108">
        <f>G102</f>
        <v>0</v>
      </c>
      <c r="N102" s="177">
        <f t="shared" ref="N102:N105" si="118">F102-M102</f>
        <v>0</v>
      </c>
      <c r="O102" s="154"/>
      <c r="P102"/>
      <c r="Q102" s="108">
        <f t="shared" ref="Q102:Q117" si="119">M102-K102</f>
        <v>0</v>
      </c>
      <c r="S102" s="108"/>
      <c r="T102" s="108"/>
      <c r="U102" s="108">
        <f>S102+T102</f>
        <v>0</v>
      </c>
      <c r="W102" s="108"/>
      <c r="X102" s="108"/>
      <c r="Y102" s="108"/>
      <c r="Z102" s="108">
        <f t="shared" si="113"/>
        <v>0</v>
      </c>
      <c r="AB102" s="108">
        <f t="shared" si="114"/>
        <v>0</v>
      </c>
      <c r="AD102" s="108">
        <f t="shared" si="115"/>
        <v>0</v>
      </c>
    </row>
    <row r="103" spans="2:30" ht="15" hidden="1" customHeight="1">
      <c r="B103" s="183" t="s">
        <v>151</v>
      </c>
      <c r="C103" s="183"/>
      <c r="D103" s="154"/>
      <c r="E103" s="154"/>
      <c r="F103" s="182">
        <f>35000-35000</f>
        <v>0</v>
      </c>
      <c r="G103" s="108">
        <f>SUMIF('Committed Costs '!C:C,B103,'Committed Costs '!G:G)</f>
        <v>0</v>
      </c>
      <c r="H103" s="108">
        <f>SUMIF('Change Orders'!F:F,'Project Detail'!B103,'Change Orders'!E:E)</f>
        <v>0</v>
      </c>
      <c r="I103" s="108">
        <f>SUMIF(Invoices!B:B,B103,Invoices!G:G)</f>
        <v>0</v>
      </c>
      <c r="J103" s="108">
        <v>0</v>
      </c>
      <c r="K103" s="108">
        <f t="shared" si="116"/>
        <v>0</v>
      </c>
      <c r="L103" s="108">
        <f t="shared" si="117"/>
        <v>0</v>
      </c>
      <c r="M103" s="108">
        <f t="shared" ref="M103:M105" si="120">IF((F103+H103)&gt;G103,F103+H103,G103)</f>
        <v>0</v>
      </c>
      <c r="N103" s="177">
        <f t="shared" si="118"/>
        <v>0</v>
      </c>
      <c r="O103" s="154"/>
      <c r="Q103" s="108">
        <f t="shared" si="119"/>
        <v>0</v>
      </c>
      <c r="S103" s="108"/>
      <c r="T103" s="108"/>
      <c r="U103" s="108">
        <f t="shared" ref="U103:U114" si="121">S103+T103</f>
        <v>0</v>
      </c>
      <c r="W103" s="108"/>
      <c r="X103" s="108"/>
      <c r="Y103" s="108"/>
      <c r="Z103" s="108">
        <f t="shared" si="113"/>
        <v>0</v>
      </c>
      <c r="AB103" s="108">
        <f t="shared" si="114"/>
        <v>0</v>
      </c>
      <c r="AD103" s="108">
        <f t="shared" si="115"/>
        <v>0</v>
      </c>
    </row>
    <row r="104" spans="2:30" ht="15" hidden="1" customHeight="1">
      <c r="B104" s="144" t="s">
        <v>152</v>
      </c>
      <c r="C104" s="144"/>
      <c r="D104" s="154"/>
      <c r="E104" s="83"/>
      <c r="F104" s="37">
        <f>1000-1000</f>
        <v>0</v>
      </c>
      <c r="G104" s="31">
        <f>SUMIF('Committed Costs '!C:C,B104,'Committed Costs '!G:G)</f>
        <v>0</v>
      </c>
      <c r="H104" s="31">
        <f>SUMIF('Change Orders'!F:F,'Project Detail'!B104,'Change Orders'!E:E)</f>
        <v>0</v>
      </c>
      <c r="I104" s="31">
        <f>SUMIF(Invoices!B:B,B104,Invoices!G:G)</f>
        <v>0</v>
      </c>
      <c r="J104" s="31">
        <v>0</v>
      </c>
      <c r="K104" s="31">
        <f t="shared" si="116"/>
        <v>0</v>
      </c>
      <c r="L104" s="108">
        <f t="shared" si="117"/>
        <v>0</v>
      </c>
      <c r="M104" s="108">
        <f t="shared" si="120"/>
        <v>0</v>
      </c>
      <c r="N104" s="177">
        <f t="shared" si="118"/>
        <v>0</v>
      </c>
      <c r="O104" s="83"/>
      <c r="Q104" s="108">
        <f t="shared" si="119"/>
        <v>0</v>
      </c>
      <c r="S104" s="108"/>
      <c r="T104" s="108"/>
      <c r="U104" s="108">
        <f t="shared" si="121"/>
        <v>0</v>
      </c>
      <c r="W104" s="108"/>
      <c r="X104" s="108"/>
      <c r="Y104" s="108"/>
      <c r="Z104" s="108">
        <f t="shared" si="113"/>
        <v>0</v>
      </c>
      <c r="AB104" s="108">
        <f t="shared" si="114"/>
        <v>0</v>
      </c>
      <c r="AD104" s="108">
        <f t="shared" si="115"/>
        <v>0</v>
      </c>
    </row>
    <row r="105" spans="2:30" ht="15" hidden="1" customHeight="1">
      <c r="B105" s="144" t="s">
        <v>153</v>
      </c>
      <c r="C105" s="144"/>
      <c r="D105" s="154"/>
      <c r="E105" s="83"/>
      <c r="F105" s="37">
        <f>20000-20000</f>
        <v>0</v>
      </c>
      <c r="G105" s="31">
        <f>SUMIF('Committed Costs '!C:C,B105,'Committed Costs '!G:G)</f>
        <v>0</v>
      </c>
      <c r="H105" s="31">
        <f>SUMIF('Change Orders'!F:F,'Project Detail'!B105,'Change Orders'!E:E)</f>
        <v>0</v>
      </c>
      <c r="I105" s="31">
        <f>SUMIF(Invoices!B:B,B105,Invoices!G:G)</f>
        <v>0</v>
      </c>
      <c r="J105" s="31">
        <v>0</v>
      </c>
      <c r="K105" s="31">
        <f t="shared" si="116"/>
        <v>0</v>
      </c>
      <c r="L105" s="108">
        <f t="shared" si="117"/>
        <v>0</v>
      </c>
      <c r="M105" s="108">
        <f t="shared" si="120"/>
        <v>0</v>
      </c>
      <c r="N105" s="177">
        <f t="shared" si="118"/>
        <v>0</v>
      </c>
      <c r="O105" s="83"/>
      <c r="Q105" s="108">
        <f t="shared" si="119"/>
        <v>0</v>
      </c>
      <c r="S105" s="108"/>
      <c r="T105" s="108"/>
      <c r="U105" s="108">
        <f t="shared" si="121"/>
        <v>0</v>
      </c>
      <c r="W105" s="108"/>
      <c r="X105" s="108"/>
      <c r="Y105" s="108"/>
      <c r="Z105" s="108">
        <f t="shared" si="113"/>
        <v>0</v>
      </c>
      <c r="AB105" s="108">
        <f t="shared" si="114"/>
        <v>0</v>
      </c>
      <c r="AD105" s="108">
        <f t="shared" si="115"/>
        <v>0</v>
      </c>
    </row>
    <row r="106" spans="2:30" ht="15" hidden="1" customHeight="1">
      <c r="B106" s="144" t="s">
        <v>159</v>
      </c>
      <c r="C106" s="144"/>
      <c r="D106" s="154"/>
      <c r="E106" s="83"/>
      <c r="F106" s="37">
        <f>1500-1500</f>
        <v>0</v>
      </c>
      <c r="G106" s="31">
        <f>SUMIF('Committed Costs '!C:C,B106,'Committed Costs '!G:G)</f>
        <v>0</v>
      </c>
      <c r="H106" s="31">
        <f>SUMIF('Change Orders'!F:F,'Project Detail'!B106,'Change Orders'!E:E)</f>
        <v>0</v>
      </c>
      <c r="I106" s="31">
        <f>SUMIF(Invoices!B:B,B106,Invoices!G:G)</f>
        <v>0</v>
      </c>
      <c r="J106" s="31">
        <v>0</v>
      </c>
      <c r="K106" s="31">
        <f t="shared" ref="K106:K112" si="122">I106-J106</f>
        <v>0</v>
      </c>
      <c r="L106" s="108">
        <f t="shared" ref="L106:L112" si="123">+M106-G106</f>
        <v>0</v>
      </c>
      <c r="M106" s="108">
        <f t="shared" ref="M106:M110" si="124">IF((F106+H106)&gt;G106,F106+H106,G106)</f>
        <v>0</v>
      </c>
      <c r="N106" s="177">
        <f t="shared" ref="N106:N112" si="125">F106-M106</f>
        <v>0</v>
      </c>
      <c r="O106" s="83"/>
      <c r="Q106" s="108">
        <f t="shared" si="119"/>
        <v>0</v>
      </c>
      <c r="S106" s="108"/>
      <c r="T106" s="108"/>
      <c r="U106" s="108">
        <f t="shared" si="121"/>
        <v>0</v>
      </c>
      <c r="W106" s="108"/>
      <c r="X106" s="108"/>
      <c r="Y106" s="108"/>
      <c r="Z106" s="108">
        <f t="shared" si="113"/>
        <v>0</v>
      </c>
      <c r="AB106" s="108">
        <f t="shared" si="114"/>
        <v>0</v>
      </c>
      <c r="AD106" s="108">
        <f t="shared" si="115"/>
        <v>0</v>
      </c>
    </row>
    <row r="107" spans="2:30" ht="15" hidden="1" customHeight="1">
      <c r="B107" s="144" t="s">
        <v>162</v>
      </c>
      <c r="C107" s="144"/>
      <c r="D107" s="154"/>
      <c r="E107" s="83"/>
      <c r="F107" s="37">
        <f>1500-1500</f>
        <v>0</v>
      </c>
      <c r="G107" s="31">
        <f>SUMIF('Committed Costs '!C:C,B107,'Committed Costs '!G:G)</f>
        <v>0</v>
      </c>
      <c r="H107" s="31">
        <f>SUMIF('Change Orders'!F:F,'Project Detail'!B107,'Change Orders'!E:E)</f>
        <v>0</v>
      </c>
      <c r="I107" s="31">
        <f>SUMIF(Invoices!B:B,B107,Invoices!G:G)</f>
        <v>0</v>
      </c>
      <c r="J107" s="31">
        <v>0</v>
      </c>
      <c r="K107" s="31">
        <f t="shared" si="122"/>
        <v>0</v>
      </c>
      <c r="L107" s="108">
        <f t="shared" si="123"/>
        <v>0</v>
      </c>
      <c r="M107" s="108">
        <f t="shared" si="124"/>
        <v>0</v>
      </c>
      <c r="N107" s="177">
        <f t="shared" si="125"/>
        <v>0</v>
      </c>
      <c r="O107" s="83"/>
      <c r="Q107" s="108">
        <f t="shared" si="119"/>
        <v>0</v>
      </c>
      <c r="S107" s="108"/>
      <c r="T107" s="108"/>
      <c r="U107" s="108">
        <f t="shared" si="121"/>
        <v>0</v>
      </c>
      <c r="W107" s="108"/>
      <c r="X107" s="108"/>
      <c r="Y107" s="108"/>
      <c r="Z107" s="108">
        <f t="shared" si="113"/>
        <v>0</v>
      </c>
      <c r="AB107" s="108">
        <f t="shared" si="114"/>
        <v>0</v>
      </c>
      <c r="AD107" s="108">
        <f t="shared" si="115"/>
        <v>0</v>
      </c>
    </row>
    <row r="108" spans="2:30" ht="15" hidden="1" customHeight="1">
      <c r="B108" s="144" t="s">
        <v>163</v>
      </c>
      <c r="C108" s="144"/>
      <c r="D108" s="154"/>
      <c r="E108" s="83"/>
      <c r="F108" s="37">
        <f>10000-10000</f>
        <v>0</v>
      </c>
      <c r="G108" s="31">
        <f>SUMIF('Committed Costs '!C:C,B108,'Committed Costs '!G:G)</f>
        <v>0</v>
      </c>
      <c r="H108" s="31">
        <f>SUMIF('Change Orders'!F:F,'Project Detail'!B108,'Change Orders'!E:E)</f>
        <v>0</v>
      </c>
      <c r="I108" s="31">
        <f>SUMIF(Invoices!B:B,B108,Invoices!G:G)</f>
        <v>0</v>
      </c>
      <c r="J108" s="31">
        <v>0</v>
      </c>
      <c r="K108" s="31">
        <f t="shared" si="122"/>
        <v>0</v>
      </c>
      <c r="L108" s="108">
        <f t="shared" si="123"/>
        <v>0</v>
      </c>
      <c r="M108" s="108">
        <f t="shared" si="124"/>
        <v>0</v>
      </c>
      <c r="N108" s="177">
        <f t="shared" si="125"/>
        <v>0</v>
      </c>
      <c r="O108" s="83"/>
      <c r="Q108" s="108">
        <f t="shared" si="119"/>
        <v>0</v>
      </c>
      <c r="S108" s="108"/>
      <c r="T108" s="108"/>
      <c r="U108" s="108">
        <f t="shared" si="121"/>
        <v>0</v>
      </c>
      <c r="W108" s="108"/>
      <c r="X108" s="108"/>
      <c r="Y108" s="108"/>
      <c r="Z108" s="108">
        <f t="shared" si="113"/>
        <v>0</v>
      </c>
      <c r="AB108" s="108">
        <f t="shared" si="114"/>
        <v>0</v>
      </c>
      <c r="AD108" s="108">
        <f t="shared" si="115"/>
        <v>0</v>
      </c>
    </row>
    <row r="109" spans="2:30" ht="15" hidden="1" customHeight="1">
      <c r="B109" s="144" t="s">
        <v>164</v>
      </c>
      <c r="C109" s="144"/>
      <c r="D109" s="154"/>
      <c r="E109" s="83"/>
      <c r="F109" s="37">
        <f>50000-50000</f>
        <v>0</v>
      </c>
      <c r="G109" s="31">
        <f>SUMIF('Committed Costs '!C:C,B109,'Committed Costs '!G:G)</f>
        <v>0</v>
      </c>
      <c r="H109" s="31">
        <f>SUMIF('Change Orders'!F:F,'Project Detail'!B109,'Change Orders'!E:E)</f>
        <v>0</v>
      </c>
      <c r="I109" s="31">
        <f>SUMIF(Invoices!B:B,B109,Invoices!G:G)</f>
        <v>0</v>
      </c>
      <c r="J109" s="31">
        <v>0</v>
      </c>
      <c r="K109" s="31">
        <f t="shared" si="122"/>
        <v>0</v>
      </c>
      <c r="L109" s="108">
        <f t="shared" si="123"/>
        <v>0</v>
      </c>
      <c r="M109" s="108">
        <f t="shared" si="124"/>
        <v>0</v>
      </c>
      <c r="N109" s="177">
        <f t="shared" si="125"/>
        <v>0</v>
      </c>
      <c r="O109" s="83"/>
      <c r="Q109" s="108">
        <f t="shared" si="119"/>
        <v>0</v>
      </c>
      <c r="S109" s="108"/>
      <c r="T109" s="108"/>
      <c r="U109" s="108">
        <f t="shared" si="121"/>
        <v>0</v>
      </c>
      <c r="W109" s="108"/>
      <c r="X109" s="108"/>
      <c r="Y109" s="108"/>
      <c r="Z109" s="108">
        <f t="shared" si="113"/>
        <v>0</v>
      </c>
      <c r="AB109" s="108">
        <f t="shared" si="114"/>
        <v>0</v>
      </c>
      <c r="AD109" s="108">
        <f t="shared" si="115"/>
        <v>0</v>
      </c>
    </row>
    <row r="110" spans="2:30" ht="15" hidden="1" customHeight="1">
      <c r="B110" s="144" t="s">
        <v>165</v>
      </c>
      <c r="C110" s="144"/>
      <c r="D110" s="154"/>
      <c r="E110" s="83"/>
      <c r="F110" s="37">
        <f>28000-28000</f>
        <v>0</v>
      </c>
      <c r="G110" s="31">
        <f>SUMIF('Committed Costs '!C:C,B110,'Committed Costs '!G:G)</f>
        <v>0</v>
      </c>
      <c r="H110" s="31">
        <f>SUMIF('Change Orders'!F:F,'Project Detail'!B110,'Change Orders'!E:E)</f>
        <v>0</v>
      </c>
      <c r="I110" s="31">
        <f>SUMIF(Invoices!B:B,B110,Invoices!G:G)</f>
        <v>0</v>
      </c>
      <c r="J110" s="31">
        <v>0</v>
      </c>
      <c r="K110" s="31">
        <f t="shared" si="122"/>
        <v>0</v>
      </c>
      <c r="L110" s="108">
        <f t="shared" si="123"/>
        <v>0</v>
      </c>
      <c r="M110" s="108">
        <f t="shared" si="124"/>
        <v>0</v>
      </c>
      <c r="N110" s="177">
        <f t="shared" si="125"/>
        <v>0</v>
      </c>
      <c r="O110" s="83"/>
      <c r="Q110" s="108">
        <f t="shared" si="119"/>
        <v>0</v>
      </c>
      <c r="S110" s="108"/>
      <c r="T110" s="108"/>
      <c r="U110" s="108">
        <f t="shared" si="121"/>
        <v>0</v>
      </c>
      <c r="W110" s="108"/>
      <c r="X110" s="108"/>
      <c r="Y110" s="108"/>
      <c r="Z110" s="108">
        <f t="shared" si="113"/>
        <v>0</v>
      </c>
      <c r="AB110" s="108">
        <f t="shared" si="114"/>
        <v>0</v>
      </c>
      <c r="AD110" s="108">
        <f t="shared" si="115"/>
        <v>0</v>
      </c>
    </row>
    <row r="111" spans="2:30" ht="15" hidden="1" customHeight="1">
      <c r="B111" s="144" t="s">
        <v>166</v>
      </c>
      <c r="C111" s="144"/>
      <c r="D111" s="154"/>
      <c r="E111" s="83"/>
      <c r="F111" s="37">
        <v>0</v>
      </c>
      <c r="G111" s="31">
        <f>SUMIF('Committed Costs '!C:C,B111,'Committed Costs '!G:G)</f>
        <v>0</v>
      </c>
      <c r="H111" s="31">
        <f>SUMIF('Change Orders'!F:F,'Project Detail'!B111,'Change Orders'!E:E)</f>
        <v>0</v>
      </c>
      <c r="I111" s="31">
        <f>SUMIF(Invoices!B:B,B111,Invoices!G:G)</f>
        <v>0</v>
      </c>
      <c r="J111" s="31">
        <v>0</v>
      </c>
      <c r="K111" s="31">
        <f t="shared" si="122"/>
        <v>0</v>
      </c>
      <c r="L111" s="108">
        <f t="shared" si="123"/>
        <v>0</v>
      </c>
      <c r="M111" s="108">
        <v>0</v>
      </c>
      <c r="N111" s="108">
        <f t="shared" si="125"/>
        <v>0</v>
      </c>
      <c r="O111" s="83"/>
      <c r="Q111" s="108">
        <f t="shared" si="119"/>
        <v>0</v>
      </c>
      <c r="S111" s="108"/>
      <c r="T111" s="108"/>
      <c r="U111" s="108">
        <f t="shared" si="121"/>
        <v>0</v>
      </c>
      <c r="W111" s="108"/>
      <c r="X111" s="108"/>
      <c r="Y111" s="108"/>
      <c r="Z111" s="108">
        <f t="shared" si="113"/>
        <v>0</v>
      </c>
      <c r="AB111" s="108">
        <f t="shared" si="114"/>
        <v>0</v>
      </c>
      <c r="AD111" s="108">
        <f t="shared" si="115"/>
        <v>0</v>
      </c>
    </row>
    <row r="112" spans="2:30" ht="15" hidden="1" customHeight="1">
      <c r="B112" s="144" t="s">
        <v>167</v>
      </c>
      <c r="C112" s="144"/>
      <c r="D112" s="154"/>
      <c r="E112" s="83"/>
      <c r="F112" s="37">
        <v>0</v>
      </c>
      <c r="G112" s="31">
        <f>SUMIF('Committed Costs '!C:C,B112,'Committed Costs '!G:G)</f>
        <v>0</v>
      </c>
      <c r="H112" s="31">
        <f>SUMIF('Change Orders'!F:F,'Project Detail'!B112,'Change Orders'!E:E)</f>
        <v>0</v>
      </c>
      <c r="I112" s="31">
        <f>SUMIF(Invoices!B:B,B112,Invoices!G:G)</f>
        <v>0</v>
      </c>
      <c r="J112" s="31">
        <v>0</v>
      </c>
      <c r="K112" s="31">
        <f t="shared" si="122"/>
        <v>0</v>
      </c>
      <c r="L112" s="108">
        <f t="shared" si="123"/>
        <v>0</v>
      </c>
      <c r="M112" s="108">
        <v>0</v>
      </c>
      <c r="N112" s="31">
        <f t="shared" si="125"/>
        <v>0</v>
      </c>
      <c r="O112" s="83"/>
      <c r="Q112" s="108">
        <f t="shared" si="119"/>
        <v>0</v>
      </c>
      <c r="S112" s="108"/>
      <c r="T112" s="108"/>
      <c r="U112" s="108">
        <f t="shared" si="121"/>
        <v>0</v>
      </c>
      <c r="W112" s="108"/>
      <c r="X112" s="108"/>
      <c r="Y112" s="108"/>
      <c r="Z112" s="108">
        <f t="shared" si="113"/>
        <v>0</v>
      </c>
      <c r="AB112" s="108">
        <f t="shared" si="114"/>
        <v>0</v>
      </c>
      <c r="AD112" s="108">
        <f t="shared" si="115"/>
        <v>0</v>
      </c>
    </row>
    <row r="113" spans="2:31" ht="15" hidden="1" customHeight="1">
      <c r="B113" s="144" t="s">
        <v>168</v>
      </c>
      <c r="C113" s="144"/>
      <c r="D113" s="154"/>
      <c r="E113" s="83"/>
      <c r="F113" s="37">
        <v>0</v>
      </c>
      <c r="G113" s="31">
        <f>SUMIF('Committed Costs '!C:C,B113,'Committed Costs '!G:G)</f>
        <v>0</v>
      </c>
      <c r="H113" s="31">
        <f>SUMIF('Change Orders'!F:F,'Project Detail'!B113,'Change Orders'!E:E)</f>
        <v>0</v>
      </c>
      <c r="I113" s="31">
        <f>SUMIF(Invoices!B:B,B113,Invoices!G:G)</f>
        <v>0</v>
      </c>
      <c r="J113" s="31">
        <v>0</v>
      </c>
      <c r="K113" s="31">
        <f t="shared" ref="K113:K114" si="126">I113-J113</f>
        <v>0</v>
      </c>
      <c r="L113" s="108">
        <f t="shared" ref="L113:L114" si="127">+M113-G113</f>
        <v>0</v>
      </c>
      <c r="M113" s="108">
        <v>0</v>
      </c>
      <c r="N113" s="31">
        <f t="shared" ref="N113:N114" si="128">F113-M113</f>
        <v>0</v>
      </c>
      <c r="O113" s="83"/>
      <c r="Q113" s="108">
        <f t="shared" si="119"/>
        <v>0</v>
      </c>
      <c r="S113" s="108"/>
      <c r="T113" s="108"/>
      <c r="U113" s="108">
        <f t="shared" si="121"/>
        <v>0</v>
      </c>
      <c r="W113" s="108"/>
      <c r="X113" s="108"/>
      <c r="Y113" s="108"/>
      <c r="Z113" s="108">
        <f t="shared" si="113"/>
        <v>0</v>
      </c>
      <c r="AB113" s="108">
        <f t="shared" si="114"/>
        <v>0</v>
      </c>
      <c r="AD113" s="108">
        <f t="shared" si="115"/>
        <v>0</v>
      </c>
    </row>
    <row r="114" spans="2:31" ht="15" hidden="1" customHeight="1">
      <c r="B114" s="144" t="s">
        <v>169</v>
      </c>
      <c r="C114" s="144"/>
      <c r="D114" s="154"/>
      <c r="E114" s="83"/>
      <c r="F114" s="37">
        <v>0</v>
      </c>
      <c r="G114" s="31">
        <f>SUMIF('Committed Costs '!C:C,B114,'Committed Costs '!G:G)</f>
        <v>0</v>
      </c>
      <c r="H114" s="31">
        <f>SUMIF('Change Orders'!F:F,'Project Detail'!B114,'Change Orders'!E:E)</f>
        <v>0</v>
      </c>
      <c r="I114" s="31">
        <f>SUMIF(Invoices!B:B,B114,Invoices!G:G)</f>
        <v>0</v>
      </c>
      <c r="J114" s="31">
        <v>0</v>
      </c>
      <c r="K114" s="31">
        <f t="shared" si="126"/>
        <v>0</v>
      </c>
      <c r="L114" s="31">
        <f t="shared" si="127"/>
        <v>0</v>
      </c>
      <c r="M114" s="108">
        <v>0</v>
      </c>
      <c r="N114" s="31">
        <f t="shared" si="128"/>
        <v>0</v>
      </c>
      <c r="O114" s="83"/>
      <c r="Q114" s="108">
        <f t="shared" si="119"/>
        <v>0</v>
      </c>
      <c r="S114" s="108"/>
      <c r="T114" s="108"/>
      <c r="U114" s="108">
        <f t="shared" si="121"/>
        <v>0</v>
      </c>
      <c r="W114" s="108"/>
      <c r="X114" s="108"/>
      <c r="Y114" s="108"/>
      <c r="Z114" s="108">
        <f t="shared" si="113"/>
        <v>0</v>
      </c>
      <c r="AB114" s="108">
        <f t="shared" si="114"/>
        <v>0</v>
      </c>
      <c r="AD114" s="108">
        <f t="shared" si="115"/>
        <v>0</v>
      </c>
    </row>
    <row r="115" spans="2:31" ht="15" hidden="1" customHeight="1">
      <c r="B115" s="183" t="s">
        <v>245</v>
      </c>
      <c r="C115" s="183"/>
      <c r="D115" s="154"/>
      <c r="E115" s="154"/>
      <c r="F115" s="182">
        <v>0</v>
      </c>
      <c r="G115" s="108">
        <f>SUMIF('Committed Costs '!C:C,B115,'Committed Costs '!G:G)</f>
        <v>0</v>
      </c>
      <c r="H115" s="108">
        <f>SUMIF('Change Orders'!F:F,'Project Detail'!B115,'Change Orders'!E:E)</f>
        <v>0</v>
      </c>
      <c r="I115" s="108">
        <f>SUMIF(Invoices!B:B,B115,Invoices!G:G)</f>
        <v>0</v>
      </c>
      <c r="J115" s="108">
        <v>0</v>
      </c>
      <c r="K115" s="108">
        <f t="shared" ref="K115" si="129">I115-J115</f>
        <v>0</v>
      </c>
      <c r="L115" s="177">
        <f t="shared" ref="L115" si="130">+M115-G115</f>
        <v>0</v>
      </c>
      <c r="M115" s="108">
        <f>IF((F115+H115)&gt;G115,F115+H115,G115)</f>
        <v>0</v>
      </c>
      <c r="N115" s="108">
        <f>F115-M115</f>
        <v>0</v>
      </c>
      <c r="O115" s="154"/>
      <c r="P115" s="94"/>
      <c r="Q115" s="108">
        <f t="shared" si="119"/>
        <v>0</v>
      </c>
      <c r="S115" s="108">
        <f>17000</f>
        <v>17000</v>
      </c>
      <c r="T115" s="108"/>
      <c r="U115" s="108">
        <f>S115+T115</f>
        <v>17000</v>
      </c>
      <c r="W115" s="108"/>
      <c r="X115" s="108"/>
      <c r="Y115" s="108"/>
      <c r="Z115" s="108">
        <f t="shared" si="113"/>
        <v>0</v>
      </c>
      <c r="AB115" s="108">
        <f t="shared" si="114"/>
        <v>17000</v>
      </c>
      <c r="AD115" s="108">
        <f t="shared" si="115"/>
        <v>-17000</v>
      </c>
      <c r="AE115" s="32"/>
    </row>
    <row r="116" spans="2:31" ht="15" hidden="1" customHeight="1">
      <c r="B116" s="183" t="s">
        <v>255</v>
      </c>
      <c r="C116" s="183"/>
      <c r="D116" s="154"/>
      <c r="E116" s="154"/>
      <c r="F116" s="182">
        <v>0</v>
      </c>
      <c r="G116" s="108">
        <f>SUMIF('Committed Costs '!C:C,B116,'Committed Costs '!G:G)</f>
        <v>0</v>
      </c>
      <c r="H116" s="108">
        <f>SUMIF('Change Orders'!F:F,'Project Detail'!B116,'Change Orders'!E:E)</f>
        <v>0</v>
      </c>
      <c r="I116" s="108">
        <f>SUMIF(Invoices!B:B,B116,Invoices!G:G)</f>
        <v>0</v>
      </c>
      <c r="J116" s="108">
        <v>0</v>
      </c>
      <c r="K116" s="108">
        <f t="shared" ref="K116" si="131">I116-J116</f>
        <v>0</v>
      </c>
      <c r="L116" s="108">
        <f t="shared" ref="L116" si="132">+M116-G116</f>
        <v>0</v>
      </c>
      <c r="M116" s="108">
        <f>G116</f>
        <v>0</v>
      </c>
      <c r="N116" s="108">
        <f>F116-M116</f>
        <v>0</v>
      </c>
      <c r="O116" s="13"/>
      <c r="P116" s="94"/>
      <c r="Q116" s="108">
        <f t="shared" si="119"/>
        <v>0</v>
      </c>
      <c r="S116" s="108"/>
      <c r="T116" s="108"/>
      <c r="U116" s="108">
        <f t="shared" ref="U116:U117" si="133">S116+T116</f>
        <v>0</v>
      </c>
      <c r="W116" s="108"/>
      <c r="X116" s="108"/>
      <c r="Y116" s="108"/>
      <c r="Z116" s="108">
        <f>W116+X116+Y116</f>
        <v>0</v>
      </c>
      <c r="AB116" s="108">
        <f t="shared" si="114"/>
        <v>0</v>
      </c>
      <c r="AD116" s="108">
        <f t="shared" si="115"/>
        <v>0</v>
      </c>
      <c r="AE116" s="32"/>
    </row>
    <row r="117" spans="2:31" ht="15" hidden="1" customHeight="1">
      <c r="B117" s="144" t="s">
        <v>261</v>
      </c>
      <c r="C117" s="144"/>
      <c r="D117" s="83"/>
      <c r="E117" s="83"/>
      <c r="F117" s="85">
        <v>0</v>
      </c>
      <c r="G117" s="31">
        <f>SUMIF('Committed Costs '!C:C,B117,'Committed Costs '!G:G)</f>
        <v>0</v>
      </c>
      <c r="H117" s="31">
        <f>SUMIF('Change Orders'!F:F,'Project Detail'!B117,'Change Orders'!E:E)</f>
        <v>0</v>
      </c>
      <c r="I117" s="31">
        <f>SUMIF(Invoices!B:B,B117,Invoices!G:G)</f>
        <v>0</v>
      </c>
      <c r="J117" s="31">
        <v>0</v>
      </c>
      <c r="K117" s="31">
        <f t="shared" ref="K117" si="134">I117-J117</f>
        <v>0</v>
      </c>
      <c r="L117" s="108">
        <f t="shared" ref="L117" si="135">+M117-G117</f>
        <v>0</v>
      </c>
      <c r="M117" s="108">
        <f>IF((F117+H117)&gt;G117,F117+H117,G117)</f>
        <v>0</v>
      </c>
      <c r="N117" s="108">
        <f>F117-M117</f>
        <v>0</v>
      </c>
      <c r="O117" s="13"/>
      <c r="P117" s="94"/>
      <c r="Q117" s="108">
        <f t="shared" si="119"/>
        <v>0</v>
      </c>
      <c r="S117" s="108">
        <v>10135</v>
      </c>
      <c r="T117" s="108"/>
      <c r="U117" s="108">
        <f t="shared" si="133"/>
        <v>10135</v>
      </c>
      <c r="W117" s="108"/>
      <c r="X117" s="108"/>
      <c r="Y117" s="108"/>
      <c r="Z117" s="108">
        <f t="shared" si="113"/>
        <v>0</v>
      </c>
      <c r="AB117" s="108">
        <f t="shared" si="114"/>
        <v>10135</v>
      </c>
      <c r="AD117" s="108">
        <f t="shared" si="115"/>
        <v>-10135</v>
      </c>
      <c r="AE117" s="32"/>
    </row>
    <row r="118" spans="2:31" ht="15" customHeight="1">
      <c r="B118" s="144"/>
      <c r="C118" s="144">
        <v>305</v>
      </c>
      <c r="D118" s="205"/>
      <c r="E118" s="179" t="s">
        <v>161</v>
      </c>
      <c r="F118" s="186">
        <f>SUM(F101:F117)</f>
        <v>0</v>
      </c>
      <c r="G118" s="186">
        <f t="shared" ref="G118:M118" si="136">SUM(G101:G117)</f>
        <v>0</v>
      </c>
      <c r="H118" s="186">
        <f t="shared" si="136"/>
        <v>0</v>
      </c>
      <c r="I118" s="186">
        <f t="shared" si="136"/>
        <v>0</v>
      </c>
      <c r="J118" s="186">
        <f t="shared" si="136"/>
        <v>0</v>
      </c>
      <c r="K118" s="186">
        <f t="shared" si="136"/>
        <v>0</v>
      </c>
      <c r="L118" s="186">
        <f t="shared" si="136"/>
        <v>0</v>
      </c>
      <c r="M118" s="186">
        <f t="shared" si="136"/>
        <v>0</v>
      </c>
      <c r="N118" s="186">
        <f>SUM(N101:N117)</f>
        <v>0</v>
      </c>
      <c r="O118" s="13"/>
      <c r="Q118" s="186">
        <f>SUM(Q101:Q117)</f>
        <v>0</v>
      </c>
      <c r="S118" s="186">
        <f>SUM(S101:S117)</f>
        <v>27135</v>
      </c>
      <c r="T118" s="186">
        <f>SUM(T101:T117)</f>
        <v>0</v>
      </c>
      <c r="U118" s="186">
        <f>SUM(U101:U117)</f>
        <v>27135</v>
      </c>
      <c r="W118" s="186">
        <f>SUM(W101:W117)</f>
        <v>0</v>
      </c>
      <c r="X118" s="186">
        <f>SUM(X101:X117)</f>
        <v>0</v>
      </c>
      <c r="Y118" s="186">
        <f>SUM(Y101:Y117)</f>
        <v>0</v>
      </c>
      <c r="Z118" s="186">
        <f>SUM(Z101:Z117)</f>
        <v>0</v>
      </c>
      <c r="AB118" s="186">
        <f>SUM(AB101:AB117)</f>
        <v>27135</v>
      </c>
      <c r="AD118" s="186">
        <f>SUM(AD101:AD117)</f>
        <v>-27135</v>
      </c>
    </row>
    <row r="119" spans="2:31" ht="15" customHeight="1">
      <c r="B119" s="206">
        <v>306</v>
      </c>
      <c r="C119" s="207"/>
      <c r="D119" s="208" t="s">
        <v>83</v>
      </c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10"/>
      <c r="Q119" s="118"/>
      <c r="S119" s="209"/>
      <c r="T119" s="209"/>
      <c r="U119" s="209"/>
      <c r="W119" s="209"/>
      <c r="X119" s="209"/>
      <c r="Y119" s="209"/>
      <c r="Z119" s="209"/>
      <c r="AB119" s="209"/>
      <c r="AD119" s="118"/>
    </row>
    <row r="120" spans="2:31" ht="15" customHeight="1">
      <c r="B120" s="144" t="s">
        <v>170</v>
      </c>
      <c r="C120" s="144"/>
      <c r="D120" s="83" t="s">
        <v>228</v>
      </c>
      <c r="E120" s="83" t="s">
        <v>745</v>
      </c>
      <c r="F120" s="85">
        <f>'Budget Summary'!D57</f>
        <v>93000</v>
      </c>
      <c r="G120" s="31">
        <f>SUMIF('Committed Costs '!C:C,B120,'Committed Costs '!G:G)</f>
        <v>0</v>
      </c>
      <c r="H120" s="31">
        <f>SUMIF('Change Orders'!F:F,'Project Detail'!B120,'Change Orders'!E:E)</f>
        <v>0</v>
      </c>
      <c r="I120" s="31">
        <f>SUMIF(Invoices!B:B,B120,Invoices!G:G)</f>
        <v>0</v>
      </c>
      <c r="J120" s="31">
        <v>0</v>
      </c>
      <c r="K120" s="31">
        <f>I120-J120</f>
        <v>0</v>
      </c>
      <c r="L120" s="218">
        <f>+M120-G120</f>
        <v>0</v>
      </c>
      <c r="M120" s="31">
        <v>0</v>
      </c>
      <c r="N120" s="145">
        <f>F120-M120</f>
        <v>93000</v>
      </c>
      <c r="O120" s="13"/>
      <c r="Q120" s="108">
        <f t="shared" ref="Q120:Q129" si="137">M120-K120</f>
        <v>0</v>
      </c>
      <c r="S120" s="108"/>
      <c r="T120" s="108"/>
      <c r="U120" s="108">
        <f t="shared" ref="U120:U129" si="138">S120+T120</f>
        <v>0</v>
      </c>
      <c r="W120" s="108"/>
      <c r="X120" s="108"/>
      <c r="Y120" s="108"/>
      <c r="Z120" s="108">
        <f t="shared" ref="Z120:Z129" si="139">W120+X120+Y120</f>
        <v>0</v>
      </c>
      <c r="AB120" s="108">
        <f t="shared" ref="AB120:AB129" si="140">U120+Z120</f>
        <v>0</v>
      </c>
      <c r="AD120" s="108">
        <f t="shared" ref="AD120:AD129" si="141">Q120-AB120</f>
        <v>0</v>
      </c>
    </row>
    <row r="121" spans="2:31" ht="15" hidden="1" customHeight="1">
      <c r="B121" s="144" t="s">
        <v>172</v>
      </c>
      <c r="C121" s="144"/>
      <c r="D121" s="83" t="s">
        <v>228</v>
      </c>
      <c r="E121" s="83"/>
      <c r="F121" s="85">
        <v>0</v>
      </c>
      <c r="G121" s="31">
        <f>SUMIF('Committed Costs '!C:C,B121,'Committed Costs '!G:G)</f>
        <v>0</v>
      </c>
      <c r="H121" s="31">
        <f>SUMIF('Change Orders'!F:F,'Project Detail'!B121,'Change Orders'!E:E)</f>
        <v>0</v>
      </c>
      <c r="I121" s="31">
        <f>SUMIF(Invoices!B:B,B121,Invoices!G:G)</f>
        <v>0</v>
      </c>
      <c r="J121" s="31">
        <v>0</v>
      </c>
      <c r="K121" s="31">
        <f t="shared" ref="K121:K129" si="142">I121-J121</f>
        <v>0</v>
      </c>
      <c r="L121" s="218">
        <f t="shared" ref="L121:L129" si="143">+M121-G121</f>
        <v>0</v>
      </c>
      <c r="M121" s="31">
        <v>0</v>
      </c>
      <c r="N121" s="145">
        <f t="shared" ref="N121:N129" si="144">F121-M121</f>
        <v>0</v>
      </c>
      <c r="O121" s="13"/>
      <c r="Q121" s="108">
        <f t="shared" si="137"/>
        <v>0</v>
      </c>
      <c r="S121" s="108"/>
      <c r="T121" s="108"/>
      <c r="U121" s="108">
        <f t="shared" si="138"/>
        <v>0</v>
      </c>
      <c r="W121" s="108"/>
      <c r="X121" s="108"/>
      <c r="Y121" s="108"/>
      <c r="Z121" s="108">
        <f t="shared" si="139"/>
        <v>0</v>
      </c>
      <c r="AB121" s="108">
        <f t="shared" si="140"/>
        <v>0</v>
      </c>
      <c r="AD121" s="108">
        <f t="shared" si="141"/>
        <v>0</v>
      </c>
    </row>
    <row r="122" spans="2:31" ht="15" hidden="1" customHeight="1">
      <c r="B122" s="144" t="s">
        <v>171</v>
      </c>
      <c r="C122" s="144"/>
      <c r="D122" s="83" t="s">
        <v>228</v>
      </c>
      <c r="E122" s="83"/>
      <c r="F122" s="85">
        <v>0</v>
      </c>
      <c r="G122" s="31">
        <f>SUMIF('Committed Costs '!C:C,B122,'Committed Costs '!G:G)</f>
        <v>0</v>
      </c>
      <c r="H122" s="31">
        <f>SUMIF('Change Orders'!F:F,'Project Detail'!B122,'Change Orders'!E:E)</f>
        <v>0</v>
      </c>
      <c r="I122" s="31">
        <f>SUMIF(Invoices!B:B,B122,Invoices!G:G)</f>
        <v>0</v>
      </c>
      <c r="J122" s="31">
        <v>0</v>
      </c>
      <c r="K122" s="31">
        <f t="shared" si="142"/>
        <v>0</v>
      </c>
      <c r="L122" s="108">
        <f t="shared" si="143"/>
        <v>0</v>
      </c>
      <c r="M122" s="31">
        <v>0</v>
      </c>
      <c r="N122" s="145">
        <f t="shared" si="144"/>
        <v>0</v>
      </c>
      <c r="O122" s="13"/>
      <c r="Q122" s="108">
        <f t="shared" si="137"/>
        <v>0</v>
      </c>
      <c r="S122" s="108"/>
      <c r="T122" s="108"/>
      <c r="U122" s="108">
        <f t="shared" si="138"/>
        <v>0</v>
      </c>
      <c r="W122" s="108"/>
      <c r="X122" s="108"/>
      <c r="Y122" s="108"/>
      <c r="Z122" s="108">
        <f t="shared" si="139"/>
        <v>0</v>
      </c>
      <c r="AB122" s="108">
        <f t="shared" si="140"/>
        <v>0</v>
      </c>
      <c r="AD122" s="108">
        <f t="shared" si="141"/>
        <v>0</v>
      </c>
    </row>
    <row r="123" spans="2:31" ht="15" hidden="1" customHeight="1">
      <c r="B123" s="144" t="s">
        <v>173</v>
      </c>
      <c r="C123" s="144"/>
      <c r="D123" s="83" t="s">
        <v>228</v>
      </c>
      <c r="E123" s="83"/>
      <c r="F123" s="85">
        <v>0</v>
      </c>
      <c r="G123" s="31">
        <f>SUMIF('Committed Costs '!C:C,B123,'Committed Costs '!G:G)</f>
        <v>0</v>
      </c>
      <c r="H123" s="31">
        <f>SUMIF('Change Orders'!F:F,'Project Detail'!B123,'Change Orders'!E:E)</f>
        <v>0</v>
      </c>
      <c r="I123" s="31">
        <f>SUMIF(Invoices!B:B,B123,Invoices!G:G)</f>
        <v>0</v>
      </c>
      <c r="J123" s="31">
        <v>0</v>
      </c>
      <c r="K123" s="31">
        <f t="shared" si="142"/>
        <v>0</v>
      </c>
      <c r="L123" s="108">
        <f t="shared" si="143"/>
        <v>0</v>
      </c>
      <c r="M123" s="31">
        <v>0</v>
      </c>
      <c r="N123" s="145">
        <f t="shared" si="144"/>
        <v>0</v>
      </c>
      <c r="O123" s="13"/>
      <c r="Q123" s="108">
        <f t="shared" si="137"/>
        <v>0</v>
      </c>
      <c r="S123" s="108"/>
      <c r="T123" s="108"/>
      <c r="U123" s="108">
        <f t="shared" si="138"/>
        <v>0</v>
      </c>
      <c r="W123" s="108"/>
      <c r="X123" s="108"/>
      <c r="Y123" s="108"/>
      <c r="Z123" s="108">
        <f t="shared" si="139"/>
        <v>0</v>
      </c>
      <c r="AB123" s="108">
        <f t="shared" si="140"/>
        <v>0</v>
      </c>
      <c r="AD123" s="108">
        <f t="shared" si="141"/>
        <v>0</v>
      </c>
    </row>
    <row r="124" spans="2:31" ht="15" hidden="1" customHeight="1">
      <c r="B124" s="144" t="s">
        <v>174</v>
      </c>
      <c r="C124" s="144"/>
      <c r="D124" s="83" t="s">
        <v>228</v>
      </c>
      <c r="E124" s="83"/>
      <c r="F124" s="85">
        <v>0</v>
      </c>
      <c r="G124" s="31">
        <f>SUMIF('Committed Costs '!C:C,B124,'Committed Costs '!G:G)</f>
        <v>0</v>
      </c>
      <c r="H124" s="31">
        <f>SUMIF('Change Orders'!F:F,'Project Detail'!B124,'Change Orders'!E:E)</f>
        <v>0</v>
      </c>
      <c r="I124" s="31">
        <f>SUMIF(Invoices!B:B,B124,Invoices!G:G)</f>
        <v>0</v>
      </c>
      <c r="J124" s="31">
        <v>0</v>
      </c>
      <c r="K124" s="31">
        <f t="shared" si="142"/>
        <v>0</v>
      </c>
      <c r="L124" s="177">
        <f t="shared" si="143"/>
        <v>0</v>
      </c>
      <c r="M124" s="31">
        <f>G124</f>
        <v>0</v>
      </c>
      <c r="N124" s="145">
        <f t="shared" si="144"/>
        <v>0</v>
      </c>
      <c r="O124" s="13"/>
      <c r="Q124" s="108">
        <f>M124-K124</f>
        <v>0</v>
      </c>
      <c r="S124" s="108"/>
      <c r="T124" s="108"/>
      <c r="U124" s="108">
        <f t="shared" si="138"/>
        <v>0</v>
      </c>
      <c r="W124" s="108"/>
      <c r="X124" s="108"/>
      <c r="Y124" s="108"/>
      <c r="Z124" s="108">
        <f t="shared" si="139"/>
        <v>0</v>
      </c>
      <c r="AB124" s="108">
        <f t="shared" si="140"/>
        <v>0</v>
      </c>
      <c r="AD124" s="108">
        <f t="shared" si="141"/>
        <v>0</v>
      </c>
    </row>
    <row r="125" spans="2:31" ht="15" hidden="1" customHeight="1">
      <c r="B125" s="144" t="s">
        <v>175</v>
      </c>
      <c r="C125" s="144"/>
      <c r="D125" s="83" t="s">
        <v>228</v>
      </c>
      <c r="E125" s="83"/>
      <c r="F125" s="85">
        <v>0</v>
      </c>
      <c r="G125" s="31">
        <f>SUMIF('Committed Costs '!C:C,B125,'Committed Costs '!G:G)</f>
        <v>0</v>
      </c>
      <c r="H125" s="31">
        <f>SUMIF('Change Orders'!F:F,'Project Detail'!B125,'Change Orders'!E:E)</f>
        <v>0</v>
      </c>
      <c r="I125" s="31">
        <f>SUMIF(Invoices!B:B,B125,Invoices!G:G)</f>
        <v>0</v>
      </c>
      <c r="J125" s="31">
        <v>0</v>
      </c>
      <c r="K125" s="31">
        <f t="shared" si="142"/>
        <v>0</v>
      </c>
      <c r="L125" s="108">
        <f t="shared" si="143"/>
        <v>0</v>
      </c>
      <c r="M125" s="31">
        <v>0</v>
      </c>
      <c r="N125" s="145">
        <f t="shared" si="144"/>
        <v>0</v>
      </c>
      <c r="O125" s="13"/>
      <c r="Q125" s="108">
        <f t="shared" si="137"/>
        <v>0</v>
      </c>
      <c r="S125" s="108"/>
      <c r="T125" s="108"/>
      <c r="U125" s="108">
        <f t="shared" si="138"/>
        <v>0</v>
      </c>
      <c r="W125" s="108"/>
      <c r="X125" s="108"/>
      <c r="Y125" s="108"/>
      <c r="Z125" s="108">
        <f t="shared" si="139"/>
        <v>0</v>
      </c>
      <c r="AB125" s="108">
        <f t="shared" si="140"/>
        <v>0</v>
      </c>
      <c r="AD125" s="108">
        <f t="shared" si="141"/>
        <v>0</v>
      </c>
    </row>
    <row r="126" spans="2:31" ht="15" hidden="1" customHeight="1">
      <c r="B126" s="144" t="s">
        <v>176</v>
      </c>
      <c r="C126" s="144"/>
      <c r="D126" s="83" t="s">
        <v>228</v>
      </c>
      <c r="E126" s="83"/>
      <c r="F126" s="85">
        <v>0</v>
      </c>
      <c r="G126" s="31">
        <f>SUMIF('Committed Costs '!C:C,B126,'Committed Costs '!G:G)</f>
        <v>0</v>
      </c>
      <c r="H126" s="31">
        <f>SUMIF('Change Orders'!F:F,'Project Detail'!B126,'Change Orders'!E:E)</f>
        <v>0</v>
      </c>
      <c r="I126" s="31">
        <f>SUMIF(Invoices!B:B,B126,Invoices!G:G)</f>
        <v>0</v>
      </c>
      <c r="J126" s="31">
        <v>0</v>
      </c>
      <c r="K126" s="31">
        <f t="shared" si="142"/>
        <v>0</v>
      </c>
      <c r="L126" s="108">
        <f t="shared" si="143"/>
        <v>0</v>
      </c>
      <c r="M126" s="31">
        <v>0</v>
      </c>
      <c r="N126" s="145">
        <f t="shared" si="144"/>
        <v>0</v>
      </c>
      <c r="O126" s="13"/>
      <c r="Q126" s="108">
        <f t="shared" si="137"/>
        <v>0</v>
      </c>
      <c r="S126" s="108"/>
      <c r="T126" s="108"/>
      <c r="U126" s="108">
        <f t="shared" si="138"/>
        <v>0</v>
      </c>
      <c r="W126" s="108"/>
      <c r="X126" s="108"/>
      <c r="Y126" s="108"/>
      <c r="Z126" s="108">
        <f t="shared" si="139"/>
        <v>0</v>
      </c>
      <c r="AB126" s="108">
        <f t="shared" si="140"/>
        <v>0</v>
      </c>
      <c r="AD126" s="108">
        <f t="shared" si="141"/>
        <v>0</v>
      </c>
    </row>
    <row r="127" spans="2:31" ht="15" hidden="1" customHeight="1">
      <c r="B127" s="144" t="s">
        <v>177</v>
      </c>
      <c r="C127" s="144"/>
      <c r="D127" s="83" t="s">
        <v>228</v>
      </c>
      <c r="E127" s="83"/>
      <c r="F127" s="85">
        <v>0</v>
      </c>
      <c r="G127" s="31">
        <f>SUMIF('Committed Costs '!C:C,B127,'Committed Costs '!G:G)</f>
        <v>0</v>
      </c>
      <c r="H127" s="31">
        <f>SUMIF('Change Orders'!F:F,'Project Detail'!B127,'Change Orders'!E:E)</f>
        <v>0</v>
      </c>
      <c r="I127" s="31">
        <f>SUMIF(Invoices!B:B,B127,Invoices!G:G)</f>
        <v>0</v>
      </c>
      <c r="J127" s="31">
        <v>0</v>
      </c>
      <c r="K127" s="31">
        <f t="shared" si="142"/>
        <v>0</v>
      </c>
      <c r="L127" s="108">
        <f t="shared" si="143"/>
        <v>0</v>
      </c>
      <c r="M127" s="31">
        <v>0</v>
      </c>
      <c r="N127" s="145">
        <f t="shared" si="144"/>
        <v>0</v>
      </c>
      <c r="O127" s="13"/>
      <c r="Q127" s="108">
        <f t="shared" si="137"/>
        <v>0</v>
      </c>
      <c r="S127" s="108"/>
      <c r="T127" s="108"/>
      <c r="U127" s="108">
        <f t="shared" si="138"/>
        <v>0</v>
      </c>
      <c r="W127" s="108"/>
      <c r="X127" s="108"/>
      <c r="Y127" s="108"/>
      <c r="Z127" s="108">
        <f t="shared" si="139"/>
        <v>0</v>
      </c>
      <c r="AB127" s="108">
        <f t="shared" si="140"/>
        <v>0</v>
      </c>
      <c r="AD127" s="108">
        <f t="shared" si="141"/>
        <v>0</v>
      </c>
    </row>
    <row r="128" spans="2:31" ht="15" hidden="1" customHeight="1">
      <c r="B128" s="144" t="s">
        <v>178</v>
      </c>
      <c r="C128" s="144"/>
      <c r="D128" s="83" t="s">
        <v>228</v>
      </c>
      <c r="E128" s="83"/>
      <c r="F128" s="85">
        <v>0</v>
      </c>
      <c r="G128" s="31">
        <f>SUMIF('Committed Costs '!C:C,B128,'Committed Costs '!G:G)</f>
        <v>0</v>
      </c>
      <c r="H128" s="31">
        <f>SUMIF('Change Orders'!F:F,'Project Detail'!B128,'Change Orders'!E:E)</f>
        <v>0</v>
      </c>
      <c r="I128" s="31">
        <f>SUMIF(Invoices!B:B,B128,Invoices!G:G)</f>
        <v>0</v>
      </c>
      <c r="J128" s="31">
        <v>0</v>
      </c>
      <c r="K128" s="31">
        <f t="shared" si="142"/>
        <v>0</v>
      </c>
      <c r="L128" s="108">
        <f t="shared" si="143"/>
        <v>0</v>
      </c>
      <c r="M128" s="31">
        <v>0</v>
      </c>
      <c r="N128" s="145">
        <f t="shared" si="144"/>
        <v>0</v>
      </c>
      <c r="O128" s="13"/>
      <c r="Q128" s="108">
        <f t="shared" si="137"/>
        <v>0</v>
      </c>
      <c r="S128" s="108"/>
      <c r="T128" s="108"/>
      <c r="U128" s="108">
        <f t="shared" si="138"/>
        <v>0</v>
      </c>
      <c r="W128" s="108"/>
      <c r="X128" s="108"/>
      <c r="Y128" s="108"/>
      <c r="Z128" s="108">
        <f t="shared" si="139"/>
        <v>0</v>
      </c>
      <c r="AB128" s="108">
        <f t="shared" si="140"/>
        <v>0</v>
      </c>
      <c r="AD128" s="108">
        <f t="shared" si="141"/>
        <v>0</v>
      </c>
    </row>
    <row r="129" spans="2:30" ht="15" hidden="1" customHeight="1">
      <c r="B129" s="144" t="s">
        <v>179</v>
      </c>
      <c r="C129" s="144"/>
      <c r="D129" s="83" t="s">
        <v>228</v>
      </c>
      <c r="E129" s="83"/>
      <c r="F129" s="85">
        <v>0</v>
      </c>
      <c r="G129" s="31">
        <f>SUMIF('Committed Costs '!C:C,B129,'Committed Costs '!G:G)</f>
        <v>0</v>
      </c>
      <c r="H129" s="31">
        <f>SUMIF('Change Orders'!F:F,'Project Detail'!B129,'Change Orders'!E:E)</f>
        <v>0</v>
      </c>
      <c r="I129" s="31">
        <f>SUMIF(Invoices!B:B,B129,Invoices!G:G)</f>
        <v>0</v>
      </c>
      <c r="J129" s="31">
        <v>0</v>
      </c>
      <c r="K129" s="31">
        <f t="shared" si="142"/>
        <v>0</v>
      </c>
      <c r="L129" s="108">
        <f t="shared" si="143"/>
        <v>0</v>
      </c>
      <c r="M129" s="31">
        <v>0</v>
      </c>
      <c r="N129" s="145">
        <f t="shared" si="144"/>
        <v>0</v>
      </c>
      <c r="O129" s="13"/>
      <c r="Q129" s="108">
        <f t="shared" si="137"/>
        <v>0</v>
      </c>
      <c r="S129" s="108"/>
      <c r="T129" s="108"/>
      <c r="U129" s="108">
        <f t="shared" si="138"/>
        <v>0</v>
      </c>
      <c r="W129" s="108"/>
      <c r="X129" s="108"/>
      <c r="Y129" s="108"/>
      <c r="Z129" s="108">
        <f t="shared" si="139"/>
        <v>0</v>
      </c>
      <c r="AB129" s="108">
        <f t="shared" si="140"/>
        <v>0</v>
      </c>
      <c r="AD129" s="108">
        <f t="shared" si="141"/>
        <v>0</v>
      </c>
    </row>
    <row r="130" spans="2:30" ht="15" customHeight="1">
      <c r="B130" s="144"/>
      <c r="C130" s="144">
        <v>306</v>
      </c>
      <c r="D130" s="205"/>
      <c r="E130" s="179" t="s">
        <v>84</v>
      </c>
      <c r="F130" s="186">
        <f t="shared" ref="F130:N130" si="145">SUM(F120:F129)</f>
        <v>93000</v>
      </c>
      <c r="G130" s="186">
        <f t="shared" si="145"/>
        <v>0</v>
      </c>
      <c r="H130" s="186">
        <f t="shared" si="145"/>
        <v>0</v>
      </c>
      <c r="I130" s="186">
        <f t="shared" si="145"/>
        <v>0</v>
      </c>
      <c r="J130" s="186">
        <f t="shared" si="145"/>
        <v>0</v>
      </c>
      <c r="K130" s="186">
        <f t="shared" si="145"/>
        <v>0</v>
      </c>
      <c r="L130" s="186">
        <f t="shared" si="145"/>
        <v>0</v>
      </c>
      <c r="M130" s="186">
        <f t="shared" si="145"/>
        <v>0</v>
      </c>
      <c r="N130" s="186">
        <f t="shared" si="145"/>
        <v>93000</v>
      </c>
      <c r="O130" s="13"/>
      <c r="Q130" s="186">
        <f>SUM(Q120:Q129)</f>
        <v>0</v>
      </c>
      <c r="S130" s="186">
        <f>SUM(S120:S129)</f>
        <v>0</v>
      </c>
      <c r="T130" s="186">
        <f>SUM(T120:T129)</f>
        <v>0</v>
      </c>
      <c r="U130" s="186">
        <f t="shared" ref="U130" si="146">SUM(U120:U129)</f>
        <v>0</v>
      </c>
      <c r="W130" s="186">
        <f t="shared" ref="W130:Z130" si="147">SUM(W120:W129)</f>
        <v>0</v>
      </c>
      <c r="X130" s="186">
        <f t="shared" si="147"/>
        <v>0</v>
      </c>
      <c r="Y130" s="186">
        <f t="shared" si="147"/>
        <v>0</v>
      </c>
      <c r="Z130" s="186">
        <f t="shared" si="147"/>
        <v>0</v>
      </c>
      <c r="AB130" s="186">
        <f>SUM(AB120:AB129)</f>
        <v>0</v>
      </c>
      <c r="AD130" s="186">
        <f>AD120+AD121+AD122+AD123+AD124+AD125+AD126+AD127+AD128+AD129</f>
        <v>0</v>
      </c>
    </row>
    <row r="131" spans="2:30" ht="15" customHeight="1">
      <c r="B131" s="206">
        <v>307</v>
      </c>
      <c r="C131" s="207"/>
      <c r="D131" s="208" t="s">
        <v>186</v>
      </c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10"/>
      <c r="Q131" s="118"/>
      <c r="S131" s="209"/>
      <c r="T131" s="209"/>
      <c r="U131" s="209"/>
      <c r="W131" s="209"/>
      <c r="X131" s="209"/>
      <c r="Y131" s="209"/>
      <c r="Z131" s="209"/>
      <c r="AB131" s="209"/>
      <c r="AD131" s="118"/>
    </row>
    <row r="132" spans="2:30" ht="15" customHeight="1">
      <c r="B132" s="144" t="s">
        <v>182</v>
      </c>
      <c r="C132" s="144"/>
      <c r="D132" s="83" t="s">
        <v>228</v>
      </c>
      <c r="E132" s="83" t="s">
        <v>186</v>
      </c>
      <c r="F132" s="85">
        <v>0</v>
      </c>
      <c r="G132" s="31">
        <f>SUMIF('Committed Costs '!C:C,B132,'Committed Costs '!G:G)</f>
        <v>0</v>
      </c>
      <c r="H132" s="31">
        <f>SUMIF('Change Orders'!F:F,'Project Detail'!B132,'Change Orders'!E:E)</f>
        <v>0</v>
      </c>
      <c r="I132" s="31">
        <f>SUMIF(Invoices!B:B,B132,Invoices!G:G)</f>
        <v>0</v>
      </c>
      <c r="J132" s="31">
        <v>0</v>
      </c>
      <c r="K132" s="31">
        <f>I132-J132</f>
        <v>0</v>
      </c>
      <c r="L132" s="108">
        <f>+M132-G132</f>
        <v>0</v>
      </c>
      <c r="M132" s="108">
        <v>0</v>
      </c>
      <c r="N132" s="108">
        <f>F132-M132</f>
        <v>0</v>
      </c>
      <c r="O132" s="83"/>
      <c r="Q132" s="108">
        <f>M132-K132</f>
        <v>0</v>
      </c>
      <c r="S132" s="108"/>
      <c r="T132" s="108"/>
      <c r="U132" s="108">
        <f>S132+T132</f>
        <v>0</v>
      </c>
      <c r="W132" s="108"/>
      <c r="X132" s="108"/>
      <c r="Y132" s="108"/>
      <c r="Z132" s="108">
        <f t="shared" ref="Z132:Z135" si="148">W132+X132+Y132</f>
        <v>0</v>
      </c>
      <c r="AB132" s="108">
        <f t="shared" ref="AB132:AB135" si="149">U132+Z132</f>
        <v>0</v>
      </c>
      <c r="AD132" s="108">
        <f t="shared" ref="AD132:AD135" si="150">Q132-AB132</f>
        <v>0</v>
      </c>
    </row>
    <row r="133" spans="2:30" ht="15" hidden="1" customHeight="1">
      <c r="B133" s="144" t="s">
        <v>183</v>
      </c>
      <c r="C133" s="144"/>
      <c r="D133" s="83"/>
      <c r="E133" s="83"/>
      <c r="F133" s="85">
        <v>0</v>
      </c>
      <c r="G133" s="31">
        <f>SUMIF('Committed Costs '!C:C,B133,'Committed Costs '!G:G)</f>
        <v>0</v>
      </c>
      <c r="H133" s="31">
        <f>SUMIF('Change Orders'!F:F,'Project Detail'!B133,'Change Orders'!E:E)</f>
        <v>0</v>
      </c>
      <c r="I133" s="31">
        <f>SUMIF(Invoices!B:B,B133,Invoices!G:G)</f>
        <v>0</v>
      </c>
      <c r="J133" s="31">
        <v>0</v>
      </c>
      <c r="K133" s="31">
        <f t="shared" ref="K133:K135" si="151">I133-J133</f>
        <v>0</v>
      </c>
      <c r="L133" s="31">
        <f t="shared" ref="L133:L135" si="152">+M133-G133</f>
        <v>0</v>
      </c>
      <c r="M133" s="31">
        <v>0</v>
      </c>
      <c r="N133" s="31">
        <f t="shared" ref="N133:N135" si="153">F133-M133</f>
        <v>0</v>
      </c>
      <c r="O133" s="83"/>
      <c r="Q133" s="108">
        <f t="shared" ref="Q133:Q135" si="154">M133-K133</f>
        <v>0</v>
      </c>
      <c r="S133" s="108"/>
      <c r="T133" s="108"/>
      <c r="U133" s="108">
        <f>S133+T133</f>
        <v>0</v>
      </c>
      <c r="W133" s="108"/>
      <c r="X133" s="108"/>
      <c r="Y133" s="108"/>
      <c r="Z133" s="108">
        <f t="shared" si="148"/>
        <v>0</v>
      </c>
      <c r="AB133" s="108">
        <f t="shared" si="149"/>
        <v>0</v>
      </c>
      <c r="AD133" s="108">
        <f t="shared" si="150"/>
        <v>0</v>
      </c>
    </row>
    <row r="134" spans="2:30" ht="15" hidden="1" customHeight="1">
      <c r="B134" s="144" t="s">
        <v>184</v>
      </c>
      <c r="C134" s="144"/>
      <c r="D134" s="83"/>
      <c r="E134" s="83"/>
      <c r="F134" s="85">
        <f>65000-65000</f>
        <v>0</v>
      </c>
      <c r="G134" s="31">
        <f>SUMIF('Committed Costs '!C:C,B134,'Committed Costs '!G:G)</f>
        <v>0</v>
      </c>
      <c r="H134" s="31">
        <f>SUMIF('Change Orders'!F:F,'Project Detail'!B134,'Change Orders'!E:E)</f>
        <v>0</v>
      </c>
      <c r="I134" s="31">
        <f>SUMIF(Invoices!B:B,B134,Invoices!G:G)</f>
        <v>0</v>
      </c>
      <c r="J134" s="31">
        <v>0</v>
      </c>
      <c r="K134" s="31">
        <f t="shared" si="151"/>
        <v>0</v>
      </c>
      <c r="L134" s="31">
        <f t="shared" si="152"/>
        <v>0</v>
      </c>
      <c r="M134" s="31">
        <f t="shared" ref="M134:M136" si="155">IF((F134+H134)&gt;G134,F134+H134,G134)</f>
        <v>0</v>
      </c>
      <c r="N134" s="145">
        <f t="shared" si="153"/>
        <v>0</v>
      </c>
      <c r="O134" s="83"/>
      <c r="Q134" s="108">
        <f t="shared" si="154"/>
        <v>0</v>
      </c>
      <c r="S134" s="31"/>
      <c r="T134" s="31"/>
      <c r="U134" s="108">
        <f>S134+T134</f>
        <v>0</v>
      </c>
      <c r="W134" s="31"/>
      <c r="X134" s="31"/>
      <c r="Y134" s="31"/>
      <c r="Z134" s="108">
        <f t="shared" si="148"/>
        <v>0</v>
      </c>
      <c r="AB134" s="108">
        <f t="shared" si="149"/>
        <v>0</v>
      </c>
      <c r="AD134" s="108">
        <f t="shared" si="150"/>
        <v>0</v>
      </c>
    </row>
    <row r="135" spans="2:30" ht="15" hidden="1" customHeight="1">
      <c r="B135" s="144" t="s">
        <v>185</v>
      </c>
      <c r="C135" s="144"/>
      <c r="D135" s="83"/>
      <c r="E135" s="83"/>
      <c r="F135" s="85">
        <v>0</v>
      </c>
      <c r="G135" s="31">
        <f>SUMIF('Committed Costs '!C:C,B135,'Committed Costs '!G:G)</f>
        <v>0</v>
      </c>
      <c r="H135" s="31">
        <f>SUMIF('Change Orders'!F:F,'Project Detail'!B135,'Change Orders'!E:E)</f>
        <v>0</v>
      </c>
      <c r="I135" s="31">
        <f>SUMIF(Invoices!B:B,B135,Invoices!G:G)</f>
        <v>0</v>
      </c>
      <c r="J135" s="31">
        <v>0</v>
      </c>
      <c r="K135" s="31">
        <f t="shared" si="151"/>
        <v>0</v>
      </c>
      <c r="L135" s="108">
        <f t="shared" si="152"/>
        <v>0</v>
      </c>
      <c r="M135" s="108">
        <v>0</v>
      </c>
      <c r="N135" s="108">
        <f t="shared" si="153"/>
        <v>0</v>
      </c>
      <c r="O135" s="83"/>
      <c r="Q135" s="108">
        <f t="shared" si="154"/>
        <v>0</v>
      </c>
      <c r="S135" s="108"/>
      <c r="T135" s="108"/>
      <c r="U135" s="108">
        <f>S135+T135</f>
        <v>0</v>
      </c>
      <c r="W135" s="108"/>
      <c r="X135" s="108"/>
      <c r="Y135" s="108"/>
      <c r="Z135" s="108">
        <f t="shared" si="148"/>
        <v>0</v>
      </c>
      <c r="AB135" s="108">
        <f t="shared" si="149"/>
        <v>0</v>
      </c>
      <c r="AD135" s="108">
        <f t="shared" si="150"/>
        <v>0</v>
      </c>
    </row>
    <row r="136" spans="2:30" ht="15" hidden="1" customHeight="1">
      <c r="B136" s="144" t="s">
        <v>271</v>
      </c>
      <c r="C136" s="144"/>
      <c r="D136" s="83"/>
      <c r="E136" s="83"/>
      <c r="F136" s="85">
        <v>0</v>
      </c>
      <c r="G136" s="31">
        <f>SUMIF('Committed Costs '!C:C,B136,'Committed Costs '!G:G)</f>
        <v>0</v>
      </c>
      <c r="H136" s="31">
        <f>SUMIF('Change Orders'!F:F,'Project Detail'!B136,'Change Orders'!E:E)</f>
        <v>0</v>
      </c>
      <c r="I136" s="31">
        <f>SUMIF(Invoices!B:B,B136,Invoices!G:G)</f>
        <v>0</v>
      </c>
      <c r="J136" s="31">
        <v>0</v>
      </c>
      <c r="K136" s="31">
        <f t="shared" ref="K136" si="156">I136-J136</f>
        <v>0</v>
      </c>
      <c r="L136" s="108">
        <f>+M136-G136</f>
        <v>0</v>
      </c>
      <c r="M136" s="31">
        <f t="shared" si="155"/>
        <v>0</v>
      </c>
      <c r="N136" s="108">
        <f t="shared" ref="N136" si="157">F136-M136</f>
        <v>0</v>
      </c>
      <c r="O136" s="83"/>
      <c r="Q136" s="108"/>
      <c r="S136" s="108"/>
      <c r="T136" s="108"/>
      <c r="U136" s="108"/>
      <c r="W136" s="108"/>
      <c r="X136" s="108"/>
      <c r="Y136" s="108"/>
      <c r="Z136" s="108"/>
      <c r="AB136" s="108"/>
      <c r="AD136" s="108"/>
    </row>
    <row r="137" spans="2:30" ht="15" hidden="1" customHeight="1">
      <c r="B137" s="144" t="s">
        <v>272</v>
      </c>
      <c r="C137" s="144"/>
      <c r="D137" s="83"/>
      <c r="E137" s="83"/>
      <c r="F137" s="85">
        <v>0</v>
      </c>
      <c r="G137" s="31">
        <f>SUMIF('Committed Costs '!C:C,B137,'Committed Costs '!G:G)</f>
        <v>0</v>
      </c>
      <c r="H137" s="31">
        <f>SUMIF('Change Orders'!F:F,'Project Detail'!B137,'Change Orders'!E:E)</f>
        <v>0</v>
      </c>
      <c r="I137" s="31">
        <f>SUMIF(Invoices!B:B,B137,Invoices!G:G)</f>
        <v>0</v>
      </c>
      <c r="J137" s="31">
        <v>0</v>
      </c>
      <c r="K137" s="31">
        <f t="shared" ref="K137" si="158">I137-J137</f>
        <v>0</v>
      </c>
      <c r="L137" s="108">
        <f>+M137-G137</f>
        <v>0</v>
      </c>
      <c r="M137" s="31">
        <f t="shared" ref="M137" si="159">IF((F137+H137)&gt;G137,F137+H137,G137)</f>
        <v>0</v>
      </c>
      <c r="N137" s="108">
        <f t="shared" ref="N137" si="160">F137-M137</f>
        <v>0</v>
      </c>
      <c r="O137" s="83"/>
      <c r="Q137" s="108"/>
      <c r="S137" s="108"/>
      <c r="T137" s="108"/>
      <c r="U137" s="108"/>
      <c r="W137" s="108"/>
      <c r="X137" s="108"/>
      <c r="Y137" s="108"/>
      <c r="Z137" s="108"/>
      <c r="AB137" s="108"/>
      <c r="AD137" s="108"/>
    </row>
    <row r="138" spans="2:30" ht="15" customHeight="1">
      <c r="B138" s="144"/>
      <c r="C138" s="144">
        <v>307</v>
      </c>
      <c r="D138" s="205"/>
      <c r="E138" s="179" t="s">
        <v>187</v>
      </c>
      <c r="F138" s="186">
        <f>SUM(F132:F137)</f>
        <v>0</v>
      </c>
      <c r="G138" s="186">
        <f>SUM(G132:G137)</f>
        <v>0</v>
      </c>
      <c r="H138" s="186">
        <f t="shared" ref="H138:N138" si="161">SUM(H132:H137)</f>
        <v>0</v>
      </c>
      <c r="I138" s="186">
        <f t="shared" si="161"/>
        <v>0</v>
      </c>
      <c r="J138" s="186">
        <f t="shared" si="161"/>
        <v>0</v>
      </c>
      <c r="K138" s="186">
        <f>SUM(K132:K137)</f>
        <v>0</v>
      </c>
      <c r="L138" s="186">
        <f t="shared" si="161"/>
        <v>0</v>
      </c>
      <c r="M138" s="186">
        <f t="shared" si="161"/>
        <v>0</v>
      </c>
      <c r="N138" s="186">
        <f t="shared" si="161"/>
        <v>0</v>
      </c>
      <c r="O138" s="13"/>
      <c r="Q138" s="186">
        <f>SUM(Q132:Q135)</f>
        <v>0</v>
      </c>
      <c r="S138" s="186">
        <f>SUM(S132:S135)</f>
        <v>0</v>
      </c>
      <c r="T138" s="186">
        <f>SUM(T132:T135)</f>
        <v>0</v>
      </c>
      <c r="U138" s="186">
        <f t="shared" ref="U138" si="162">SUM(U132:U135)</f>
        <v>0</v>
      </c>
      <c r="W138" s="186">
        <f t="shared" ref="W138:Z138" si="163">SUM(W132:W135)</f>
        <v>0</v>
      </c>
      <c r="X138" s="186">
        <f t="shared" si="163"/>
        <v>0</v>
      </c>
      <c r="Y138" s="186">
        <f t="shared" si="163"/>
        <v>0</v>
      </c>
      <c r="Z138" s="186">
        <f t="shared" si="163"/>
        <v>0</v>
      </c>
      <c r="AB138" s="186">
        <f>SUM(AB132:AB135)</f>
        <v>0</v>
      </c>
      <c r="AD138" s="186">
        <f>SUM(AD132:AD135)</f>
        <v>0</v>
      </c>
    </row>
    <row r="139" spans="2:30" ht="15" customHeight="1">
      <c r="B139" s="206">
        <v>308</v>
      </c>
      <c r="C139" s="207"/>
      <c r="D139" s="208" t="s">
        <v>27</v>
      </c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10"/>
      <c r="Q139" s="118"/>
      <c r="S139" s="209"/>
      <c r="T139" s="209"/>
      <c r="U139" s="209"/>
      <c r="W139" s="209"/>
      <c r="X139" s="209"/>
      <c r="Y139" s="209"/>
      <c r="Z139" s="209"/>
      <c r="AB139" s="209"/>
      <c r="AD139" s="118"/>
    </row>
    <row r="140" spans="2:30" ht="15" customHeight="1">
      <c r="B140" s="144" t="s">
        <v>189</v>
      </c>
      <c r="C140" s="144"/>
      <c r="D140" s="83" t="s">
        <v>228</v>
      </c>
      <c r="E140" s="83" t="s">
        <v>27</v>
      </c>
      <c r="F140" s="85">
        <v>0</v>
      </c>
      <c r="G140" s="31">
        <f>SUMIF('Committed Costs '!C:C,B140,'Committed Costs '!G:G)</f>
        <v>0</v>
      </c>
      <c r="H140" s="31">
        <f>SUMIF('Change Orders'!F:F,'Project Detail'!B140,'Change Orders'!E:E)</f>
        <v>0</v>
      </c>
      <c r="I140" s="31">
        <f>SUMIF(Invoices!B:B,B140,Invoices!G:G)</f>
        <v>0</v>
      </c>
      <c r="J140" s="31">
        <v>0</v>
      </c>
      <c r="K140" s="31">
        <f>I140-J140</f>
        <v>0</v>
      </c>
      <c r="L140" s="31">
        <f>+M140-G140</f>
        <v>0</v>
      </c>
      <c r="M140" s="31">
        <f>G140</f>
        <v>0</v>
      </c>
      <c r="N140" s="31">
        <f>F140-M140</f>
        <v>0</v>
      </c>
      <c r="O140" s="13"/>
      <c r="Q140" s="108">
        <f t="shared" ref="Q140:Q142" si="164">M140-K140</f>
        <v>0</v>
      </c>
      <c r="S140" s="108"/>
      <c r="T140" s="108"/>
      <c r="U140" s="108">
        <f t="shared" ref="U140:U149" si="165">S140+T140</f>
        <v>0</v>
      </c>
      <c r="W140" s="108"/>
      <c r="X140" s="108"/>
      <c r="Y140" s="108"/>
      <c r="Z140" s="108">
        <f t="shared" ref="Z140:Z149" si="166">W140+X140+Y140</f>
        <v>0</v>
      </c>
      <c r="AB140" s="108">
        <f t="shared" ref="AB140:AB149" si="167">U140+Z140</f>
        <v>0</v>
      </c>
      <c r="AD140" s="108">
        <f t="shared" ref="AD140:AD149" si="168">Q140-AB140</f>
        <v>0</v>
      </c>
    </row>
    <row r="141" spans="2:30" ht="15" hidden="1" customHeight="1">
      <c r="B141" s="144" t="s">
        <v>190</v>
      </c>
      <c r="C141" s="144"/>
      <c r="D141" s="83"/>
      <c r="E141" s="83"/>
      <c r="F141" s="85">
        <f>150-150</f>
        <v>0</v>
      </c>
      <c r="G141" s="31">
        <f>SUMIF('Committed Costs '!C:C,B141,'Committed Costs '!G:G)</f>
        <v>0</v>
      </c>
      <c r="H141" s="31">
        <f>SUMIF('Change Orders'!F:F,'Project Detail'!B141,'Change Orders'!E:E)</f>
        <v>0</v>
      </c>
      <c r="I141" s="31">
        <f>SUMIF(Invoices!B:B,B141,Invoices!G:G)</f>
        <v>0</v>
      </c>
      <c r="J141" s="31">
        <v>0</v>
      </c>
      <c r="K141" s="31">
        <f t="shared" ref="K141:K144" si="169">I141-J141</f>
        <v>0</v>
      </c>
      <c r="L141" s="31">
        <f t="shared" ref="L141:L144" si="170">+M141-G141</f>
        <v>0</v>
      </c>
      <c r="M141" s="31">
        <f t="shared" ref="M141:M142" si="171">IF((F141+H141)&gt;G141,F141+H141,G141)</f>
        <v>0</v>
      </c>
      <c r="N141" s="145">
        <f t="shared" ref="N141:N144" si="172">F141-M141</f>
        <v>0</v>
      </c>
      <c r="O141" s="13"/>
      <c r="Q141" s="108">
        <f t="shared" si="164"/>
        <v>0</v>
      </c>
      <c r="S141" s="108"/>
      <c r="T141" s="108"/>
      <c r="U141" s="108">
        <f t="shared" si="165"/>
        <v>0</v>
      </c>
      <c r="W141" s="108"/>
      <c r="X141" s="108"/>
      <c r="Y141" s="108"/>
      <c r="Z141" s="108">
        <f t="shared" si="166"/>
        <v>0</v>
      </c>
      <c r="AB141" s="108">
        <f t="shared" si="167"/>
        <v>0</v>
      </c>
      <c r="AD141" s="108">
        <f t="shared" si="168"/>
        <v>0</v>
      </c>
    </row>
    <row r="142" spans="2:30" ht="15" hidden="1" customHeight="1">
      <c r="B142" s="144" t="s">
        <v>191</v>
      </c>
      <c r="C142" s="144"/>
      <c r="D142" s="83"/>
      <c r="E142" s="83"/>
      <c r="F142" s="85">
        <f>250-250</f>
        <v>0</v>
      </c>
      <c r="G142" s="31">
        <f>SUMIF('Committed Costs '!C:C,B142,'Committed Costs '!G:G)</f>
        <v>0</v>
      </c>
      <c r="H142" s="31">
        <f>SUMIF('Change Orders'!F:F,'Project Detail'!B142,'Change Orders'!E:E)</f>
        <v>0</v>
      </c>
      <c r="I142" s="31">
        <f>SUMIF(Invoices!B:B,B142,Invoices!G:G)</f>
        <v>0</v>
      </c>
      <c r="J142" s="31">
        <v>0</v>
      </c>
      <c r="K142" s="31">
        <f t="shared" si="169"/>
        <v>0</v>
      </c>
      <c r="L142" s="31">
        <f t="shared" si="170"/>
        <v>0</v>
      </c>
      <c r="M142" s="31">
        <f t="shared" si="171"/>
        <v>0</v>
      </c>
      <c r="N142" s="145">
        <f t="shared" si="172"/>
        <v>0</v>
      </c>
      <c r="O142" s="13"/>
      <c r="Q142" s="108">
        <f t="shared" si="164"/>
        <v>0</v>
      </c>
      <c r="S142" s="108"/>
      <c r="T142" s="108"/>
      <c r="U142" s="108">
        <f t="shared" si="165"/>
        <v>0</v>
      </c>
      <c r="W142" s="108"/>
      <c r="X142" s="108"/>
      <c r="Y142" s="108"/>
      <c r="Z142" s="108">
        <f t="shared" si="166"/>
        <v>0</v>
      </c>
      <c r="AB142" s="108">
        <f t="shared" si="167"/>
        <v>0</v>
      </c>
      <c r="AD142" s="108">
        <f t="shared" si="168"/>
        <v>0</v>
      </c>
    </row>
    <row r="143" spans="2:30" ht="15" hidden="1" customHeight="1">
      <c r="B143" s="144" t="s">
        <v>192</v>
      </c>
      <c r="C143" s="144"/>
      <c r="D143" s="83"/>
      <c r="E143" s="83"/>
      <c r="F143" s="85">
        <v>0</v>
      </c>
      <c r="G143" s="31">
        <f>SUMIF('Committed Costs '!C:C,B143,'Committed Costs '!G:G)</f>
        <v>0</v>
      </c>
      <c r="H143" s="31">
        <f>SUMIF('Change Orders'!F:F,'Project Detail'!B143,'Change Orders'!E:E)</f>
        <v>0</v>
      </c>
      <c r="I143" s="31">
        <f>SUMIF(Invoices!B:B,B143,Invoices!G:G)</f>
        <v>0</v>
      </c>
      <c r="J143" s="31">
        <v>0</v>
      </c>
      <c r="K143" s="31">
        <f t="shared" ref="K143" si="173">I143-J143</f>
        <v>0</v>
      </c>
      <c r="L143" s="31">
        <f t="shared" ref="L143" si="174">+M143-G143</f>
        <v>0</v>
      </c>
      <c r="M143" s="31">
        <f t="shared" ref="M143" si="175">IF((F143+H143)&gt;G143,F143+H143,G143)</f>
        <v>0</v>
      </c>
      <c r="N143" s="31">
        <f t="shared" ref="N143" si="176">F143-M143</f>
        <v>0</v>
      </c>
      <c r="O143" s="93"/>
      <c r="Q143" s="108">
        <f t="shared" ref="Q143:Q149" si="177">M143-K143</f>
        <v>0</v>
      </c>
      <c r="S143" s="108"/>
      <c r="T143" s="108"/>
      <c r="U143" s="108">
        <f t="shared" si="165"/>
        <v>0</v>
      </c>
      <c r="W143" s="108"/>
      <c r="X143" s="108"/>
      <c r="Y143" s="108"/>
      <c r="Z143" s="108">
        <f t="shared" si="166"/>
        <v>0</v>
      </c>
      <c r="AB143" s="108">
        <f t="shared" si="167"/>
        <v>0</v>
      </c>
      <c r="AD143" s="108">
        <f t="shared" si="168"/>
        <v>0</v>
      </c>
    </row>
    <row r="144" spans="2:30" ht="15" hidden="1" customHeight="1">
      <c r="B144" s="144" t="s">
        <v>197</v>
      </c>
      <c r="C144" s="144"/>
      <c r="D144" s="83"/>
      <c r="E144" s="83"/>
      <c r="F144" s="85">
        <v>0</v>
      </c>
      <c r="G144" s="31">
        <f>SUMIF('Committed Costs '!C:C,B144,'Committed Costs '!G:G)</f>
        <v>0</v>
      </c>
      <c r="H144" s="31">
        <f>SUMIF('Change Orders'!F:F,'Project Detail'!B144,'Change Orders'!E:E)</f>
        <v>0</v>
      </c>
      <c r="I144" s="31">
        <f>SUMIF(Invoices!B:B,B144,Invoices!G:G)</f>
        <v>0</v>
      </c>
      <c r="J144" s="31">
        <v>0</v>
      </c>
      <c r="K144" s="31">
        <f t="shared" si="169"/>
        <v>0</v>
      </c>
      <c r="L144" s="108">
        <f t="shared" si="170"/>
        <v>0</v>
      </c>
      <c r="M144" s="31">
        <v>0</v>
      </c>
      <c r="N144" s="145">
        <f t="shared" si="172"/>
        <v>0</v>
      </c>
      <c r="O144" s="13"/>
      <c r="Q144" s="108">
        <f t="shared" si="177"/>
        <v>0</v>
      </c>
      <c r="S144" s="108"/>
      <c r="T144" s="108"/>
      <c r="U144" s="108">
        <f t="shared" si="165"/>
        <v>0</v>
      </c>
      <c r="W144" s="108"/>
      <c r="X144" s="108"/>
      <c r="Y144" s="108"/>
      <c r="Z144" s="108">
        <f t="shared" si="166"/>
        <v>0</v>
      </c>
      <c r="AB144" s="108">
        <f t="shared" si="167"/>
        <v>0</v>
      </c>
      <c r="AD144" s="108">
        <f t="shared" si="168"/>
        <v>0</v>
      </c>
    </row>
    <row r="145" spans="2:30" ht="15" hidden="1" customHeight="1">
      <c r="B145" s="144" t="s">
        <v>198</v>
      </c>
      <c r="C145" s="144"/>
      <c r="D145" s="83"/>
      <c r="E145" s="83"/>
      <c r="F145" s="85">
        <v>0</v>
      </c>
      <c r="G145" s="31">
        <f>SUMIF('Committed Costs '!C:C,B145,'Committed Costs '!G:G)</f>
        <v>0</v>
      </c>
      <c r="H145" s="31">
        <f>SUMIF('Change Orders'!F:F,'Project Detail'!B145,'Change Orders'!E:E)</f>
        <v>0</v>
      </c>
      <c r="I145" s="31">
        <f>SUMIF(Invoices!B:B,B145,Invoices!G:G)</f>
        <v>0</v>
      </c>
      <c r="J145" s="31">
        <v>0</v>
      </c>
      <c r="K145" s="31">
        <f t="shared" ref="K145:K149" si="178">I145-J145</f>
        <v>0</v>
      </c>
      <c r="L145" s="108">
        <f t="shared" ref="L145:L149" si="179">+M145-G145</f>
        <v>0</v>
      </c>
      <c r="M145" s="31">
        <f t="shared" ref="M145" si="180">IF((F145+H145)&gt;G145,F145+H145,G145)</f>
        <v>0</v>
      </c>
      <c r="N145" s="31">
        <f t="shared" ref="N145:N149" si="181">F145-M145</f>
        <v>0</v>
      </c>
      <c r="O145" s="83"/>
      <c r="Q145" s="108">
        <f t="shared" si="177"/>
        <v>0</v>
      </c>
      <c r="S145" s="108"/>
      <c r="T145" s="108"/>
      <c r="U145" s="108">
        <f t="shared" si="165"/>
        <v>0</v>
      </c>
      <c r="W145" s="108"/>
      <c r="X145" s="108"/>
      <c r="Y145" s="108"/>
      <c r="Z145" s="108">
        <f t="shared" si="166"/>
        <v>0</v>
      </c>
      <c r="AB145" s="108">
        <f t="shared" si="167"/>
        <v>0</v>
      </c>
      <c r="AD145" s="108">
        <f t="shared" si="168"/>
        <v>0</v>
      </c>
    </row>
    <row r="146" spans="2:30" ht="15" hidden="1" customHeight="1">
      <c r="B146" s="144" t="s">
        <v>199</v>
      </c>
      <c r="C146" s="144"/>
      <c r="D146" s="83"/>
      <c r="E146" s="83"/>
      <c r="F146" s="85">
        <v>0</v>
      </c>
      <c r="G146" s="31">
        <f>SUMIF('Committed Costs '!C:C,B146,'Committed Costs '!G:G)</f>
        <v>0</v>
      </c>
      <c r="H146" s="31">
        <f>SUMIF('Change Orders'!F:F,'Project Detail'!B146,'Change Orders'!E:E)</f>
        <v>0</v>
      </c>
      <c r="I146" s="31">
        <f>SUMIF(Invoices!B:B,B146,Invoices!G:G)</f>
        <v>0</v>
      </c>
      <c r="J146" s="31">
        <v>0</v>
      </c>
      <c r="K146" s="31">
        <f t="shared" si="178"/>
        <v>0</v>
      </c>
      <c r="L146" s="108">
        <f t="shared" si="179"/>
        <v>0</v>
      </c>
      <c r="M146" s="31">
        <v>0</v>
      </c>
      <c r="N146" s="145">
        <f t="shared" si="181"/>
        <v>0</v>
      </c>
      <c r="O146" s="13"/>
      <c r="Q146" s="108">
        <f t="shared" si="177"/>
        <v>0</v>
      </c>
      <c r="S146" s="108"/>
      <c r="T146" s="108"/>
      <c r="U146" s="108">
        <f t="shared" si="165"/>
        <v>0</v>
      </c>
      <c r="W146" s="108"/>
      <c r="X146" s="108"/>
      <c r="Y146" s="108"/>
      <c r="Z146" s="108">
        <f t="shared" si="166"/>
        <v>0</v>
      </c>
      <c r="AB146" s="108">
        <f t="shared" si="167"/>
        <v>0</v>
      </c>
      <c r="AD146" s="108">
        <f t="shared" si="168"/>
        <v>0</v>
      </c>
    </row>
    <row r="147" spans="2:30" ht="15" hidden="1" customHeight="1">
      <c r="B147" s="144" t="s">
        <v>200</v>
      </c>
      <c r="C147" s="144"/>
      <c r="D147" s="83"/>
      <c r="E147" s="83"/>
      <c r="F147" s="85">
        <v>0</v>
      </c>
      <c r="G147" s="31">
        <f>SUMIF('Committed Costs '!C:C,B147,'Committed Costs '!G:G)</f>
        <v>0</v>
      </c>
      <c r="H147" s="31">
        <f>SUMIF('Change Orders'!F:F,'Project Detail'!B147,'Change Orders'!E:E)</f>
        <v>0</v>
      </c>
      <c r="I147" s="31">
        <f>SUMIF(Invoices!B:B,B147,Invoices!G:G)</f>
        <v>0</v>
      </c>
      <c r="J147" s="31">
        <v>0</v>
      </c>
      <c r="K147" s="31">
        <f t="shared" si="178"/>
        <v>0</v>
      </c>
      <c r="L147" s="108">
        <f t="shared" si="179"/>
        <v>0</v>
      </c>
      <c r="M147" s="31">
        <v>0</v>
      </c>
      <c r="N147" s="145">
        <f t="shared" si="181"/>
        <v>0</v>
      </c>
      <c r="O147" s="13"/>
      <c r="Q147" s="108">
        <f t="shared" si="177"/>
        <v>0</v>
      </c>
      <c r="S147" s="108"/>
      <c r="T147" s="108"/>
      <c r="U147" s="108">
        <f t="shared" si="165"/>
        <v>0</v>
      </c>
      <c r="W147" s="108"/>
      <c r="X147" s="108"/>
      <c r="Y147" s="108"/>
      <c r="Z147" s="108">
        <f t="shared" si="166"/>
        <v>0</v>
      </c>
      <c r="AB147" s="108">
        <f t="shared" si="167"/>
        <v>0</v>
      </c>
      <c r="AD147" s="108">
        <f t="shared" si="168"/>
        <v>0</v>
      </c>
    </row>
    <row r="148" spans="2:30" ht="15" hidden="1" customHeight="1">
      <c r="B148" s="144" t="s">
        <v>201</v>
      </c>
      <c r="C148" s="144"/>
      <c r="D148" s="83"/>
      <c r="E148" s="83"/>
      <c r="F148" s="85">
        <v>0</v>
      </c>
      <c r="G148" s="31">
        <f>SUMIF('Committed Costs '!C:C,B148,'Committed Costs '!G:G)</f>
        <v>0</v>
      </c>
      <c r="H148" s="31">
        <f>SUMIF('Change Orders'!F:F,'Project Detail'!B148,'Change Orders'!E:E)</f>
        <v>0</v>
      </c>
      <c r="I148" s="31">
        <f>SUMIF(Invoices!B:B,B148,Invoices!G:G)</f>
        <v>0</v>
      </c>
      <c r="J148" s="31">
        <v>0</v>
      </c>
      <c r="K148" s="31">
        <f t="shared" si="178"/>
        <v>0</v>
      </c>
      <c r="L148" s="108">
        <f t="shared" si="179"/>
        <v>0</v>
      </c>
      <c r="M148" s="31">
        <v>0</v>
      </c>
      <c r="N148" s="31">
        <f t="shared" si="181"/>
        <v>0</v>
      </c>
      <c r="O148" s="83"/>
      <c r="Q148" s="108">
        <f t="shared" si="177"/>
        <v>0</v>
      </c>
      <c r="S148" s="108"/>
      <c r="T148" s="108"/>
      <c r="U148" s="108">
        <f t="shared" si="165"/>
        <v>0</v>
      </c>
      <c r="W148" s="108"/>
      <c r="X148" s="108"/>
      <c r="Y148" s="108"/>
      <c r="Z148" s="108">
        <f t="shared" si="166"/>
        <v>0</v>
      </c>
      <c r="AB148" s="108">
        <f t="shared" si="167"/>
        <v>0</v>
      </c>
      <c r="AD148" s="108">
        <f t="shared" si="168"/>
        <v>0</v>
      </c>
    </row>
    <row r="149" spans="2:30" ht="15" hidden="1" customHeight="1">
      <c r="B149" s="144" t="s">
        <v>188</v>
      </c>
      <c r="C149" s="144"/>
      <c r="D149" s="83"/>
      <c r="E149" s="83"/>
      <c r="F149" s="85">
        <v>0</v>
      </c>
      <c r="G149" s="31">
        <f>SUMIF('Committed Costs '!C:C,B149,'Committed Costs '!G:G)</f>
        <v>0</v>
      </c>
      <c r="H149" s="31">
        <f>SUMIF('Change Orders'!F:F,'Project Detail'!B149,'Change Orders'!E:E)</f>
        <v>0</v>
      </c>
      <c r="I149" s="31">
        <f>SUMIF(Invoices!B:B,B149,Invoices!G:G)</f>
        <v>0</v>
      </c>
      <c r="J149" s="31">
        <v>0</v>
      </c>
      <c r="K149" s="31">
        <f t="shared" si="178"/>
        <v>0</v>
      </c>
      <c r="L149" s="108">
        <f t="shared" si="179"/>
        <v>0</v>
      </c>
      <c r="M149" s="31">
        <v>0</v>
      </c>
      <c r="N149" s="145">
        <f t="shared" si="181"/>
        <v>0</v>
      </c>
      <c r="O149" s="13"/>
      <c r="Q149" s="108">
        <f t="shared" si="177"/>
        <v>0</v>
      </c>
      <c r="S149" s="108"/>
      <c r="T149" s="108"/>
      <c r="U149" s="108">
        <f t="shared" si="165"/>
        <v>0</v>
      </c>
      <c r="W149" s="108"/>
      <c r="X149" s="108"/>
      <c r="Y149" s="108"/>
      <c r="Z149" s="108">
        <f t="shared" si="166"/>
        <v>0</v>
      </c>
      <c r="AB149" s="108">
        <f t="shared" si="167"/>
        <v>0</v>
      </c>
      <c r="AD149" s="108">
        <f t="shared" si="168"/>
        <v>0</v>
      </c>
    </row>
    <row r="150" spans="2:30" ht="15" customHeight="1">
      <c r="B150" s="144"/>
      <c r="C150" s="144">
        <v>308</v>
      </c>
      <c r="D150" s="205"/>
      <c r="E150" s="179" t="s">
        <v>196</v>
      </c>
      <c r="F150" s="186">
        <f>SUM(F140:F149)</f>
        <v>0</v>
      </c>
      <c r="G150" s="186">
        <f t="shared" ref="G150:N150" si="182">SUM(G140:G149)</f>
        <v>0</v>
      </c>
      <c r="H150" s="186">
        <f t="shared" si="182"/>
        <v>0</v>
      </c>
      <c r="I150" s="186">
        <f t="shared" si="182"/>
        <v>0</v>
      </c>
      <c r="J150" s="186">
        <f t="shared" si="182"/>
        <v>0</v>
      </c>
      <c r="K150" s="186">
        <f t="shared" si="182"/>
        <v>0</v>
      </c>
      <c r="L150" s="186">
        <f t="shared" si="182"/>
        <v>0</v>
      </c>
      <c r="M150" s="186">
        <f t="shared" si="182"/>
        <v>0</v>
      </c>
      <c r="N150" s="186">
        <f t="shared" si="182"/>
        <v>0</v>
      </c>
      <c r="O150" s="13"/>
      <c r="Q150" s="186">
        <f>SUM(Q140:Q149)</f>
        <v>0</v>
      </c>
      <c r="S150" s="186">
        <f>SUM(S140:S149)</f>
        <v>0</v>
      </c>
      <c r="T150" s="186">
        <f t="shared" ref="T150:U150" si="183">SUM(T140:T149)</f>
        <v>0</v>
      </c>
      <c r="U150" s="186">
        <f t="shared" si="183"/>
        <v>0</v>
      </c>
      <c r="W150" s="186">
        <f t="shared" ref="W150:Z150" si="184">SUM(W140:W149)</f>
        <v>0</v>
      </c>
      <c r="X150" s="186">
        <f t="shared" si="184"/>
        <v>0</v>
      </c>
      <c r="Y150" s="186">
        <f t="shared" si="184"/>
        <v>0</v>
      </c>
      <c r="Z150" s="186">
        <f t="shared" si="184"/>
        <v>0</v>
      </c>
      <c r="AB150" s="186">
        <f>SUM(AB140:AB149)</f>
        <v>0</v>
      </c>
      <c r="AD150" s="186">
        <f>SUM(AD140:AD149)</f>
        <v>0</v>
      </c>
    </row>
    <row r="151" spans="2:30" ht="15" customHeight="1">
      <c r="B151" s="206">
        <v>309</v>
      </c>
      <c r="C151" s="207"/>
      <c r="D151" s="208" t="s">
        <v>30</v>
      </c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10"/>
      <c r="Q151" s="118"/>
      <c r="S151" s="209"/>
      <c r="T151" s="209"/>
      <c r="U151" s="209"/>
      <c r="W151" s="209"/>
      <c r="X151" s="209"/>
      <c r="Y151" s="209"/>
      <c r="Z151" s="209"/>
      <c r="AB151" s="209"/>
      <c r="AD151" s="118"/>
    </row>
    <row r="152" spans="2:30" ht="15" customHeight="1">
      <c r="B152" s="144" t="s">
        <v>202</v>
      </c>
      <c r="C152" s="144"/>
      <c r="D152" s="83" t="s">
        <v>228</v>
      </c>
      <c r="E152" s="83" t="s">
        <v>746</v>
      </c>
      <c r="F152" s="85">
        <f>'Budget Summary'!D60</f>
        <v>193500</v>
      </c>
      <c r="G152" s="31">
        <f>SUMIF('Committed Costs '!C:C,B152,'Committed Costs '!G:G)</f>
        <v>0</v>
      </c>
      <c r="H152" s="31">
        <f>SUMIF('Change Orders'!F:F,'Project Detail'!B152,'Change Orders'!E:E)</f>
        <v>0</v>
      </c>
      <c r="I152" s="31">
        <f>SUMIF(Invoices!B:B,B152,Invoices!G:G)</f>
        <v>0</v>
      </c>
      <c r="J152" s="31">
        <v>0</v>
      </c>
      <c r="K152" s="31">
        <f>I152-J152</f>
        <v>0</v>
      </c>
      <c r="L152" s="31">
        <f>+M152-G152</f>
        <v>0</v>
      </c>
      <c r="M152" s="31">
        <v>0</v>
      </c>
      <c r="N152" s="31">
        <f>F152-M152</f>
        <v>193500</v>
      </c>
      <c r="O152" s="83"/>
      <c r="Q152" s="108">
        <f>M152-K152</f>
        <v>0</v>
      </c>
      <c r="S152" s="108"/>
      <c r="T152" s="108"/>
      <c r="U152" s="108">
        <f t="shared" ref="U152:U165" si="185">S152+T152</f>
        <v>0</v>
      </c>
      <c r="W152" s="108"/>
      <c r="X152" s="108"/>
      <c r="Y152" s="108"/>
      <c r="Z152" s="108">
        <f t="shared" ref="Z152:Z165" si="186">W152+X152+Y152</f>
        <v>0</v>
      </c>
      <c r="AB152" s="108">
        <f t="shared" ref="AB152:AB165" si="187">U152+Z152</f>
        <v>0</v>
      </c>
      <c r="AD152" s="108">
        <f t="shared" ref="AD152:AD165" si="188">Q152-AB152</f>
        <v>0</v>
      </c>
    </row>
    <row r="153" spans="2:30" ht="15" customHeight="1">
      <c r="B153" s="144" t="s">
        <v>203</v>
      </c>
      <c r="C153" s="144"/>
      <c r="D153" s="83" t="s">
        <v>228</v>
      </c>
      <c r="E153" s="83" t="s">
        <v>711</v>
      </c>
      <c r="F153" s="85">
        <f>'Budget Summary'!D61</f>
        <v>500000</v>
      </c>
      <c r="G153" s="31">
        <f>SUMIF('Committed Costs '!C:C,B153,'Committed Costs '!G:G)</f>
        <v>0</v>
      </c>
      <c r="H153" s="31">
        <f>SUMIF('Change Orders'!F:F,'Project Detail'!B153,'Change Orders'!E:E)</f>
        <v>0</v>
      </c>
      <c r="I153" s="31">
        <f>SUMIF(Invoices!B:B,B153,Invoices!G:G)</f>
        <v>0</v>
      </c>
      <c r="J153" s="31">
        <v>0</v>
      </c>
      <c r="K153" s="31">
        <f t="shared" ref="K153:K161" si="189">I153-J153</f>
        <v>0</v>
      </c>
      <c r="L153" s="31">
        <f t="shared" ref="L153:L161" si="190">+M153-G153</f>
        <v>0</v>
      </c>
      <c r="M153" s="31">
        <v>0</v>
      </c>
      <c r="N153" s="31">
        <f t="shared" ref="N153:N161" si="191">F153-M153</f>
        <v>500000</v>
      </c>
      <c r="O153" s="83"/>
      <c r="Q153" s="108">
        <f t="shared" ref="Q153:Q165" si="192">M153-K153</f>
        <v>0</v>
      </c>
      <c r="S153" s="108"/>
      <c r="T153" s="108"/>
      <c r="U153" s="108">
        <f t="shared" si="185"/>
        <v>0</v>
      </c>
      <c r="W153" s="108"/>
      <c r="X153" s="108"/>
      <c r="Y153" s="108"/>
      <c r="Z153" s="108">
        <f t="shared" si="186"/>
        <v>0</v>
      </c>
      <c r="AB153" s="108">
        <f t="shared" si="187"/>
        <v>0</v>
      </c>
      <c r="AD153" s="108">
        <f t="shared" si="188"/>
        <v>0</v>
      </c>
    </row>
    <row r="154" spans="2:30" ht="15" customHeight="1">
      <c r="B154" s="144" t="s">
        <v>204</v>
      </c>
      <c r="C154" s="144"/>
      <c r="D154" s="83" t="s">
        <v>228</v>
      </c>
      <c r="E154" s="83" t="s">
        <v>747</v>
      </c>
      <c r="F154" s="85">
        <f>'Budget Summary'!D62</f>
        <v>1685000</v>
      </c>
      <c r="G154" s="31">
        <f>SUMIF('Committed Costs '!C:C,B154,'Committed Costs '!G:G)</f>
        <v>0</v>
      </c>
      <c r="H154" s="31">
        <f>SUMIF('Change Orders'!F:F,'Project Detail'!B154,'Change Orders'!E:E)</f>
        <v>0</v>
      </c>
      <c r="I154" s="31">
        <f>SUMIF(Invoices!B:B,B154,Invoices!G:G)</f>
        <v>0</v>
      </c>
      <c r="J154" s="31">
        <v>0</v>
      </c>
      <c r="K154" s="31">
        <f t="shared" si="189"/>
        <v>0</v>
      </c>
      <c r="L154" s="31">
        <f t="shared" si="190"/>
        <v>0</v>
      </c>
      <c r="M154" s="31">
        <v>0</v>
      </c>
      <c r="N154" s="31">
        <f t="shared" si="191"/>
        <v>1685000</v>
      </c>
      <c r="O154" s="83"/>
      <c r="Q154" s="108">
        <f t="shared" si="192"/>
        <v>0</v>
      </c>
      <c r="S154" s="108"/>
      <c r="T154" s="108"/>
      <c r="U154" s="108">
        <f t="shared" si="185"/>
        <v>0</v>
      </c>
      <c r="W154" s="108"/>
      <c r="X154" s="108"/>
      <c r="Y154" s="108"/>
      <c r="Z154" s="108">
        <f t="shared" si="186"/>
        <v>0</v>
      </c>
      <c r="AB154" s="108">
        <f t="shared" si="187"/>
        <v>0</v>
      </c>
      <c r="AD154" s="108">
        <f t="shared" si="188"/>
        <v>0</v>
      </c>
    </row>
    <row r="155" spans="2:30" ht="15" customHeight="1">
      <c r="B155" s="144" t="s">
        <v>205</v>
      </c>
      <c r="C155" s="144"/>
      <c r="D155" s="83" t="s">
        <v>228</v>
      </c>
      <c r="E155" s="83" t="s">
        <v>719</v>
      </c>
      <c r="F155" s="85">
        <f>'Budget Summary'!D64</f>
        <v>1750000</v>
      </c>
      <c r="G155" s="31">
        <f>SUMIF('Committed Costs '!C:C,B155,'Committed Costs '!G:G)</f>
        <v>0</v>
      </c>
      <c r="H155" s="31">
        <f>SUMIF('Change Orders'!F:F,'Project Detail'!B155,'Change Orders'!E:E)</f>
        <v>0</v>
      </c>
      <c r="I155" s="31">
        <f>SUMIF(Invoices!B:B,B155,Invoices!G:G)</f>
        <v>0</v>
      </c>
      <c r="J155" s="31">
        <v>0</v>
      </c>
      <c r="K155" s="31">
        <f t="shared" si="189"/>
        <v>0</v>
      </c>
      <c r="L155" s="108">
        <f t="shared" si="190"/>
        <v>0</v>
      </c>
      <c r="M155" s="108">
        <v>0</v>
      </c>
      <c r="N155" s="108">
        <f t="shared" si="191"/>
        <v>1750000</v>
      </c>
      <c r="O155" s="83"/>
      <c r="Q155" s="108">
        <f t="shared" si="192"/>
        <v>0</v>
      </c>
      <c r="S155" s="108"/>
      <c r="T155" s="108"/>
      <c r="U155" s="108">
        <f t="shared" si="185"/>
        <v>0</v>
      </c>
      <c r="W155" s="108"/>
      <c r="X155" s="108"/>
      <c r="Y155" s="108"/>
      <c r="Z155" s="108">
        <f t="shared" si="186"/>
        <v>0</v>
      </c>
      <c r="AB155" s="108">
        <f t="shared" si="187"/>
        <v>0</v>
      </c>
      <c r="AD155" s="108">
        <f t="shared" si="188"/>
        <v>0</v>
      </c>
    </row>
    <row r="156" spans="2:30" ht="15" hidden="1" customHeight="1">
      <c r="B156" s="144" t="s">
        <v>206</v>
      </c>
      <c r="C156" s="144"/>
      <c r="D156" s="154"/>
      <c r="E156" s="154"/>
      <c r="F156" s="182">
        <v>0</v>
      </c>
      <c r="G156" s="108">
        <f>SUMIF('Committed Costs '!C:C,B156,'Committed Costs '!G:G)</f>
        <v>0</v>
      </c>
      <c r="H156" s="108">
        <f>SUMIF('Change Orders'!F:F,'Project Detail'!B156,'Change Orders'!E:E)</f>
        <v>0</v>
      </c>
      <c r="I156" s="108">
        <f>SUMIF(Invoices!B:B,B156,Invoices!G:G)</f>
        <v>0</v>
      </c>
      <c r="J156" s="108">
        <v>0</v>
      </c>
      <c r="K156" s="108">
        <f t="shared" si="189"/>
        <v>0</v>
      </c>
      <c r="L156" s="108">
        <f t="shared" si="190"/>
        <v>0</v>
      </c>
      <c r="M156" s="108">
        <v>0</v>
      </c>
      <c r="N156" s="108">
        <f t="shared" si="191"/>
        <v>0</v>
      </c>
      <c r="O156" s="154"/>
      <c r="Q156" s="108">
        <f t="shared" si="192"/>
        <v>0</v>
      </c>
      <c r="S156" s="108"/>
      <c r="T156" s="108"/>
      <c r="U156" s="108">
        <f t="shared" si="185"/>
        <v>0</v>
      </c>
      <c r="W156" s="108"/>
      <c r="X156" s="108"/>
      <c r="Y156" s="108"/>
      <c r="Z156" s="108">
        <f t="shared" si="186"/>
        <v>0</v>
      </c>
      <c r="AB156" s="108">
        <f t="shared" si="187"/>
        <v>0</v>
      </c>
      <c r="AD156" s="108">
        <f t="shared" si="188"/>
        <v>0</v>
      </c>
    </row>
    <row r="157" spans="2:30" ht="15" hidden="1" customHeight="1">
      <c r="B157" s="144" t="s">
        <v>207</v>
      </c>
      <c r="C157" s="144"/>
      <c r="D157" s="83"/>
      <c r="E157" s="83"/>
      <c r="F157" s="85">
        <v>0</v>
      </c>
      <c r="G157" s="31">
        <f>SUMIF('Committed Costs '!C:C,B157,'Committed Costs '!G:G)</f>
        <v>0</v>
      </c>
      <c r="H157" s="31">
        <f>SUMIF('Change Orders'!F:F,'Project Detail'!B157,'Change Orders'!E:E)</f>
        <v>0</v>
      </c>
      <c r="I157" s="31">
        <f>SUMIF(Invoices!B:B,B157,Invoices!G:G)</f>
        <v>0</v>
      </c>
      <c r="J157" s="31">
        <v>0</v>
      </c>
      <c r="K157" s="31">
        <f t="shared" si="189"/>
        <v>0</v>
      </c>
      <c r="L157" s="145">
        <f t="shared" si="190"/>
        <v>0</v>
      </c>
      <c r="M157" s="31">
        <f>G157</f>
        <v>0</v>
      </c>
      <c r="N157" s="145">
        <f t="shared" si="191"/>
        <v>0</v>
      </c>
      <c r="O157" s="83"/>
      <c r="P157" s="9"/>
      <c r="Q157" s="108">
        <f t="shared" si="192"/>
        <v>0</v>
      </c>
      <c r="S157" s="108"/>
      <c r="T157" s="108"/>
      <c r="U157" s="108">
        <f t="shared" si="185"/>
        <v>0</v>
      </c>
      <c r="W157" s="108"/>
      <c r="X157" s="108"/>
      <c r="Y157" s="108"/>
      <c r="Z157" s="108">
        <f t="shared" si="186"/>
        <v>0</v>
      </c>
      <c r="AB157" s="108">
        <f t="shared" si="187"/>
        <v>0</v>
      </c>
      <c r="AD157" s="108">
        <f t="shared" si="188"/>
        <v>0</v>
      </c>
    </row>
    <row r="158" spans="2:30" ht="15" hidden="1" customHeight="1">
      <c r="B158" s="144" t="s">
        <v>208</v>
      </c>
      <c r="C158" s="144"/>
      <c r="D158" s="83"/>
      <c r="E158" s="83"/>
      <c r="F158" s="85">
        <v>0</v>
      </c>
      <c r="G158" s="31">
        <f>SUMIF('Committed Costs '!C:C,B158,'Committed Costs '!G:G)</f>
        <v>0</v>
      </c>
      <c r="H158" s="31">
        <f>SUMIF('Change Orders'!F:F,'Project Detail'!B158,'Change Orders'!E:E)</f>
        <v>0</v>
      </c>
      <c r="I158" s="31">
        <f>SUMIF(Invoices!B:B,B158,Invoices!G:G)</f>
        <v>0</v>
      </c>
      <c r="J158" s="31">
        <v>0</v>
      </c>
      <c r="K158" s="31">
        <f t="shared" si="189"/>
        <v>0</v>
      </c>
      <c r="L158" s="31">
        <f t="shared" si="190"/>
        <v>0</v>
      </c>
      <c r="M158" s="31">
        <f>G158</f>
        <v>0</v>
      </c>
      <c r="N158" s="31">
        <f t="shared" si="191"/>
        <v>0</v>
      </c>
      <c r="O158" s="83"/>
      <c r="Q158" s="108">
        <f t="shared" si="192"/>
        <v>0</v>
      </c>
      <c r="S158" s="31"/>
      <c r="T158" s="31"/>
      <c r="U158" s="108">
        <f t="shared" si="185"/>
        <v>0</v>
      </c>
      <c r="W158" s="31"/>
      <c r="X158" s="31"/>
      <c r="Y158" s="31"/>
      <c r="Z158" s="108">
        <f t="shared" si="186"/>
        <v>0</v>
      </c>
      <c r="AB158" s="108">
        <f t="shared" si="187"/>
        <v>0</v>
      </c>
      <c r="AD158" s="108">
        <f t="shared" si="188"/>
        <v>0</v>
      </c>
    </row>
    <row r="159" spans="2:30" ht="15" hidden="1" customHeight="1">
      <c r="B159" s="144" t="s">
        <v>209</v>
      </c>
      <c r="C159" s="144"/>
      <c r="D159" s="83"/>
      <c r="E159" s="83"/>
      <c r="F159" s="85">
        <v>0</v>
      </c>
      <c r="G159" s="31">
        <f>SUMIF('Committed Costs '!C:C,B159,'Committed Costs '!G:G)</f>
        <v>0</v>
      </c>
      <c r="H159" s="31">
        <f>SUMIF('Change Orders'!F:F,'Project Detail'!B159,'Change Orders'!E:E)</f>
        <v>0</v>
      </c>
      <c r="I159" s="31">
        <f>SUMIF(Invoices!B:B,B159,Invoices!G:G)</f>
        <v>0</v>
      </c>
      <c r="J159" s="31">
        <v>0</v>
      </c>
      <c r="K159" s="31">
        <f t="shared" si="189"/>
        <v>0</v>
      </c>
      <c r="L159" s="108">
        <f t="shared" si="190"/>
        <v>0</v>
      </c>
      <c r="M159" s="108">
        <f t="shared" ref="M159:M160" si="193">IF((F159+H159)&gt;G159,F159+H159,G159)</f>
        <v>0</v>
      </c>
      <c r="N159" s="108">
        <f t="shared" si="191"/>
        <v>0</v>
      </c>
      <c r="O159" s="83"/>
      <c r="Q159" s="108">
        <f t="shared" si="192"/>
        <v>0</v>
      </c>
      <c r="S159" s="108"/>
      <c r="T159" s="108"/>
      <c r="U159" s="108">
        <f t="shared" si="185"/>
        <v>0</v>
      </c>
      <c r="W159" s="108"/>
      <c r="X159" s="108"/>
      <c r="Y159" s="108"/>
      <c r="Z159" s="108">
        <f t="shared" si="186"/>
        <v>0</v>
      </c>
      <c r="AB159" s="108">
        <f t="shared" si="187"/>
        <v>0</v>
      </c>
      <c r="AD159" s="108">
        <f t="shared" si="188"/>
        <v>0</v>
      </c>
    </row>
    <row r="160" spans="2:30" ht="15" hidden="1" customHeight="1">
      <c r="B160" s="144" t="s">
        <v>210</v>
      </c>
      <c r="C160" s="144"/>
      <c r="D160" s="83"/>
      <c r="E160" s="83"/>
      <c r="F160" s="85">
        <v>0</v>
      </c>
      <c r="G160" s="31">
        <f>SUMIF('Committed Costs '!C:C,B160,'Committed Costs '!G:G)</f>
        <v>0</v>
      </c>
      <c r="H160" s="31">
        <f>SUMIF('Change Orders'!F:F,'Project Detail'!B160,'Change Orders'!E:E)</f>
        <v>0</v>
      </c>
      <c r="I160" s="31">
        <f>SUMIF(Invoices!B:B,B160,Invoices!G:G)</f>
        <v>0</v>
      </c>
      <c r="J160" s="31">
        <v>0</v>
      </c>
      <c r="K160" s="31">
        <f t="shared" si="189"/>
        <v>0</v>
      </c>
      <c r="L160" s="31">
        <f t="shared" si="190"/>
        <v>0</v>
      </c>
      <c r="M160" s="31">
        <f t="shared" si="193"/>
        <v>0</v>
      </c>
      <c r="N160" s="31">
        <f t="shared" si="191"/>
        <v>0</v>
      </c>
      <c r="O160" s="83"/>
      <c r="Q160" s="108">
        <f t="shared" si="192"/>
        <v>0</v>
      </c>
      <c r="S160" s="31"/>
      <c r="T160" s="31"/>
      <c r="U160" s="108">
        <f t="shared" si="185"/>
        <v>0</v>
      </c>
      <c r="W160" s="31"/>
      <c r="X160" s="31"/>
      <c r="Y160" s="31"/>
      <c r="Z160" s="108">
        <f t="shared" si="186"/>
        <v>0</v>
      </c>
      <c r="AB160" s="108">
        <f t="shared" si="187"/>
        <v>0</v>
      </c>
      <c r="AD160" s="108">
        <f t="shared" si="188"/>
        <v>0</v>
      </c>
    </row>
    <row r="161" spans="2:31" ht="15" hidden="1" customHeight="1">
      <c r="B161" s="144" t="s">
        <v>211</v>
      </c>
      <c r="C161" s="144"/>
      <c r="D161" s="83"/>
      <c r="E161" s="83"/>
      <c r="F161" s="85">
        <v>0</v>
      </c>
      <c r="G161" s="31">
        <f>SUMIF('Committed Costs '!C:C,B161,'Committed Costs '!G:G)</f>
        <v>0</v>
      </c>
      <c r="H161" s="31">
        <f>SUMIF('Change Orders'!F:F,'Project Detail'!B161,'Change Orders'!E:E)</f>
        <v>0</v>
      </c>
      <c r="I161" s="31">
        <f>SUMIF(Invoices!B:B,B161,Invoices!G:G)</f>
        <v>0</v>
      </c>
      <c r="J161" s="31">
        <v>0</v>
      </c>
      <c r="K161" s="31">
        <f t="shared" si="189"/>
        <v>0</v>
      </c>
      <c r="L161" s="108">
        <f t="shared" si="190"/>
        <v>0</v>
      </c>
      <c r="M161" s="108">
        <v>0</v>
      </c>
      <c r="N161" s="108">
        <f t="shared" si="191"/>
        <v>0</v>
      </c>
      <c r="O161" s="175"/>
      <c r="Q161" s="108">
        <f t="shared" si="192"/>
        <v>0</v>
      </c>
      <c r="S161" s="108"/>
      <c r="T161" s="108"/>
      <c r="U161" s="108">
        <f t="shared" si="185"/>
        <v>0</v>
      </c>
      <c r="W161" s="108"/>
      <c r="X161" s="108"/>
      <c r="Y161" s="108"/>
      <c r="Z161" s="108">
        <f t="shared" si="186"/>
        <v>0</v>
      </c>
      <c r="AB161" s="108">
        <f t="shared" si="187"/>
        <v>0</v>
      </c>
      <c r="AD161" s="108">
        <f t="shared" si="188"/>
        <v>0</v>
      </c>
    </row>
    <row r="162" spans="2:31" ht="15" hidden="1" customHeight="1">
      <c r="B162" s="144" t="s">
        <v>220</v>
      </c>
      <c r="C162" s="144"/>
      <c r="D162" s="83"/>
      <c r="E162" s="83"/>
      <c r="F162" s="85">
        <v>0</v>
      </c>
      <c r="G162" s="31">
        <f>SUMIF('Committed Costs '!C:C,B162,'Committed Costs '!G:G)</f>
        <v>0</v>
      </c>
      <c r="H162" s="31">
        <f>SUMIF('Change Orders'!F:F,'Project Detail'!B162,'Change Orders'!E:E)</f>
        <v>0</v>
      </c>
      <c r="I162" s="31">
        <f>SUMIF(Invoices!B:B,B162,Invoices!G:G)</f>
        <v>0</v>
      </c>
      <c r="J162" s="31">
        <v>0</v>
      </c>
      <c r="K162" s="31">
        <f t="shared" ref="K162" si="194">I162-J162</f>
        <v>0</v>
      </c>
      <c r="L162" s="108">
        <f t="shared" ref="L162" si="195">+M162-G162</f>
        <v>0</v>
      </c>
      <c r="M162" s="108">
        <v>0</v>
      </c>
      <c r="N162" s="108">
        <f t="shared" ref="N162" si="196">F162-M162</f>
        <v>0</v>
      </c>
      <c r="O162" s="83"/>
      <c r="Q162" s="108">
        <f t="shared" si="192"/>
        <v>0</v>
      </c>
      <c r="S162" s="108"/>
      <c r="T162" s="108"/>
      <c r="U162" s="108">
        <f t="shared" si="185"/>
        <v>0</v>
      </c>
      <c r="W162" s="108"/>
      <c r="X162" s="108"/>
      <c r="Y162" s="108"/>
      <c r="Z162" s="108">
        <f t="shared" si="186"/>
        <v>0</v>
      </c>
      <c r="AB162" s="108">
        <f t="shared" si="187"/>
        <v>0</v>
      </c>
      <c r="AD162" s="108">
        <f t="shared" si="188"/>
        <v>0</v>
      </c>
    </row>
    <row r="163" spans="2:31" ht="15" hidden="1" customHeight="1">
      <c r="B163" s="144" t="s">
        <v>244</v>
      </c>
      <c r="C163" s="144"/>
      <c r="D163" s="83"/>
      <c r="E163" s="83"/>
      <c r="F163" s="85">
        <v>0</v>
      </c>
      <c r="G163" s="31">
        <f>SUMIF('Committed Costs '!C:C,B163,'Committed Costs '!G:G)</f>
        <v>0</v>
      </c>
      <c r="H163" s="31">
        <f>SUMIF('Change Orders'!F:F,'Project Detail'!B163,'Change Orders'!E:E)</f>
        <v>0</v>
      </c>
      <c r="I163" s="31">
        <f>SUMIF(Invoices!B:B,B163,Invoices!G:G)</f>
        <v>0</v>
      </c>
      <c r="J163" s="31">
        <v>0</v>
      </c>
      <c r="K163" s="31">
        <f t="shared" ref="K163:K164" si="197">I163-J163</f>
        <v>0</v>
      </c>
      <c r="L163" s="108">
        <f t="shared" ref="L163:L164" si="198">+M163-G163</f>
        <v>0</v>
      </c>
      <c r="M163" s="108">
        <f t="shared" ref="M163:M164" si="199">IF((F163+H163)&gt;G163,F163+H163,G163)</f>
        <v>0</v>
      </c>
      <c r="N163" s="177">
        <f t="shared" ref="N163:N164" si="200">F163-M163</f>
        <v>0</v>
      </c>
      <c r="O163" s="83"/>
      <c r="Q163" s="108">
        <f t="shared" si="192"/>
        <v>0</v>
      </c>
      <c r="S163" s="108"/>
      <c r="T163" s="108"/>
      <c r="U163" s="108">
        <f t="shared" si="185"/>
        <v>0</v>
      </c>
      <c r="W163" s="108"/>
      <c r="X163" s="108"/>
      <c r="Y163" s="108"/>
      <c r="Z163" s="108">
        <f t="shared" si="186"/>
        <v>0</v>
      </c>
      <c r="AB163" s="108">
        <f t="shared" si="187"/>
        <v>0</v>
      </c>
      <c r="AD163" s="108">
        <f t="shared" si="188"/>
        <v>0</v>
      </c>
    </row>
    <row r="164" spans="2:31" ht="15" hidden="1" customHeight="1">
      <c r="B164" s="231" t="s">
        <v>250</v>
      </c>
      <c r="C164" s="231"/>
      <c r="D164" s="232"/>
      <c r="E164" s="232"/>
      <c r="F164" s="85">
        <v>0</v>
      </c>
      <c r="G164" s="31">
        <f>SUMIF('Committed Costs '!C:C,B164,'Committed Costs '!G:G)</f>
        <v>0</v>
      </c>
      <c r="H164" s="31">
        <f>SUMIF('Change Orders'!F:F,'Project Detail'!B164,'Change Orders'!E:E)</f>
        <v>0</v>
      </c>
      <c r="I164" s="31">
        <f>SUMIF(Invoices!B:B,B164,Invoices!G:G)</f>
        <v>0</v>
      </c>
      <c r="J164" s="31">
        <v>0</v>
      </c>
      <c r="K164" s="31">
        <f t="shared" si="197"/>
        <v>0</v>
      </c>
      <c r="L164" s="108">
        <f t="shared" si="198"/>
        <v>0</v>
      </c>
      <c r="M164" s="108">
        <f t="shared" si="199"/>
        <v>0</v>
      </c>
      <c r="N164" s="108">
        <f t="shared" si="200"/>
        <v>0</v>
      </c>
      <c r="O164" s="233"/>
      <c r="P164" s="32"/>
      <c r="Q164" s="108">
        <f t="shared" si="192"/>
        <v>0</v>
      </c>
      <c r="S164" s="108"/>
      <c r="T164" s="108"/>
      <c r="U164" s="108">
        <f t="shared" si="185"/>
        <v>0</v>
      </c>
      <c r="W164" s="108"/>
      <c r="X164" s="108"/>
      <c r="Y164" s="108"/>
      <c r="Z164" s="108">
        <f t="shared" si="186"/>
        <v>0</v>
      </c>
      <c r="AB164" s="108">
        <f t="shared" si="187"/>
        <v>0</v>
      </c>
      <c r="AD164" s="108">
        <f t="shared" si="188"/>
        <v>0</v>
      </c>
    </row>
    <row r="165" spans="2:31" ht="15" hidden="1" customHeight="1">
      <c r="B165" s="144" t="s">
        <v>251</v>
      </c>
      <c r="C165" s="144"/>
      <c r="D165" s="83"/>
      <c r="E165" s="83"/>
      <c r="F165" s="37">
        <v>0</v>
      </c>
      <c r="G165" s="38">
        <f>SUMIF('Committed Costs '!C:C,B165,'Committed Costs '!G:G)</f>
        <v>0</v>
      </c>
      <c r="H165" s="38">
        <f>SUMIF('Change Orders'!F:F,'Project Detail'!B165,'Change Orders'!E:E)</f>
        <v>0</v>
      </c>
      <c r="I165" s="38">
        <f>SUMIF(Invoices!B:B,B165,Invoices!G:G)</f>
        <v>0</v>
      </c>
      <c r="J165" s="38">
        <v>0</v>
      </c>
      <c r="K165" s="38">
        <f t="shared" ref="K165" si="201">I165-J165</f>
        <v>0</v>
      </c>
      <c r="L165" s="218">
        <f t="shared" ref="L165" si="202">+M165-G165</f>
        <v>0</v>
      </c>
      <c r="M165" s="218">
        <f t="shared" ref="M165" si="203">IF((F165+H165)&gt;G165,F165+H165,G165)</f>
        <v>0</v>
      </c>
      <c r="N165" s="218">
        <f t="shared" ref="N165" si="204">F165-M165</f>
        <v>0</v>
      </c>
      <c r="O165" s="83"/>
      <c r="Q165" s="108">
        <f t="shared" si="192"/>
        <v>0</v>
      </c>
      <c r="S165" s="108"/>
      <c r="T165" s="108"/>
      <c r="U165" s="108">
        <f t="shared" si="185"/>
        <v>0</v>
      </c>
      <c r="W165" s="108"/>
      <c r="X165" s="108"/>
      <c r="Y165" s="108"/>
      <c r="Z165" s="108">
        <f t="shared" si="186"/>
        <v>0</v>
      </c>
      <c r="AB165" s="108">
        <f t="shared" si="187"/>
        <v>0</v>
      </c>
      <c r="AD165" s="108">
        <f t="shared" si="188"/>
        <v>0</v>
      </c>
    </row>
    <row r="166" spans="2:31" ht="15" customHeight="1">
      <c r="B166" s="144"/>
      <c r="C166" s="144">
        <v>309</v>
      </c>
      <c r="D166" s="205"/>
      <c r="E166" s="179" t="s">
        <v>212</v>
      </c>
      <c r="F166" s="186">
        <f>SUM(F152:F165)</f>
        <v>4128500</v>
      </c>
      <c r="G166" s="186">
        <f t="shared" ref="G166:N166" si="205">SUM(G152:G165)</f>
        <v>0</v>
      </c>
      <c r="H166" s="186">
        <f t="shared" si="205"/>
        <v>0</v>
      </c>
      <c r="I166" s="186">
        <f t="shared" si="205"/>
        <v>0</v>
      </c>
      <c r="J166" s="186">
        <f t="shared" si="205"/>
        <v>0</v>
      </c>
      <c r="K166" s="186">
        <f t="shared" si="205"/>
        <v>0</v>
      </c>
      <c r="L166" s="186">
        <f t="shared" si="205"/>
        <v>0</v>
      </c>
      <c r="M166" s="186">
        <f t="shared" si="205"/>
        <v>0</v>
      </c>
      <c r="N166" s="186">
        <f t="shared" si="205"/>
        <v>4128500</v>
      </c>
      <c r="O166" s="83"/>
      <c r="Q166" s="186">
        <f>SUM(Q152:Q165)</f>
        <v>0</v>
      </c>
      <c r="S166" s="186">
        <f>SUM(S152:S165)</f>
        <v>0</v>
      </c>
      <c r="T166" s="186">
        <f t="shared" ref="T166:U166" si="206">SUM(T152:T165)</f>
        <v>0</v>
      </c>
      <c r="U166" s="186">
        <f t="shared" si="206"/>
        <v>0</v>
      </c>
      <c r="W166" s="186">
        <f t="shared" ref="W166:Z166" si="207">SUM(W152:W165)</f>
        <v>0</v>
      </c>
      <c r="X166" s="186">
        <f t="shared" si="207"/>
        <v>0</v>
      </c>
      <c r="Y166" s="186">
        <f t="shared" si="207"/>
        <v>0</v>
      </c>
      <c r="Z166" s="186">
        <f t="shared" si="207"/>
        <v>0</v>
      </c>
      <c r="AB166" s="186">
        <f>SUM(AB152:AB165)</f>
        <v>0</v>
      </c>
      <c r="AD166" s="186">
        <f>SUM(AD152:AD165)</f>
        <v>0</v>
      </c>
      <c r="AE166" s="32"/>
    </row>
    <row r="167" spans="2:31" ht="3.75" customHeight="1">
      <c r="B167" s="192"/>
      <c r="C167" s="193"/>
      <c r="D167" s="194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5"/>
      <c r="Q167" s="193"/>
      <c r="S167" s="193"/>
      <c r="T167" s="193"/>
      <c r="U167" s="193"/>
      <c r="W167" s="193"/>
      <c r="X167" s="193"/>
      <c r="Y167" s="193"/>
      <c r="Z167" s="193"/>
      <c r="AB167" s="193"/>
      <c r="AD167" s="193"/>
    </row>
    <row r="168" spans="2:31">
      <c r="B168" s="168"/>
      <c r="C168" s="167"/>
      <c r="D168" s="166"/>
      <c r="E168" s="196" t="s">
        <v>213</v>
      </c>
      <c r="F168" s="186" t="e">
        <f>SUM(F82,F88,F92,F99,F118,F130,F138,F150,F166)</f>
        <v>#REF!</v>
      </c>
      <c r="G168" s="186">
        <f>SUM(G82,G88,G92,G99,G118,G130,G138,G150,G166)</f>
        <v>0</v>
      </c>
      <c r="H168" s="186">
        <f t="shared" ref="H168:J168" si="208">SUM(H82,H88,H92,H99,H118,H130,H138,H150,H166)</f>
        <v>0</v>
      </c>
      <c r="I168" s="186">
        <f t="shared" si="208"/>
        <v>0</v>
      </c>
      <c r="J168" s="186">
        <f t="shared" si="208"/>
        <v>0</v>
      </c>
      <c r="K168" s="186">
        <f>SUM(K82,K88,K92,K99,K118,K130,K138,K150,K166)</f>
        <v>0</v>
      </c>
      <c r="L168" s="186" t="e">
        <f>SUM(L82,L88,L92,L99,L118,L130,L138,L150,L166)</f>
        <v>#REF!</v>
      </c>
      <c r="M168" s="186" t="e">
        <f>SUM(M82,M88,M92,M99,M118,M130,M138,M150,M166)</f>
        <v>#REF!</v>
      </c>
      <c r="N168" s="186" t="e">
        <f>SUM(N82,N88,N92,N99,N118,N130,N138,N150,N166)</f>
        <v>#REF!</v>
      </c>
      <c r="O168" s="13"/>
      <c r="Q168" s="186" t="e">
        <f>SUM(Q82,Q88,Q92,Q99,Q118,Q130,Q138,Q150,Q166)</f>
        <v>#REF!</v>
      </c>
      <c r="S168" s="186">
        <f>SUM(S82,S88,S92,S99,S118,S130,S138,S150,S166)</f>
        <v>27135</v>
      </c>
      <c r="T168" s="186">
        <f t="shared" ref="T168:AB168" si="209">SUM(T82,T88,T92,T99,T118,T130,T138,T150,T166)</f>
        <v>0</v>
      </c>
      <c r="U168" s="186">
        <f t="shared" si="209"/>
        <v>27135</v>
      </c>
      <c r="W168" s="186">
        <f t="shared" si="209"/>
        <v>0</v>
      </c>
      <c r="X168" s="186">
        <f t="shared" si="209"/>
        <v>0</v>
      </c>
      <c r="Y168" s="186">
        <f t="shared" si="209"/>
        <v>0</v>
      </c>
      <c r="Z168" s="186">
        <f t="shared" si="209"/>
        <v>0</v>
      </c>
      <c r="AB168" s="186">
        <f t="shared" si="209"/>
        <v>27135</v>
      </c>
      <c r="AD168" s="186" t="e">
        <f>SUM(AD82,AD88,AD92,AD99,AD118,AD130,AD138,AD150,AD166)</f>
        <v>#REF!</v>
      </c>
      <c r="AE168" s="32"/>
    </row>
    <row r="169" spans="2:31" ht="15" customHeight="1" thickBot="1">
      <c r="B169" s="113"/>
      <c r="C169" s="113"/>
      <c r="D169" s="114"/>
      <c r="E169" s="84"/>
      <c r="F169" s="52"/>
      <c r="G169" s="52"/>
      <c r="H169" s="52"/>
      <c r="I169" s="52"/>
      <c r="J169" s="52"/>
      <c r="K169" s="52"/>
      <c r="L169" s="52"/>
      <c r="M169" s="52"/>
      <c r="N169" s="52"/>
      <c r="Q169" s="52"/>
      <c r="S169" s="52"/>
      <c r="T169" s="52"/>
      <c r="U169" s="52"/>
      <c r="W169" s="52"/>
      <c r="X169" s="52"/>
      <c r="Y169" s="52"/>
      <c r="Z169" s="52"/>
      <c r="AB169" s="52"/>
      <c r="AD169" s="52"/>
    </row>
    <row r="170" spans="2:31" ht="15" customHeight="1" thickBot="1">
      <c r="B170" s="60">
        <v>400</v>
      </c>
      <c r="C170" s="63"/>
      <c r="D170" s="775" t="s">
        <v>1</v>
      </c>
      <c r="E170" s="776"/>
      <c r="F170" s="199">
        <f>'Budget Summary'!D67</f>
        <v>8098599.2216999996</v>
      </c>
      <c r="G170" s="52"/>
      <c r="H170" s="52"/>
      <c r="I170" s="52"/>
      <c r="J170" s="52"/>
      <c r="K170" s="52"/>
      <c r="L170" s="52"/>
      <c r="M170" s="52"/>
      <c r="N170" s="52"/>
      <c r="S170" s="52"/>
      <c r="T170" s="52"/>
      <c r="U170" s="52"/>
      <c r="W170" s="52"/>
      <c r="X170" s="52"/>
      <c r="Y170" s="52"/>
      <c r="Z170" s="52"/>
      <c r="AB170" s="52"/>
      <c r="AD170" s="52"/>
    </row>
    <row r="171" spans="2:31" ht="15" customHeight="1">
      <c r="B171" s="135"/>
      <c r="C171" s="135"/>
      <c r="D171" s="136"/>
      <c r="E171" s="136"/>
      <c r="F171" s="52"/>
      <c r="G171" s="52"/>
      <c r="H171" s="52"/>
      <c r="I171" s="52"/>
      <c r="J171" s="52"/>
      <c r="K171" s="52"/>
      <c r="L171" s="52"/>
      <c r="M171" s="52"/>
      <c r="N171" s="52"/>
      <c r="Q171" s="52"/>
      <c r="S171" s="52"/>
      <c r="T171" s="52"/>
      <c r="U171" s="52"/>
      <c r="W171" s="52"/>
      <c r="X171" s="52"/>
      <c r="Y171" s="52"/>
      <c r="Z171" s="52"/>
      <c r="AB171" s="52"/>
      <c r="AD171" s="52"/>
    </row>
    <row r="172" spans="2:31" ht="15" customHeight="1">
      <c r="B172" s="135"/>
      <c r="C172" s="135"/>
      <c r="D172" s="136"/>
      <c r="E172" s="136"/>
      <c r="F172" s="52"/>
      <c r="G172" s="52"/>
      <c r="H172" s="52"/>
      <c r="I172" s="52"/>
      <c r="J172" s="52"/>
      <c r="K172" s="52"/>
      <c r="L172" s="52"/>
      <c r="M172" s="52"/>
      <c r="N172" s="52"/>
      <c r="Q172" s="52"/>
      <c r="S172" s="52"/>
      <c r="T172" s="52"/>
      <c r="U172" s="52"/>
      <c r="W172" s="52"/>
      <c r="X172" s="52"/>
      <c r="Y172" s="52"/>
      <c r="Z172" s="52"/>
      <c r="AB172" s="52"/>
      <c r="AD172" s="52"/>
    </row>
    <row r="173" spans="2:31" ht="20" thickBot="1">
      <c r="E173" s="137" t="s">
        <v>32</v>
      </c>
      <c r="F173" s="133" t="e">
        <f>SUM(F30,F59,F168,F170)</f>
        <v>#REF!</v>
      </c>
      <c r="G173" s="133">
        <f>SUM(G30,G59,G168+G170)</f>
        <v>0</v>
      </c>
      <c r="H173" s="133">
        <f>SUM(H30,H59,H168+H170)</f>
        <v>0</v>
      </c>
      <c r="I173" s="133">
        <f>SUM(I30,I59,I168+I170)</f>
        <v>0</v>
      </c>
      <c r="J173" s="133">
        <f>SUM(J30,J59,J168+J170)</f>
        <v>0</v>
      </c>
      <c r="K173" s="133">
        <f>SUM(K30,K59,K168+K170)</f>
        <v>0</v>
      </c>
      <c r="L173" s="133" t="e">
        <f>SUM(L30,L59,L168)</f>
        <v>#REF!</v>
      </c>
      <c r="M173" s="133" t="e">
        <f>SUM(M30,M59,M168)</f>
        <v>#REF!</v>
      </c>
      <c r="N173" s="133" t="e">
        <f>SUM(N30,N59,N168)</f>
        <v>#REF!</v>
      </c>
      <c r="O173" s="132"/>
      <c r="Q173" s="217" t="e">
        <f>SUM(Q30,Q59,Q168)</f>
        <v>#REF!</v>
      </c>
      <c r="S173" s="217">
        <f t="shared" ref="S173:U173" si="210">SUM(S30,S59,S168+S170)</f>
        <v>27135</v>
      </c>
      <c r="T173" s="217">
        <f t="shared" si="210"/>
        <v>0</v>
      </c>
      <c r="U173" s="217">
        <f t="shared" si="210"/>
        <v>27135</v>
      </c>
      <c r="W173" s="217">
        <f t="shared" ref="W173:Z173" si="211">SUM(W30,W59,W168+W170)</f>
        <v>0</v>
      </c>
      <c r="X173" s="217">
        <f t="shared" si="211"/>
        <v>0</v>
      </c>
      <c r="Y173" s="217">
        <f t="shared" si="211"/>
        <v>0</v>
      </c>
      <c r="Z173" s="217">
        <f t="shared" si="211"/>
        <v>0</v>
      </c>
      <c r="AB173" s="217">
        <f>SUM(AB30,AB59,AB168+AB170)</f>
        <v>27135</v>
      </c>
      <c r="AD173" s="217" t="e">
        <f>SUM(AD30,AD59,AD168)</f>
        <v>#REF!</v>
      </c>
    </row>
    <row r="174" spans="2:31" ht="16">
      <c r="E174" s="51"/>
      <c r="H174" s="49"/>
    </row>
    <row r="175" spans="2:31" outlineLevel="1">
      <c r="B175" s="1"/>
      <c r="C175" s="1"/>
      <c r="E175" s="392" t="s">
        <v>748</v>
      </c>
      <c r="F175" s="393" t="e">
        <f>F173='Budget Summary'!D69</f>
        <v>#REF!</v>
      </c>
    </row>
    <row r="176" spans="2:31">
      <c r="L176" s="32"/>
    </row>
    <row r="177" spans="12:30" ht="20" thickBot="1">
      <c r="N177" s="224" t="s">
        <v>269</v>
      </c>
      <c r="O177" s="222"/>
      <c r="P177" s="222"/>
      <c r="Q177" s="217">
        <f>Contingency!G9</f>
        <v>8098599.2216999996</v>
      </c>
      <c r="S177" s="217">
        <v>0</v>
      </c>
      <c r="T177" s="217">
        <v>0</v>
      </c>
      <c r="U177" s="217">
        <f>S177+T177</f>
        <v>0</v>
      </c>
      <c r="W177" s="217">
        <v>0</v>
      </c>
      <c r="X177" s="217">
        <v>0</v>
      </c>
      <c r="Y177" s="217">
        <v>0</v>
      </c>
      <c r="Z177" s="217">
        <f>W177+X177+Y177</f>
        <v>0</v>
      </c>
      <c r="AB177" s="217">
        <f>U177+Z177</f>
        <v>0</v>
      </c>
      <c r="AD177" s="217">
        <f>Q177-AB177</f>
        <v>8098599.2216999996</v>
      </c>
    </row>
    <row r="178" spans="12:30" ht="16">
      <c r="N178" s="225"/>
    </row>
    <row r="179" spans="12:30" ht="16">
      <c r="N179" s="225"/>
    </row>
    <row r="180" spans="12:30" ht="20" thickBot="1">
      <c r="L180" s="32"/>
      <c r="N180" s="224" t="s">
        <v>260</v>
      </c>
      <c r="O180" s="222"/>
      <c r="P180" s="222"/>
      <c r="Q180" s="217" t="e">
        <f>Q173+Q177</f>
        <v>#REF!</v>
      </c>
      <c r="S180" s="217">
        <f>S173+S177</f>
        <v>27135</v>
      </c>
      <c r="T180" s="217">
        <f>T173+T177</f>
        <v>0</v>
      </c>
      <c r="U180" s="217">
        <f>U173+U177</f>
        <v>27135</v>
      </c>
      <c r="W180" s="217">
        <f>W173+W177</f>
        <v>0</v>
      </c>
      <c r="X180" s="217">
        <f>X173+X177</f>
        <v>0</v>
      </c>
      <c r="Y180" s="217">
        <f>Y173+Y177</f>
        <v>0</v>
      </c>
      <c r="Z180" s="217">
        <f>Z173+Z177</f>
        <v>0</v>
      </c>
      <c r="AB180" s="217">
        <f>AB173+AB177</f>
        <v>27135</v>
      </c>
      <c r="AD180" s="217" t="e">
        <f>AD173+AD177</f>
        <v>#REF!</v>
      </c>
    </row>
  </sheetData>
  <autoFilter ref="B3:O173" xr:uid="{00000000-0009-0000-0000-000002000000}"/>
  <mergeCells count="1">
    <mergeCell ref="D170:E170"/>
  </mergeCells>
  <phoneticPr fontId="25" type="noConversion"/>
  <pageMargins left="0.7" right="0.7" top="0.75" bottom="0.75" header="0.3" footer="0.3"/>
  <pageSetup scale="48" fitToHeight="2" orientation="landscape" r:id="rId1"/>
  <headerFooter>
    <oddHeader>&amp;C&amp;"-,Bold"&amp;14Project Detail</oddHeader>
    <oddFooter>&amp;CHouston Terminal
Page &amp;P of &amp;N</oddFooter>
  </headerFooter>
  <customProperties>
    <customPr name="EpmWorksheetKeyString_GUID" r:id="rId2"/>
    <customPr name="FPMExcelClientCellBasedFunctionStatus" r:id="rId3"/>
  </customProperties>
  <ignoredErrors>
    <ignoredError sqref="F72 M11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B1:Q16"/>
  <sheetViews>
    <sheetView zoomScale="115" zoomScaleNormal="115" workbookViewId="0">
      <pane xSplit="1" ySplit="3" topLeftCell="B4" activePane="bottomRight" state="frozen"/>
      <selection activeCell="G15" sqref="G15"/>
      <selection pane="topRight" activeCell="G15" sqref="G15"/>
      <selection pane="bottomLeft" activeCell="G15" sqref="G15"/>
      <selection pane="bottomRight" activeCell="G9" sqref="G9"/>
    </sheetView>
  </sheetViews>
  <sheetFormatPr baseColWidth="10" defaultColWidth="9.5" defaultRowHeight="15" outlineLevelCol="1"/>
  <cols>
    <col min="1" max="1" width="1.6640625" style="1" customWidth="1"/>
    <col min="2" max="2" width="15.5" style="70" customWidth="1"/>
    <col min="3" max="3" width="14.33203125" style="1" customWidth="1"/>
    <col min="4" max="4" width="38.1640625" style="66" bestFit="1" customWidth="1"/>
    <col min="5" max="5" width="58.5" style="66" bestFit="1" customWidth="1"/>
    <col min="6" max="6" width="36.1640625" style="70" bestFit="1" customWidth="1"/>
    <col min="7" max="7" width="18.5" style="68" bestFit="1" customWidth="1"/>
    <col min="8" max="8" width="43.33203125" style="1" customWidth="1" outlineLevel="1"/>
    <col min="9" max="9" width="14.6640625" style="1" customWidth="1"/>
    <col min="10" max="10" width="25" style="1" customWidth="1"/>
    <col min="11" max="11" width="12.33203125" style="1" customWidth="1"/>
    <col min="12" max="12" width="15.83203125" style="1" customWidth="1"/>
    <col min="13" max="13" width="11.83203125" style="1" customWidth="1"/>
    <col min="14" max="16" width="9.5" style="1" customWidth="1"/>
    <col min="17" max="16384" width="9.5" style="1"/>
  </cols>
  <sheetData>
    <row r="1" spans="2:17" ht="11.25" customHeight="1"/>
    <row r="2" spans="2:17" ht="19.5" customHeight="1">
      <c r="B2" s="777" t="s">
        <v>26</v>
      </c>
      <c r="C2" s="778"/>
      <c r="D2" s="778"/>
      <c r="E2" s="778"/>
      <c r="F2" s="778"/>
      <c r="G2" s="778"/>
      <c r="H2" s="779"/>
    </row>
    <row r="3" spans="2:17" s="2" customFormat="1">
      <c r="B3" s="61" t="s">
        <v>4</v>
      </c>
      <c r="C3" s="61" t="s">
        <v>16</v>
      </c>
      <c r="D3" s="61" t="s">
        <v>5</v>
      </c>
      <c r="E3" s="61" t="s">
        <v>0</v>
      </c>
      <c r="F3" s="61" t="s">
        <v>8</v>
      </c>
      <c r="G3" s="69" t="s">
        <v>6</v>
      </c>
      <c r="H3" s="69" t="s">
        <v>2</v>
      </c>
      <c r="I3" s="1"/>
      <c r="J3" s="1"/>
      <c r="K3" s="1"/>
      <c r="L3" s="1"/>
      <c r="M3" s="1"/>
      <c r="N3" s="1"/>
      <c r="O3" s="1"/>
      <c r="P3" s="1"/>
      <c r="Q3" s="1"/>
    </row>
    <row r="4" spans="2:17">
      <c r="B4" s="147"/>
      <c r="C4" s="148"/>
      <c r="D4" s="139"/>
      <c r="E4" s="139"/>
      <c r="F4" s="139"/>
      <c r="G4" s="149"/>
      <c r="H4" s="13"/>
    </row>
    <row r="5" spans="2:17">
      <c r="B5" s="147"/>
      <c r="C5" s="148"/>
      <c r="D5" s="139"/>
      <c r="E5" s="139"/>
      <c r="F5" s="139"/>
      <c r="G5" s="149"/>
      <c r="H5" s="13"/>
    </row>
    <row r="6" spans="2:17">
      <c r="B6" s="147"/>
      <c r="C6" s="148"/>
      <c r="D6" s="139"/>
      <c r="E6" s="139"/>
      <c r="F6" s="139"/>
      <c r="G6" s="149"/>
      <c r="H6" s="13"/>
    </row>
    <row r="8" spans="2:17">
      <c r="B8" s="97"/>
      <c r="C8" s="2"/>
      <c r="F8" s="134"/>
      <c r="G8" s="73"/>
    </row>
    <row r="9" spans="2:17" ht="16">
      <c r="F9" s="27" t="s">
        <v>7</v>
      </c>
      <c r="G9" s="75">
        <f>SUBTOTAL(9,G4:G6)</f>
        <v>0</v>
      </c>
      <c r="H9" s="68"/>
      <c r="I9" s="109"/>
      <c r="J9" s="109"/>
      <c r="K9" s="109"/>
    </row>
    <row r="10" spans="2:17" ht="16">
      <c r="C10" s="28"/>
      <c r="G10" s="122" t="b">
        <f>G9='Project At-a-Glance'!D25</f>
        <v>1</v>
      </c>
      <c r="H10" s="109"/>
      <c r="I10" s="219"/>
    </row>
    <row r="11" spans="2:17">
      <c r="H11" s="109"/>
    </row>
    <row r="12" spans="2:17">
      <c r="H12" s="109"/>
    </row>
    <row r="16" spans="2:17">
      <c r="D16" s="1"/>
      <c r="E16" s="1"/>
      <c r="F16" s="1"/>
      <c r="G16" s="229"/>
    </row>
  </sheetData>
  <autoFilter ref="B3:H6" xr:uid="{A1D6DFC9-0FC7-4C31-BA91-44FB6366EF26}"/>
  <mergeCells count="1">
    <mergeCell ref="B2:H2"/>
  </mergeCells>
  <phoneticPr fontId="25" type="noConversion"/>
  <pageMargins left="0.7" right="0.7" top="0.75" bottom="0.75" header="0.3" footer="0.3"/>
  <pageSetup scale="73" orientation="landscape" r:id="rId1"/>
  <headerFooter>
    <oddHeader>&amp;C&amp;"-,Bold"&amp;14Committed Costs</oddHeader>
    <oddFooter>&amp;CDallas Venue
Page &amp;P of &amp;N</oddFooter>
  </headerFooter>
  <rowBreaks count="1" manualBreakCount="1">
    <brk id="9" max="7" man="1"/>
  </rowBreaks>
  <customProperties>
    <customPr name="EpmWorksheetKeyString_GUI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  <pageSetUpPr fitToPage="1"/>
  </sheetPr>
  <dimension ref="B1:J17"/>
  <sheetViews>
    <sheetView zoomScale="85" zoomScaleNormal="85" zoomScalePageLayoutView="85" workbookViewId="0">
      <selection activeCell="G13" sqref="G13"/>
    </sheetView>
  </sheetViews>
  <sheetFormatPr baseColWidth="10" defaultColWidth="9.5" defaultRowHeight="15" outlineLevelRow="1" outlineLevelCol="1"/>
  <cols>
    <col min="1" max="1" width="1.5" style="1" customWidth="1"/>
    <col min="2" max="2" width="15.5" style="1" customWidth="1" outlineLevel="1"/>
    <col min="3" max="3" width="29.1640625" style="66" bestFit="1" customWidth="1"/>
    <col min="4" max="4" width="47.1640625" style="1" bestFit="1" customWidth="1"/>
    <col min="5" max="5" width="16.5" style="1" bestFit="1" customWidth="1"/>
    <col min="6" max="6" width="15" style="1" customWidth="1"/>
    <col min="7" max="7" width="15.5" style="73" bestFit="1" customWidth="1"/>
    <col min="8" max="8" width="15.5" style="1" customWidth="1"/>
    <col min="9" max="9" width="21.5" style="66" bestFit="1" customWidth="1"/>
    <col min="10" max="10" width="67.1640625" style="66" customWidth="1" outlineLevel="1"/>
    <col min="11" max="16384" width="9.5" style="1"/>
  </cols>
  <sheetData>
    <row r="1" spans="2:10" ht="9" customHeight="1"/>
    <row r="2" spans="2:10" ht="16">
      <c r="B2" s="780" t="s">
        <v>279</v>
      </c>
      <c r="C2" s="781"/>
      <c r="D2" s="781"/>
      <c r="E2" s="781"/>
      <c r="F2" s="781"/>
      <c r="G2" s="781"/>
      <c r="H2" s="781"/>
      <c r="I2" s="781"/>
      <c r="J2" s="782"/>
    </row>
    <row r="3" spans="2:10" s="72" customFormat="1" ht="30" customHeight="1">
      <c r="B3" s="71" t="s">
        <v>16</v>
      </c>
      <c r="C3" s="71" t="s">
        <v>5</v>
      </c>
      <c r="D3" s="71" t="s">
        <v>0</v>
      </c>
      <c r="E3" s="71" t="s">
        <v>22</v>
      </c>
      <c r="F3" s="71" t="s">
        <v>15</v>
      </c>
      <c r="G3" s="74" t="s">
        <v>17</v>
      </c>
      <c r="H3" s="71" t="s">
        <v>48</v>
      </c>
      <c r="I3" s="71" t="s">
        <v>2</v>
      </c>
      <c r="J3" s="138" t="s">
        <v>239</v>
      </c>
    </row>
    <row r="4" spans="2:10" ht="15" customHeight="1">
      <c r="B4" s="2"/>
      <c r="D4" s="66"/>
      <c r="E4" s="2"/>
      <c r="F4" s="88"/>
      <c r="G4" s="77"/>
      <c r="H4" s="87"/>
    </row>
    <row r="5" spans="2:10" ht="15" customHeight="1">
      <c r="B5" s="118" t="s">
        <v>274</v>
      </c>
      <c r="C5" s="152"/>
      <c r="D5" s="118"/>
      <c r="E5" s="118"/>
      <c r="F5" s="118"/>
      <c r="G5" s="118"/>
      <c r="H5" s="118"/>
      <c r="I5" s="152"/>
      <c r="J5" s="152"/>
    </row>
    <row r="6" spans="2:10">
      <c r="B6" s="15"/>
      <c r="C6" s="83"/>
      <c r="D6" s="139"/>
      <c r="E6" s="95"/>
      <c r="F6" s="58"/>
      <c r="G6" s="76"/>
      <c r="H6" s="57"/>
      <c r="I6" s="153"/>
      <c r="J6" s="83"/>
    </row>
    <row r="7" spans="2:10">
      <c r="B7" s="15"/>
      <c r="C7" s="83"/>
      <c r="D7" s="83"/>
      <c r="E7" s="15"/>
      <c r="F7" s="58"/>
      <c r="G7" s="76"/>
      <c r="H7" s="57"/>
      <c r="I7" s="153"/>
      <c r="J7" s="83"/>
    </row>
    <row r="8" spans="2:10" ht="15" customHeight="1">
      <c r="B8" s="14"/>
      <c r="C8" s="83"/>
      <c r="D8" s="83"/>
      <c r="E8" s="15"/>
      <c r="F8" s="58"/>
      <c r="G8" s="76"/>
      <c r="H8" s="57"/>
      <c r="I8" s="83"/>
      <c r="J8" s="83"/>
    </row>
    <row r="9" spans="2:10" ht="15" customHeight="1">
      <c r="B9" s="15"/>
      <c r="C9" s="83"/>
      <c r="D9" s="83"/>
      <c r="E9" s="15"/>
      <c r="F9" s="58"/>
      <c r="G9" s="76"/>
      <c r="H9" s="57"/>
      <c r="I9" s="83"/>
      <c r="J9" s="83"/>
    </row>
    <row r="10" spans="2:10" ht="15" customHeight="1">
      <c r="B10" s="2"/>
      <c r="D10" s="66"/>
      <c r="E10" s="87"/>
      <c r="F10" s="88" t="s">
        <v>92</v>
      </c>
      <c r="G10" s="77">
        <f>SUBTOTAL(9,G6:G9)</f>
        <v>0</v>
      </c>
      <c r="H10" s="87"/>
    </row>
    <row r="11" spans="2:10" ht="15" customHeight="1">
      <c r="B11" s="2"/>
      <c r="D11" s="66"/>
      <c r="E11" s="87"/>
      <c r="F11" s="96"/>
      <c r="H11" s="87"/>
    </row>
    <row r="12" spans="2:10">
      <c r="B12" s="2"/>
      <c r="D12" s="66"/>
      <c r="E12" s="110"/>
      <c r="F12" s="111"/>
      <c r="G12" s="112"/>
      <c r="H12" s="87"/>
      <c r="I12" s="155"/>
    </row>
    <row r="13" spans="2:10" ht="16">
      <c r="F13" s="88" t="s">
        <v>56</v>
      </c>
      <c r="G13" s="75">
        <f>SUM(G10)</f>
        <v>0</v>
      </c>
      <c r="H13" s="109"/>
      <c r="I13" s="165"/>
    </row>
    <row r="14" spans="2:10" outlineLevel="1">
      <c r="G14" s="123" t="b">
        <f>G13='Project At-a-Glance'!E25</f>
        <v>1</v>
      </c>
      <c r="I14" s="165"/>
    </row>
    <row r="15" spans="2:10">
      <c r="H15" s="109"/>
    </row>
    <row r="16" spans="2:10">
      <c r="F16" s="220"/>
      <c r="H16" s="109"/>
    </row>
    <row r="17" spans="6:6">
      <c r="F17" s="220"/>
    </row>
  </sheetData>
  <autoFilter ref="B3:J11" xr:uid="{00000000-0001-0000-0500-000000000000}"/>
  <mergeCells count="1">
    <mergeCell ref="B2:J2"/>
  </mergeCells>
  <phoneticPr fontId="25" type="noConversion"/>
  <pageMargins left="0.7" right="0.7" top="0.75" bottom="0.75" header="0.3" footer="0.3"/>
  <pageSetup scale="60" fitToHeight="0" orientation="landscape" r:id="rId1"/>
  <headerFooter>
    <oddHeader>&amp;C&amp;"-,Bold"&amp;14Invoices</oddHeader>
    <oddFooter>&amp;CDallas Venue
Page &amp;P of &amp;N</oddFooter>
  </headerFooter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  <pageSetUpPr fitToPage="1"/>
  </sheetPr>
  <dimension ref="B2:I29"/>
  <sheetViews>
    <sheetView zoomScale="90" zoomScaleNormal="90" workbookViewId="0">
      <pane xSplit="1" ySplit="2" topLeftCell="B3" activePane="bottomRight" state="frozen"/>
      <selection activeCell="G15" sqref="G15"/>
      <selection pane="topRight" activeCell="G15" sqref="G15"/>
      <selection pane="bottomLeft" activeCell="G15" sqref="G15"/>
      <selection pane="bottomRight" activeCell="E29" sqref="E29"/>
    </sheetView>
  </sheetViews>
  <sheetFormatPr baseColWidth="10" defaultColWidth="8.83203125" defaultRowHeight="15" outlineLevelCol="1"/>
  <cols>
    <col min="1" max="1" width="2.5" style="1" customWidth="1"/>
    <col min="2" max="2" width="15.5" style="1" customWidth="1"/>
    <col min="3" max="3" width="13.5" style="1" customWidth="1"/>
    <col min="4" max="4" width="21.5" style="1" customWidth="1"/>
    <col min="5" max="5" width="17.5" style="56" customWidth="1"/>
    <col min="6" max="6" width="13.5" style="1" customWidth="1"/>
    <col min="7" max="7" width="38.83203125" style="1" bestFit="1" customWidth="1"/>
    <col min="8" max="8" width="58.5" style="1" hidden="1" customWidth="1" outlineLevel="1"/>
    <col min="9" max="9" width="8.83203125" style="1" collapsed="1"/>
    <col min="10" max="16384" width="8.83203125" style="1"/>
  </cols>
  <sheetData>
    <row r="2" spans="2:8" s="54" customFormat="1">
      <c r="B2" s="61" t="s">
        <v>43</v>
      </c>
      <c r="C2" s="61" t="s">
        <v>44</v>
      </c>
      <c r="D2" s="61" t="s">
        <v>5</v>
      </c>
      <c r="E2" s="62" t="s">
        <v>36</v>
      </c>
      <c r="F2" s="61" t="s">
        <v>16</v>
      </c>
      <c r="G2" s="61" t="s">
        <v>0</v>
      </c>
      <c r="H2" s="61" t="s">
        <v>2</v>
      </c>
    </row>
    <row r="3" spans="2:8">
      <c r="B3" s="58"/>
      <c r="C3" s="13"/>
      <c r="D3" s="13"/>
      <c r="E3" s="31"/>
      <c r="F3" s="15"/>
      <c r="G3" s="67"/>
      <c r="H3" s="13"/>
    </row>
    <row r="4" spans="2:8">
      <c r="B4" s="58"/>
      <c r="C4" s="13"/>
      <c r="D4" s="13"/>
      <c r="E4" s="108"/>
      <c r="F4" s="15"/>
      <c r="G4" s="13"/>
      <c r="H4" s="13"/>
    </row>
    <row r="5" spans="2:8">
      <c r="B5" s="58"/>
      <c r="C5" s="13"/>
      <c r="D5" s="13"/>
      <c r="E5" s="108"/>
      <c r="F5" s="15"/>
      <c r="G5" s="13"/>
      <c r="H5" s="100"/>
    </row>
    <row r="6" spans="2:8">
      <c r="B6" s="58"/>
      <c r="C6" s="13"/>
      <c r="D6" s="13"/>
      <c r="E6" s="108"/>
      <c r="F6" s="15"/>
      <c r="G6" s="13"/>
      <c r="H6" s="100"/>
    </row>
    <row r="7" spans="2:8">
      <c r="B7" s="58"/>
      <c r="C7" s="13"/>
      <c r="D7" s="13"/>
      <c r="E7" s="108"/>
      <c r="F7" s="15"/>
      <c r="G7" s="13"/>
      <c r="H7" s="13"/>
    </row>
    <row r="8" spans="2:8">
      <c r="B8" s="58"/>
      <c r="C8" s="13"/>
      <c r="D8" s="13"/>
      <c r="E8" s="108"/>
      <c r="F8" s="15"/>
      <c r="G8" s="13"/>
      <c r="H8" s="13"/>
    </row>
    <row r="9" spans="2:8">
      <c r="B9" s="58"/>
      <c r="C9" s="13"/>
      <c r="D9" s="13"/>
      <c r="E9" s="108"/>
      <c r="F9" s="15"/>
      <c r="G9" s="13"/>
      <c r="H9" s="13"/>
    </row>
    <row r="10" spans="2:8">
      <c r="B10" s="58"/>
      <c r="C10" s="13"/>
      <c r="D10" s="13"/>
      <c r="E10" s="108"/>
      <c r="F10" s="15"/>
      <c r="G10" s="13"/>
      <c r="H10" s="13"/>
    </row>
    <row r="11" spans="2:8">
      <c r="B11" s="58"/>
      <c r="C11" s="13"/>
      <c r="D11" s="13"/>
      <c r="E11" s="31"/>
      <c r="F11" s="15"/>
      <c r="G11" s="13"/>
      <c r="H11" s="13"/>
    </row>
    <row r="12" spans="2:8">
      <c r="B12" s="58"/>
      <c r="C12" s="13"/>
      <c r="D12" s="13"/>
      <c r="E12" s="31"/>
      <c r="F12" s="15"/>
      <c r="G12" s="13"/>
      <c r="H12" s="13"/>
    </row>
    <row r="13" spans="2:8">
      <c r="B13" s="58"/>
      <c r="C13" s="13"/>
      <c r="D13" s="13"/>
      <c r="E13" s="108"/>
      <c r="F13" s="15"/>
      <c r="G13" s="13"/>
      <c r="H13" s="13"/>
    </row>
    <row r="14" spans="2:8">
      <c r="B14" s="58"/>
      <c r="C14" s="13"/>
      <c r="D14" s="13"/>
      <c r="E14" s="108"/>
      <c r="F14" s="15"/>
      <c r="G14" s="13"/>
      <c r="H14" s="13"/>
    </row>
    <row r="15" spans="2:8">
      <c r="B15" s="58"/>
      <c r="C15" s="13"/>
      <c r="D15" s="13"/>
      <c r="E15" s="108"/>
      <c r="F15" s="15"/>
      <c r="G15" s="13"/>
      <c r="H15" s="13"/>
    </row>
    <row r="16" spans="2:8">
      <c r="B16" s="58"/>
      <c r="C16" s="13"/>
      <c r="D16" s="13"/>
      <c r="E16" s="108"/>
      <c r="F16" s="15"/>
      <c r="G16" s="13"/>
      <c r="H16" s="13"/>
    </row>
    <row r="17" spans="2:8">
      <c r="B17" s="58"/>
      <c r="C17" s="13"/>
      <c r="D17" s="13"/>
      <c r="E17" s="108"/>
      <c r="F17" s="15"/>
      <c r="G17" s="13"/>
      <c r="H17" s="13"/>
    </row>
    <row r="18" spans="2:8">
      <c r="B18" s="58"/>
      <c r="C18" s="13"/>
      <c r="D18" s="13"/>
      <c r="E18" s="108"/>
      <c r="F18" s="15"/>
      <c r="G18" s="13"/>
      <c r="H18" s="13"/>
    </row>
    <row r="19" spans="2:8">
      <c r="B19" s="58"/>
      <c r="C19" s="13"/>
      <c r="D19" s="13"/>
      <c r="E19" s="108"/>
      <c r="F19" s="15"/>
      <c r="G19" s="13"/>
      <c r="H19" s="13"/>
    </row>
    <row r="20" spans="2:8">
      <c r="B20" s="58"/>
      <c r="C20" s="13"/>
      <c r="D20" s="13"/>
      <c r="E20" s="31"/>
      <c r="F20" s="15"/>
      <c r="G20" s="13"/>
      <c r="H20" s="13"/>
    </row>
    <row r="21" spans="2:8">
      <c r="B21" s="58"/>
      <c r="C21" s="13"/>
      <c r="D21" s="13"/>
      <c r="E21" s="108"/>
      <c r="F21" s="15"/>
      <c r="G21" s="13"/>
      <c r="H21" s="13"/>
    </row>
    <row r="22" spans="2:8">
      <c r="B22" s="58"/>
      <c r="C22" s="13"/>
      <c r="D22" s="13"/>
      <c r="E22" s="31"/>
      <c r="F22" s="15"/>
      <c r="G22" s="13"/>
      <c r="H22" s="13"/>
    </row>
    <row r="23" spans="2:8">
      <c r="B23" s="58"/>
      <c r="C23" s="13"/>
      <c r="D23" s="13"/>
      <c r="E23" s="31"/>
      <c r="F23" s="15"/>
      <c r="G23" s="83"/>
      <c r="H23" s="13"/>
    </row>
    <row r="24" spans="2:8">
      <c r="B24" s="58"/>
      <c r="C24" s="13"/>
      <c r="D24" s="13"/>
      <c r="E24" s="31"/>
      <c r="F24" s="15"/>
      <c r="G24" s="83"/>
      <c r="H24" s="13"/>
    </row>
    <row r="25" spans="2:8">
      <c r="B25" s="58"/>
      <c r="C25" s="13"/>
      <c r="D25" s="13"/>
      <c r="E25" s="31"/>
      <c r="F25" s="15"/>
      <c r="G25" s="83"/>
      <c r="H25" s="13"/>
    </row>
    <row r="26" spans="2:8">
      <c r="B26" s="58"/>
      <c r="C26" s="13"/>
      <c r="D26" s="13"/>
      <c r="E26" s="31"/>
      <c r="F26" s="15"/>
      <c r="G26" s="13"/>
      <c r="H26" s="13"/>
    </row>
    <row r="29" spans="2:8" ht="16">
      <c r="D29" s="53" t="s">
        <v>54</v>
      </c>
      <c r="E29" s="55">
        <f>SUM(E3:E28)</f>
        <v>0</v>
      </c>
    </row>
  </sheetData>
  <autoFilter ref="B2:H25" xr:uid="{141CA37D-ABCB-46B3-986F-5C2DB66F52D6}"/>
  <pageMargins left="0.7" right="0.7" top="0.75" bottom="0.75" header="0.3" footer="0.3"/>
  <pageSetup scale="76" fitToHeight="0" orientation="landscape" r:id="rId1"/>
  <headerFooter>
    <oddHeader>&amp;C&amp;"-,Bold"&amp;14Change Orders</oddHeader>
    <oddFooter>&amp;CDallas Venue
Page &amp;P of &amp;N</oddFooter>
  </headerFooter>
  <customProperties>
    <customPr name="EpmWorksheetKeyString_GUI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16C9-0B86-4C8C-A8A5-7D8CDF490DFF}">
  <sheetPr codeName="Sheet5">
    <tabColor rgb="FFFF0000"/>
    <pageSetUpPr fitToPage="1"/>
  </sheetPr>
  <dimension ref="B1:J13"/>
  <sheetViews>
    <sheetView zoomScale="130" zoomScaleNormal="130" workbookViewId="0">
      <pane ySplit="2" topLeftCell="A3" activePane="bottomLeft" state="frozen"/>
      <selection activeCell="G15" sqref="G15"/>
      <selection pane="bottomLeft" activeCell="G9" sqref="G9"/>
    </sheetView>
  </sheetViews>
  <sheetFormatPr baseColWidth="10" defaultColWidth="9.5" defaultRowHeight="15" outlineLevelCol="1"/>
  <cols>
    <col min="1" max="1" width="1" style="1" customWidth="1"/>
    <col min="2" max="2" width="13.5" style="1" customWidth="1"/>
    <col min="3" max="3" width="12.5" style="1" customWidth="1"/>
    <col min="4" max="4" width="37.5" style="1" bestFit="1" customWidth="1"/>
    <col min="5" max="5" width="57.5" style="1" customWidth="1"/>
    <col min="6" max="6" width="20.5" style="1" bestFit="1" customWidth="1"/>
    <col min="7" max="7" width="18" style="1" bestFit="1" customWidth="1"/>
    <col min="8" max="8" width="36.6640625" style="1" hidden="1" customWidth="1" outlineLevel="1"/>
    <col min="9" max="9" width="9.5" style="1" collapsed="1"/>
    <col min="10" max="10" width="13.5" style="1" customWidth="1"/>
    <col min="11" max="16384" width="9.5" style="1"/>
  </cols>
  <sheetData>
    <row r="1" spans="2:10" ht="9.75" customHeight="1"/>
    <row r="2" spans="2:10" ht="30" customHeight="1">
      <c r="B2" s="71" t="s">
        <v>34</v>
      </c>
      <c r="C2" s="71" t="s">
        <v>16</v>
      </c>
      <c r="D2" s="71" t="s">
        <v>5</v>
      </c>
      <c r="E2" s="71" t="s">
        <v>0</v>
      </c>
      <c r="F2" s="71" t="s">
        <v>51</v>
      </c>
      <c r="G2" s="71" t="s">
        <v>37</v>
      </c>
      <c r="H2" s="71" t="s">
        <v>2</v>
      </c>
    </row>
    <row r="3" spans="2:10">
      <c r="B3" s="89"/>
      <c r="C3" s="89"/>
      <c r="D3" s="66"/>
      <c r="E3" s="91"/>
      <c r="F3" s="90"/>
      <c r="G3" s="92"/>
    </row>
    <row r="4" spans="2:10">
      <c r="B4" s="162" t="s">
        <v>217</v>
      </c>
      <c r="C4" s="163"/>
      <c r="D4" s="163"/>
      <c r="E4" s="163"/>
      <c r="F4" s="163"/>
      <c r="G4" s="164"/>
      <c r="H4" s="164"/>
      <c r="J4" s="118" t="s">
        <v>1</v>
      </c>
    </row>
    <row r="5" spans="2:10">
      <c r="B5" s="14">
        <v>43921</v>
      </c>
      <c r="C5" s="14" t="s">
        <v>227</v>
      </c>
      <c r="D5" s="83" t="s">
        <v>227</v>
      </c>
      <c r="E5" s="83" t="s">
        <v>243</v>
      </c>
      <c r="F5" s="31">
        <v>0</v>
      </c>
      <c r="G5" s="86">
        <f>+J5-F5</f>
        <v>8098599.2216999996</v>
      </c>
      <c r="H5" s="13"/>
      <c r="J5" s="50">
        <f>'Project Detail'!F170</f>
        <v>8098599.2216999996</v>
      </c>
    </row>
    <row r="6" spans="2:10">
      <c r="B6" s="89"/>
      <c r="C6" s="89"/>
      <c r="D6" s="66"/>
      <c r="E6" s="91" t="s">
        <v>94</v>
      </c>
      <c r="F6" s="90">
        <f>SUBTOTAL(9,F5)</f>
        <v>0</v>
      </c>
      <c r="G6" s="92">
        <f>G5</f>
        <v>8098599.2216999996</v>
      </c>
    </row>
    <row r="7" spans="2:10">
      <c r="B7" s="89"/>
      <c r="C7" s="89"/>
      <c r="D7" s="66"/>
      <c r="E7" s="91"/>
      <c r="F7" s="90"/>
      <c r="G7" s="92"/>
    </row>
    <row r="8" spans="2:10">
      <c r="B8" s="89"/>
      <c r="C8" s="89"/>
      <c r="D8" s="66"/>
      <c r="E8" s="91"/>
      <c r="F8" s="90"/>
      <c r="G8" s="92"/>
    </row>
    <row r="9" spans="2:10">
      <c r="E9" s="88" t="s">
        <v>93</v>
      </c>
      <c r="F9" s="48">
        <f>SUM(F6)</f>
        <v>0</v>
      </c>
      <c r="G9" s="48">
        <f>G6</f>
        <v>8098599.2216999996</v>
      </c>
    </row>
    <row r="11" spans="2:10">
      <c r="F11" s="68"/>
    </row>
    <row r="13" spans="2:10">
      <c r="F13" s="94"/>
    </row>
  </sheetData>
  <autoFilter ref="B2:G6" xr:uid="{6DBF4B48-F4DD-4EA7-9F37-BE8DC5065066}"/>
  <pageMargins left="0.7" right="0.7" top="0.75" bottom="0.75" header="0.3" footer="0.3"/>
  <pageSetup scale="78" fitToHeight="0" orientation="landscape" r:id="rId1"/>
  <headerFooter>
    <oddHeader>&amp;C&amp;"-,Bold"&amp;14Contingency</oddHeader>
    <oddFooter>&amp;CDallas Venue
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  <pageSetUpPr fitToPage="1"/>
  </sheetPr>
  <dimension ref="A1:L39"/>
  <sheetViews>
    <sheetView zoomScale="109" zoomScaleNormal="85" workbookViewId="0">
      <pane ySplit="3" topLeftCell="A4" activePane="bottomLeft" state="frozen"/>
      <selection pane="bottomLeft" activeCell="G23" sqref="G23"/>
    </sheetView>
  </sheetViews>
  <sheetFormatPr baseColWidth="10" defaultColWidth="11.5" defaultRowHeight="15" outlineLevelCol="1"/>
  <cols>
    <col min="1" max="1" width="14" style="1" customWidth="1"/>
    <col min="2" max="2" width="3.5" style="1" customWidth="1"/>
    <col min="3" max="3" width="55" style="1" bestFit="1" customWidth="1"/>
    <col min="4" max="4" width="3.5" style="1" customWidth="1"/>
    <col min="5" max="5" width="22" style="1" customWidth="1"/>
    <col min="6" max="6" width="3.5" style="1" customWidth="1"/>
    <col min="7" max="7" width="19.83203125" style="1" customWidth="1"/>
    <col min="8" max="8" width="3.5" style="1" customWidth="1"/>
    <col min="9" max="9" width="17.83203125" style="1" customWidth="1"/>
    <col min="10" max="10" width="3.5" style="1" customWidth="1"/>
    <col min="11" max="11" width="88.6640625" style="1" customWidth="1" outlineLevel="1"/>
    <col min="12" max="12" width="21.1640625" style="1" bestFit="1" customWidth="1"/>
    <col min="13" max="16384" width="11.5" style="1"/>
  </cols>
  <sheetData>
    <row r="1" spans="1:12" ht="22" thickBot="1">
      <c r="A1" s="783" t="s">
        <v>280</v>
      </c>
      <c r="B1" s="784"/>
      <c r="C1" s="784"/>
      <c r="D1" s="784"/>
      <c r="E1" s="784"/>
      <c r="F1" s="784"/>
      <c r="G1" s="784"/>
      <c r="H1" s="784"/>
      <c r="I1" s="784"/>
      <c r="J1" s="784"/>
      <c r="K1" s="785"/>
    </row>
    <row r="2" spans="1:12" ht="20" thickBot="1">
      <c r="A2" s="41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2" s="43" customFormat="1" ht="35" customHeight="1" thickBot="1">
      <c r="A3" s="42" t="s">
        <v>19</v>
      </c>
      <c r="C3" s="42" t="s">
        <v>35</v>
      </c>
      <c r="E3" s="42" t="s">
        <v>49</v>
      </c>
      <c r="G3" s="169" t="s">
        <v>50</v>
      </c>
      <c r="I3" s="42" t="s">
        <v>13</v>
      </c>
      <c r="K3" s="42" t="s">
        <v>2</v>
      </c>
    </row>
    <row r="4" spans="1:12">
      <c r="A4" s="1" t="s">
        <v>233</v>
      </c>
      <c r="E4" s="146"/>
      <c r="F4" s="140"/>
      <c r="G4" s="161"/>
      <c r="H4" s="140"/>
      <c r="I4" s="146"/>
      <c r="J4" s="32"/>
      <c r="L4" s="101"/>
    </row>
    <row r="5" spans="1:12">
      <c r="A5" s="1" t="s">
        <v>233</v>
      </c>
      <c r="E5" s="146"/>
      <c r="F5" s="140"/>
      <c r="G5" s="161"/>
      <c r="H5" s="140"/>
      <c r="I5" s="146"/>
      <c r="J5" s="32"/>
      <c r="L5" s="101"/>
    </row>
    <row r="6" spans="1:12">
      <c r="A6" s="1" t="s">
        <v>233</v>
      </c>
      <c r="E6" s="227"/>
      <c r="F6" s="12"/>
      <c r="G6" s="228"/>
      <c r="H6" s="12"/>
      <c r="I6" s="227"/>
      <c r="J6" s="226"/>
      <c r="L6" s="101"/>
    </row>
    <row r="7" spans="1:12">
      <c r="A7" s="1" t="s">
        <v>233</v>
      </c>
      <c r="E7" s="227"/>
      <c r="F7" s="12"/>
      <c r="G7" s="228"/>
      <c r="H7" s="12"/>
      <c r="I7" s="227"/>
      <c r="J7" s="226"/>
      <c r="L7" s="101"/>
    </row>
    <row r="8" spans="1:12">
      <c r="A8" s="1" t="s">
        <v>233</v>
      </c>
      <c r="E8" s="227"/>
      <c r="F8" s="12"/>
      <c r="G8" s="228"/>
      <c r="H8" s="12"/>
      <c r="I8" s="227"/>
      <c r="J8" s="226"/>
      <c r="L8" s="101"/>
    </row>
    <row r="9" spans="1:12">
      <c r="A9" s="1" t="s">
        <v>233</v>
      </c>
      <c r="E9" s="227"/>
      <c r="F9" s="12"/>
      <c r="G9" s="228"/>
      <c r="H9" s="12"/>
      <c r="I9" s="227"/>
      <c r="J9" s="226"/>
      <c r="L9" s="101"/>
    </row>
    <row r="10" spans="1:12">
      <c r="A10" s="1" t="s">
        <v>233</v>
      </c>
      <c r="E10" s="227"/>
      <c r="F10" s="12"/>
      <c r="G10" s="228"/>
      <c r="H10" s="12"/>
      <c r="I10" s="227"/>
      <c r="J10" s="226"/>
      <c r="L10" s="101"/>
    </row>
    <row r="11" spans="1:12">
      <c r="A11" s="1" t="s">
        <v>233</v>
      </c>
      <c r="E11" s="146"/>
      <c r="F11" s="140"/>
      <c r="G11" s="161"/>
      <c r="H11" s="140"/>
      <c r="I11" s="146"/>
      <c r="J11" s="32"/>
      <c r="L11" s="101"/>
    </row>
    <row r="12" spans="1:12">
      <c r="A12" s="1" t="s">
        <v>233</v>
      </c>
      <c r="E12" s="146"/>
      <c r="F12" s="140"/>
      <c r="G12" s="161"/>
      <c r="H12" s="140"/>
      <c r="I12" s="146"/>
      <c r="J12" s="32"/>
      <c r="L12" s="101"/>
    </row>
    <row r="13" spans="1:12">
      <c r="A13" s="1" t="s">
        <v>233</v>
      </c>
      <c r="E13" s="146"/>
      <c r="F13" s="140"/>
      <c r="G13" s="161"/>
      <c r="H13" s="140"/>
      <c r="I13" s="146"/>
      <c r="J13" s="32"/>
      <c r="L13" s="101"/>
    </row>
    <row r="14" spans="1:12" ht="16" thickBot="1">
      <c r="A14" s="1" t="s">
        <v>233</v>
      </c>
      <c r="E14" s="146"/>
      <c r="F14" s="140"/>
      <c r="G14" s="161"/>
      <c r="H14" s="140"/>
      <c r="I14" s="146"/>
      <c r="J14" s="32"/>
      <c r="L14" s="101"/>
    </row>
    <row r="15" spans="1:12" ht="16" thickBot="1">
      <c r="E15" s="99">
        <f>SUM(E4:E14)</f>
        <v>0</v>
      </c>
      <c r="F15" s="98"/>
      <c r="G15" s="99">
        <f>SUM(G4:G14)</f>
        <v>0</v>
      </c>
      <c r="H15" s="98"/>
      <c r="I15" s="99">
        <f>SUM(I4:I14)</f>
        <v>0</v>
      </c>
      <c r="J15" s="98"/>
      <c r="L15" s="44"/>
    </row>
    <row r="16" spans="1:12">
      <c r="E16" s="44"/>
      <c r="F16" s="44"/>
      <c r="G16" s="44"/>
      <c r="H16" s="44"/>
      <c r="I16" s="44"/>
      <c r="J16" s="44"/>
      <c r="L16" s="44"/>
    </row>
    <row r="17" spans="3:12">
      <c r="E17" s="44"/>
      <c r="F17" s="44"/>
      <c r="G17" s="44"/>
      <c r="H17" s="44"/>
      <c r="I17" s="44"/>
      <c r="J17" s="44"/>
      <c r="L17" s="44"/>
    </row>
    <row r="18" spans="3:12">
      <c r="E18" s="44"/>
      <c r="F18" s="44"/>
      <c r="G18" s="44"/>
      <c r="H18" s="44"/>
      <c r="I18" s="44"/>
      <c r="J18" s="44"/>
      <c r="L18" s="44"/>
    </row>
    <row r="19" spans="3:12" ht="16">
      <c r="C19" s="45" t="s">
        <v>281</v>
      </c>
      <c r="E19" s="150" t="s">
        <v>101</v>
      </c>
      <c r="F19" s="44"/>
      <c r="G19" s="151">
        <f>Contingency!G9</f>
        <v>8098599.2216999996</v>
      </c>
      <c r="H19" s="44"/>
      <c r="I19" s="44"/>
      <c r="J19" s="44"/>
      <c r="K19" s="45"/>
      <c r="L19" s="44"/>
    </row>
    <row r="20" spans="3:12" ht="16">
      <c r="E20" s="46"/>
      <c r="F20" s="44"/>
      <c r="G20" s="44"/>
      <c r="H20" s="44"/>
      <c r="I20" s="44"/>
      <c r="J20" s="44"/>
      <c r="L20" s="44"/>
    </row>
    <row r="21" spans="3:12" ht="16">
      <c r="E21" s="150" t="s">
        <v>242</v>
      </c>
      <c r="F21" s="44"/>
      <c r="G21" s="151">
        <f>G19-G15</f>
        <v>8098599.2216999996</v>
      </c>
      <c r="H21" s="44"/>
      <c r="I21" s="44"/>
      <c r="J21" s="44"/>
      <c r="L21" s="44"/>
    </row>
    <row r="22" spans="3:12" ht="16">
      <c r="E22" s="150"/>
      <c r="F22" s="44"/>
      <c r="G22" s="44"/>
      <c r="H22" s="44"/>
      <c r="I22" s="44"/>
      <c r="J22" s="44"/>
      <c r="L22" s="44"/>
    </row>
    <row r="23" spans="3:12" ht="16">
      <c r="E23" s="150" t="s">
        <v>225</v>
      </c>
      <c r="F23" s="44"/>
      <c r="G23" s="47">
        <f>IF(G15&gt;G19,G19-G15,0)</f>
        <v>0</v>
      </c>
      <c r="H23" s="44"/>
      <c r="I23" s="44"/>
      <c r="J23" s="44"/>
      <c r="K23" s="44"/>
      <c r="L23" s="44"/>
    </row>
    <row r="24" spans="3:12">
      <c r="E24" s="44"/>
      <c r="F24" s="44"/>
      <c r="G24" s="44"/>
      <c r="H24" s="44"/>
      <c r="I24" s="44"/>
      <c r="J24" s="44"/>
      <c r="L24" s="44"/>
    </row>
    <row r="25" spans="3:12">
      <c r="E25" s="44"/>
      <c r="F25" s="44"/>
      <c r="G25" s="94"/>
      <c r="H25" s="44"/>
      <c r="I25" s="44"/>
      <c r="J25" s="44"/>
      <c r="L25" s="44"/>
    </row>
    <row r="26" spans="3:12">
      <c r="C26" s="1" t="s">
        <v>226</v>
      </c>
      <c r="E26" s="44"/>
      <c r="F26" s="44"/>
      <c r="G26" s="44"/>
      <c r="H26" s="44"/>
      <c r="I26" s="44"/>
      <c r="J26" s="44"/>
      <c r="L26" s="44"/>
    </row>
    <row r="27" spans="3:12">
      <c r="E27" s="44"/>
      <c r="F27" s="44"/>
      <c r="G27" s="44"/>
      <c r="H27" s="44"/>
      <c r="I27" s="44"/>
      <c r="J27" s="44"/>
      <c r="L27" s="44"/>
    </row>
    <row r="28" spans="3:12">
      <c r="E28" s="44"/>
      <c r="F28" s="44"/>
      <c r="G28" s="44"/>
      <c r="H28" s="44"/>
      <c r="I28" s="44"/>
      <c r="J28" s="44"/>
      <c r="L28" s="44"/>
    </row>
    <row r="29" spans="3:12">
      <c r="E29" s="44"/>
      <c r="F29" s="44"/>
      <c r="G29" s="44"/>
      <c r="H29" s="44"/>
      <c r="I29" s="44"/>
      <c r="J29" s="44"/>
      <c r="L29" s="44"/>
    </row>
    <row r="30" spans="3:12">
      <c r="E30" s="44"/>
      <c r="F30" s="44"/>
      <c r="G30" s="44"/>
      <c r="H30" s="44"/>
      <c r="I30" s="44"/>
      <c r="J30" s="44"/>
      <c r="L30" s="44"/>
    </row>
    <row r="31" spans="3:12">
      <c r="E31" s="44"/>
      <c r="F31" s="44"/>
      <c r="G31" s="44"/>
      <c r="H31" s="44"/>
      <c r="I31" s="44"/>
      <c r="J31" s="44"/>
      <c r="L31" s="44"/>
    </row>
    <row r="32" spans="3:12">
      <c r="E32" s="44"/>
      <c r="F32" s="44"/>
      <c r="G32" s="98"/>
      <c r="H32" s="44"/>
      <c r="I32" s="44"/>
      <c r="J32" s="44"/>
      <c r="L32" s="44"/>
    </row>
    <row r="33" spans="5:12">
      <c r="E33" s="44"/>
      <c r="F33" s="44"/>
      <c r="G33" s="44"/>
      <c r="H33" s="44"/>
      <c r="I33" s="44"/>
      <c r="J33" s="44"/>
      <c r="L33" s="44"/>
    </row>
    <row r="34" spans="5:12">
      <c r="E34" s="44"/>
      <c r="F34" s="44"/>
      <c r="G34" s="44"/>
      <c r="H34" s="44"/>
      <c r="I34" s="44"/>
      <c r="J34" s="44"/>
      <c r="L34" s="44"/>
    </row>
    <row r="35" spans="5:12">
      <c r="E35" s="44"/>
      <c r="F35" s="44"/>
      <c r="G35" s="44"/>
      <c r="H35" s="44"/>
      <c r="I35" s="44"/>
      <c r="J35" s="44"/>
      <c r="L35" s="44"/>
    </row>
    <row r="36" spans="5:12">
      <c r="E36" s="44"/>
      <c r="F36" s="44"/>
      <c r="G36" s="44"/>
      <c r="H36" s="44"/>
      <c r="I36" s="44"/>
      <c r="J36" s="44"/>
      <c r="L36" s="44"/>
    </row>
    <row r="37" spans="5:12">
      <c r="E37" s="44"/>
      <c r="F37" s="44"/>
      <c r="G37" s="44"/>
      <c r="H37" s="44"/>
      <c r="I37" s="44"/>
      <c r="J37" s="44"/>
      <c r="L37" s="44"/>
    </row>
    <row r="38" spans="5:12">
      <c r="E38" s="44"/>
      <c r="F38" s="44"/>
      <c r="G38" s="44"/>
      <c r="H38" s="44"/>
      <c r="I38" s="44"/>
      <c r="J38" s="44"/>
      <c r="L38" s="44"/>
    </row>
    <row r="39" spans="5:12">
      <c r="E39" s="44"/>
      <c r="F39" s="44"/>
      <c r="G39" s="44"/>
      <c r="H39" s="44"/>
      <c r="I39" s="44"/>
      <c r="J39" s="44"/>
      <c r="L39" s="44"/>
    </row>
  </sheetData>
  <mergeCells count="1">
    <mergeCell ref="A1:K1"/>
  </mergeCells>
  <phoneticPr fontId="25" type="noConversion"/>
  <pageMargins left="0.7" right="0.7" top="0.75" bottom="0.75" header="0.3" footer="0.3"/>
  <pageSetup scale="66" orientation="landscape" r:id="rId1"/>
  <headerFooter>
    <oddFooter>&amp;CDallas Venue
Page &amp;P of &amp;N</oddFoot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Budget Summary</vt:lpstr>
      <vt:lpstr>Soft Cost &amp; FF&amp;E Budget Detail</vt:lpstr>
      <vt:lpstr>Building &amp; Fit-outBudget Detail</vt:lpstr>
      <vt:lpstr>Building &amp; Fit-out Breakdown</vt:lpstr>
      <vt:lpstr>General Conditions</vt:lpstr>
      <vt:lpstr>Project At-a-Glance</vt:lpstr>
      <vt:lpstr>Project Summary </vt:lpstr>
      <vt:lpstr>Project Detail</vt:lpstr>
      <vt:lpstr>Committed Costs </vt:lpstr>
      <vt:lpstr>Invoices</vt:lpstr>
      <vt:lpstr>Change Orders</vt:lpstr>
      <vt:lpstr>Contingency</vt:lpstr>
      <vt:lpstr>Risk Report</vt:lpstr>
      <vt:lpstr>'Committed Costs '!Print_Area</vt:lpstr>
      <vt:lpstr>Contingency!Print_Area</vt:lpstr>
      <vt:lpstr>'Project At-a-Glance'!Print_Area</vt:lpstr>
      <vt:lpstr>'Project Detail'!Print_Area</vt:lpstr>
      <vt:lpstr>'Project Summary '!Print_Area</vt:lpstr>
      <vt:lpstr>'Risk Report'!Print_Area</vt:lpstr>
      <vt:lpstr>Invoices!Print_Titles</vt:lpstr>
      <vt:lpstr>'Project At-a-Glance'!Print_Titles</vt:lpstr>
      <vt:lpstr>'Project Detail'!Print_Titles</vt:lpstr>
      <vt:lpstr>'Project Summary '!Print_Titles</vt:lpstr>
    </vt:vector>
  </TitlesOfParts>
  <Company>LNE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Thomas Glennon</cp:lastModifiedBy>
  <cp:lastPrinted>2019-03-21T23:59:29Z</cp:lastPrinted>
  <dcterms:created xsi:type="dcterms:W3CDTF">2017-10-18T16:39:21Z</dcterms:created>
  <dcterms:modified xsi:type="dcterms:W3CDTF">2026-09-16T00:53:46Z</dcterms:modified>
</cp:coreProperties>
</file>