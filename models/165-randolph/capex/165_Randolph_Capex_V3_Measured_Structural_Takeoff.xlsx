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The Takeoff" sheetId="2" state="visible" r:id="rId2"/>
    <sheet name="Lift or Rebuild" sheetId="3" state="visible" r:id="rId3"/>
    <sheet name="Findings Revised" sheetId="4" state="visible" r:id="rId4"/>
    <sheet name="V3 Detailed Budget" sheetId="5" state="visible" r:id="rId5"/>
    <sheet name="V3 vs Thomas" sheetId="6" state="visible" r:id="rId6"/>
  </sheets>
  <definedNames/>
  <calcPr calcId="124519" fullCalcOnLoad="1"/>
</workbook>
</file>

<file path=xl/styles.xml><?xml version="1.0" encoding="utf-8"?>
<styleSheet xmlns="http://schemas.openxmlformats.org/spreadsheetml/2006/main">
  <numFmts count="5">
    <numFmt numFmtId="164" formatCode="$#,##0;($#,##0);&quot;-&quot;"/>
    <numFmt numFmtId="165" formatCode="$#,##0"/>
    <numFmt numFmtId="166" formatCode="#,##0.0"/>
    <numFmt numFmtId="167" formatCode="0.0%"/>
    <numFmt numFmtId="168" formatCode="$#,##0.00"/>
  </numFmts>
  <fonts count="13">
    <font>
      <name val="Calibri"/>
      <family val="2"/>
      <color theme="1"/>
      <sz val="11"/>
      <scheme val="minor"/>
    </font>
    <font>
      <name val="Arial"/>
      <b val="1"/>
      <color rgb="001F3864"/>
      <sz val="18"/>
    </font>
    <font>
      <name val="Arial"/>
      <b val="1"/>
      <color rgb="001F3864"/>
      <sz val="11"/>
    </font>
    <font>
      <name val="Arial"/>
      <color rgb="00595959"/>
      <sz val="8"/>
    </font>
    <font>
      <name val="Arial"/>
      <b val="1"/>
      <color rgb="001F3864"/>
      <sz val="14"/>
    </font>
    <font>
      <name val="Arial"/>
      <sz val="9"/>
    </font>
    <font>
      <name val="Arial"/>
      <b val="1"/>
      <sz val="9"/>
    </font>
    <font>
      <name val="Arial"/>
      <b val="1"/>
      <color rgb="00FFFFFF"/>
      <sz val="9"/>
    </font>
    <font>
      <name val="Arial"/>
      <b val="1"/>
      <color rgb="001F6B3B"/>
      <sz val="9"/>
    </font>
    <font>
      <name val="Arial"/>
      <b val="1"/>
      <color rgb="00C00000"/>
      <sz val="9"/>
    </font>
    <font>
      <name val="Arial"/>
      <b val="1"/>
      <color rgb="00FFFFFF"/>
      <sz val="11"/>
    </font>
    <font>
      <name val="Arial"/>
      <b val="1"/>
      <color rgb="001F3864"/>
      <sz val="9"/>
    </font>
    <font>
      <name val="Arial"/>
      <color rgb="000000FF"/>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D9E2F3"/>
      </patternFill>
    </fill>
    <fill>
      <patternFill patternType="solid">
        <fgColor rgb="00E2EFDA"/>
      </patternFill>
    </fill>
    <fill>
      <patternFill patternType="solid">
        <fgColor rgb="00FFF2CC"/>
      </patternFill>
    </fill>
    <fill>
      <patternFill patternType="solid">
        <fgColor rgb="002E5C8A"/>
      </patternFill>
    </fill>
  </fills>
  <borders count="2">
    <border>
      <left/>
      <right/>
      <top/>
      <bottom/>
      <diagonal/>
    </border>
    <border>
      <top style="medium">
        <color rgb="001F3864"/>
      </top>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5" fillId="0" borderId="0" pivotButton="0" quotePrefix="0" xfId="0"/>
    <xf numFmtId="164" fontId="5" fillId="0" borderId="0" pivotButton="0" quotePrefix="0" xfId="0"/>
    <xf numFmtId="0" fontId="6" fillId="3" borderId="1" pivotButton="0" quotePrefix="0" xfId="0"/>
    <xf numFmtId="164" fontId="6" fillId="3" borderId="1" pivotButton="0" quotePrefix="0" xfId="0"/>
    <xf numFmtId="0" fontId="6" fillId="4" borderId="1" pivotButton="0" quotePrefix="0" xfId="0"/>
    <xf numFmtId="164" fontId="6" fillId="4" borderId="1" pivotButton="0" quotePrefix="0" xfId="0"/>
    <xf numFmtId="165" fontId="6" fillId="0" borderId="0" pivotButton="0" quotePrefix="0" xfId="0"/>
    <xf numFmtId="165" fontId="6" fillId="5" borderId="0" pivotButton="0" quotePrefix="0" xfId="0"/>
    <xf numFmtId="0" fontId="3" fillId="0" borderId="0" applyAlignment="1" pivotButton="0" quotePrefix="0" xfId="0">
      <alignment vertical="top" wrapText="1"/>
    </xf>
    <xf numFmtId="3" fontId="5" fillId="0" borderId="0" pivotButton="0" quotePrefix="0" xfId="0"/>
    <xf numFmtId="166" fontId="5" fillId="0" borderId="0" pivotButton="0" quotePrefix="0" xfId="0"/>
    <xf numFmtId="167" fontId="8" fillId="0" borderId="0" pivotButton="0" quotePrefix="0" xfId="0"/>
    <xf numFmtId="167" fontId="9" fillId="0" borderId="0" pivotButton="0" quotePrefix="0" xfId="0"/>
    <xf numFmtId="3" fontId="6" fillId="4" borderId="1" pivotButton="0" quotePrefix="0" xfId="0"/>
    <xf numFmtId="166" fontId="6" fillId="4" borderId="1" pivotButton="0" quotePrefix="0" xfId="0"/>
    <xf numFmtId="167" fontId="6" fillId="4" borderId="1" pivotButton="0" quotePrefix="0" xfId="0"/>
    <xf numFmtId="0" fontId="5" fillId="6" borderId="0" pivotButton="0" quotePrefix="0" xfId="0"/>
    <xf numFmtId="3" fontId="5" fillId="6" borderId="0" pivotButton="0" quotePrefix="0" xfId="0"/>
    <xf numFmtId="166" fontId="5" fillId="6" borderId="0" pivotButton="0" quotePrefix="0" xfId="0"/>
    <xf numFmtId="0" fontId="9" fillId="0" borderId="0" applyAlignment="1" pivotButton="0" quotePrefix="0" xfId="0">
      <alignment vertical="top" wrapText="1"/>
    </xf>
    <xf numFmtId="164" fontId="6" fillId="0" borderId="0" pivotButton="0" quotePrefix="0" xfId="0"/>
    <xf numFmtId="0" fontId="8" fillId="0" borderId="0" applyAlignment="1" pivotButton="0" quotePrefix="0" xfId="0">
      <alignment vertical="top" wrapText="1"/>
    </xf>
    <xf numFmtId="0" fontId="10" fillId="7" borderId="0" pivotButton="0" quotePrefix="0" xfId="0"/>
    <xf numFmtId="0" fontId="0" fillId="7" borderId="0" pivotButton="0" quotePrefix="0" xfId="0"/>
    <xf numFmtId="0" fontId="11" fillId="4" borderId="0" pivotButton="0" quotePrefix="0" xfId="0"/>
    <xf numFmtId="0" fontId="0" fillId="4" borderId="0" pivotButton="0" quotePrefix="0" xfId="0"/>
    <xf numFmtId="3" fontId="0" fillId="0" borderId="0" pivotButton="0" quotePrefix="0" xfId="0"/>
    <xf numFmtId="0" fontId="0" fillId="0" borderId="0" applyAlignment="1" pivotButton="0" quotePrefix="0" xfId="0">
      <alignment horizontal="center"/>
    </xf>
    <xf numFmtId="168" fontId="12" fillId="0" borderId="0" pivotButton="0" quotePrefix="0" xfId="0"/>
    <xf numFmtId="164" fontId="0" fillId="0" borderId="0" pivotButton="0" quotePrefix="0" xfId="0"/>
    <xf numFmtId="3" fontId="0" fillId="5" borderId="0" pivotButton="0" quotePrefix="0" xfId="0"/>
    <xf numFmtId="0" fontId="6" fillId="5" borderId="0" pivotButton="0" quotePrefix="0" xfId="0"/>
    <xf numFmtId="164" fontId="6" fillId="5"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3"/>
  <sheetViews>
    <sheetView showGridLines="0" workbookViewId="0">
      <pane ySplit="6" topLeftCell="A7" activePane="bottomLeft" state="frozen"/>
      <selection pane="bottomLeft" activeCell="A1" sqref="A1"/>
    </sheetView>
  </sheetViews>
  <sheetFormatPr baseColWidth="8" defaultRowHeight="15"/>
  <cols>
    <col width="3" customWidth="1" min="1" max="1"/>
    <col width="60" customWidth="1" min="2" max="2"/>
    <col width="17" customWidth="1" min="3" max="3"/>
    <col width="17" customWidth="1" min="4" max="4"/>
    <col width="17" customWidth="1" min="5" max="5"/>
  </cols>
  <sheetData>
    <row r="2">
      <c r="B2" s="1" t="inlineStr">
        <is>
          <t>165 RANDOLPH STREET</t>
        </is>
      </c>
    </row>
    <row r="3">
      <c r="B3" s="2" t="inlineStr">
        <is>
          <t>THE TAKEOFF CHANGES THE ANSWER</t>
        </is>
      </c>
    </row>
    <row r="4">
      <c r="B4" s="3" t="inlineStr">
        <is>
          <t>V3 — rebuilt on the measured structural takeoff · RFEM 6.15 export, model Rev 38, version VE1 · CONFIDENTIAL</t>
        </is>
      </c>
    </row>
    <row r="6">
      <c r="B6" s="4" t="inlineStr">
        <is>
          <t>We were $24.4M apart. We are now $649,727 apart.</t>
        </is>
      </c>
    </row>
    <row r="8" ht="30" customHeight="1">
      <c r="B8" s="5" t="inlineStr">
        <is>
          <t>The RFEM model measures 1,994,335 lb of new and replacement steel — 997.2 SHORT TONS. Priced by the ton, our structure goes from an estimated $9,258,304 to a measured $16,710,249, and our budget goes from $64,648,067 to $77,897,555.</t>
        </is>
      </c>
    </row>
    <row r="9" ht="7" customHeight="1">
      <c r="B9" s="5" t="inlineStr"/>
    </row>
    <row r="10" ht="13" customHeight="1">
      <c r="B10" s="6" t="inlineStr">
        <is>
          <t>TWO OF MY 16 SEP FINDINGS ARE WRONG AND I AM WITHDRAWING THEM.</t>
        </is>
      </c>
    </row>
    <row r="11" ht="30" customHeight="1">
      <c r="B11" s="5" t="inlineStr">
        <is>
          <t xml:space="preserve">     The model is NOT a roof lift. 62.4% of column steel starts at grade, all 517 truss members are new at +56.5 to +64.5 ft, the existing roof level carries zero members, and the words lift, jack, shore and splice appear nowhere in 8,658 rows. He and the structural engineer are building the same building; our lift assumption is the outlier.</t>
        </is>
      </c>
    </row>
    <row r="12" ht="30" customHeight="1">
      <c r="B12" s="5" t="inlineStr">
        <is>
          <t xml:space="preserve">     His 135,953 SF is defensible. The model has 146,508 SF gross and 120,119 SF of enclosed floor. Our 14,000 SF mezzanine was an assumption; the model says 32,942 SF plus 13,077 SF of tiered seating plus a 26,389 SF occupied terrace.</t>
        </is>
      </c>
    </row>
    <row r="13" ht="7" customHeight="1">
      <c r="B13" s="5" t="inlineStr"/>
    </row>
    <row r="14" ht="30" customHeight="1">
      <c r="B14" s="5" t="inlineStr">
        <is>
          <t>Strip those two and the correction I reported falls from $20,940,896 to $11,836,763. Apply only what still stands and his $89,084,591 becomes about $77,247,828 — against our V3 of $77,897,555. That is 0.8% apart.</t>
        </is>
      </c>
    </row>
    <row r="15" ht="7" customHeight="1">
      <c r="B15" s="5" t="inlineStr"/>
    </row>
    <row r="16" ht="30" customHeight="1">
      <c r="B16" s="5" t="inlineStr">
        <is>
          <t>AND THE $12,000,000 PLUG IS NOW THE OTHER WAY ROUND. I told you it was right-sized. The measured structure alone is $16,710,249, of which $6,703,714 is bare steel by the ton, and his plug still has to cover all millwork, doors, storefront, glazing, tile, fireproofing and most of the drywall on top of that. When he prices it, his number goes UP.</t>
        </is>
      </c>
    </row>
    <row r="18">
      <c r="B18" s="7" t="inlineStr"/>
      <c r="C18" s="7" t="inlineStr">
        <is>
          <t>V2 (estimated)</t>
        </is>
      </c>
      <c r="D18" s="7" t="inlineStr">
        <is>
          <t>V3 (measured)</t>
        </is>
      </c>
      <c r="E18" s="7" t="inlineStr">
        <is>
          <t>Delta</t>
        </is>
      </c>
    </row>
    <row r="19">
      <c r="B19" s="8" t="inlineStr">
        <is>
          <t>Trade cost</t>
        </is>
      </c>
      <c r="C19" s="9" t="n">
        <v>38166123</v>
      </c>
      <c r="D19" s="9" t="n">
        <v>48557878.15</v>
      </c>
      <c r="E19" s="9" t="n">
        <v>10391755.15</v>
      </c>
    </row>
    <row r="20">
      <c r="B20" s="8" t="inlineStr">
        <is>
          <t>Escalation 10%</t>
        </is>
      </c>
      <c r="C20" s="9" t="n">
        <v>3816612.3</v>
      </c>
      <c r="D20" s="9" t="n">
        <v>4855787.815</v>
      </c>
      <c r="E20" s="9" t="n">
        <v>1039175.515</v>
      </c>
    </row>
    <row r="21">
      <c r="B21" s="8" t="inlineStr">
        <is>
          <t>General conditions 8.5%</t>
        </is>
      </c>
      <c r="C21" s="9" t="n">
        <v>3244120.455</v>
      </c>
      <c r="D21" s="9" t="n">
        <v>4127419.64275</v>
      </c>
      <c r="E21" s="9" t="n">
        <v>883299.18775</v>
      </c>
    </row>
    <row r="22">
      <c r="B22" s="8" t="inlineStr">
        <is>
          <t>Overhead, profit &amp; insurance 9%</t>
        </is>
      </c>
      <c r="C22" s="9" t="n">
        <v>3434951.07</v>
      </c>
      <c r="D22" s="9" t="n">
        <v>4370209.0335</v>
      </c>
      <c r="E22" s="9" t="n">
        <v>935257.9635000001</v>
      </c>
    </row>
    <row r="23">
      <c r="B23" s="10" t="inlineStr">
        <is>
          <t>CONSTRUCTION COST</t>
        </is>
      </c>
      <c r="C23" s="11" t="n">
        <v>48661806.825</v>
      </c>
      <c r="D23" s="11" t="n">
        <v>61911294.64125</v>
      </c>
      <c r="E23" s="11" t="n">
        <v>13249487.81625</v>
      </c>
    </row>
    <row r="24">
      <c r="B24" s="8" t="inlineStr">
        <is>
          <t>Contingency</t>
        </is>
      </c>
      <c r="C24" s="9" t="n">
        <v>5000000</v>
      </c>
      <c r="D24" s="9" t="n">
        <v>5000000</v>
      </c>
      <c r="E24" s="9" t="n">
        <v>0</v>
      </c>
    </row>
    <row r="25">
      <c r="B25" s="8" t="inlineStr">
        <is>
          <t>FF&amp;E</t>
        </is>
      </c>
      <c r="C25" s="9" t="n">
        <v>5588260</v>
      </c>
      <c r="D25" s="9" t="n">
        <v>5588260</v>
      </c>
      <c r="E25" s="9" t="n">
        <v>0</v>
      </c>
    </row>
    <row r="26">
      <c r="B26" s="8" t="inlineStr">
        <is>
          <t>Soft costs</t>
        </is>
      </c>
      <c r="C26" s="9" t="n">
        <v>5398000</v>
      </c>
      <c r="D26" s="9" t="n">
        <v>5398000</v>
      </c>
      <c r="E26" s="9" t="n">
        <v>0</v>
      </c>
    </row>
    <row r="27">
      <c r="B27" s="12" t="inlineStr">
        <is>
          <t>TOTAL DEVELOPMENT COST</t>
        </is>
      </c>
      <c r="C27" s="13" t="n">
        <v>64648067</v>
      </c>
      <c r="D27" s="13" t="n">
        <v>77897554.64125</v>
      </c>
      <c r="E27" s="13" t="n">
        <v>13249487.64125</v>
      </c>
    </row>
    <row r="29">
      <c r="B29" s="8" t="inlineStr">
        <is>
          <t>V3 $ per SF on 74,100 SF</t>
        </is>
      </c>
      <c r="C29" s="14" t="n">
        <v>1051.249050489204</v>
      </c>
    </row>
    <row r="30">
      <c r="B30" s="8" t="inlineStr">
        <is>
          <t>V3 $ per SF on the measured 146,508 SF gross</t>
        </is>
      </c>
      <c r="C30" s="14" t="n">
        <v>531.6948879327409</v>
      </c>
    </row>
    <row r="31">
      <c r="B31" s="8" t="inlineStr">
        <is>
          <t>Thomas, as sent</t>
        </is>
      </c>
      <c r="C31" s="14" t="n">
        <v>89084591.44</v>
      </c>
    </row>
    <row r="32">
      <c r="B32" s="8" t="inlineStr">
        <is>
          <t>Thomas, after the corrections that SURVIVE the takeoff</t>
        </is>
      </c>
      <c r="C32" s="14" t="n">
        <v>77247828</v>
      </c>
    </row>
    <row r="33">
      <c r="B33" s="8" t="inlineStr">
        <is>
          <t>GAP to our V3</t>
        </is>
      </c>
      <c r="C33" s="15" t="n">
        <v>-649726.6412499994</v>
      </c>
    </row>
  </sheetData>
  <mergeCells count="9">
    <mergeCell ref="B9:E9"/>
    <mergeCell ref="B8:E8"/>
    <mergeCell ref="B12:E12"/>
    <mergeCell ref="B13:E13"/>
    <mergeCell ref="B16:E16"/>
    <mergeCell ref="B15:E15"/>
    <mergeCell ref="B11:E11"/>
    <mergeCell ref="B10:E10"/>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42"/>
  <sheetViews>
    <sheetView showGridLines="0" workbookViewId="0">
      <pane ySplit="6" topLeftCell="A7" activePane="bottomLeft" state="frozen"/>
      <selection pane="bottomLeft" activeCell="A1" sqref="A1"/>
    </sheetView>
  </sheetViews>
  <sheetFormatPr baseColWidth="8" defaultRowHeight="15"/>
  <cols>
    <col width="3" customWidth="1" min="1" max="1"/>
    <col width="40" customWidth="1" min="2" max="2"/>
    <col width="14" customWidth="1" min="3" max="3"/>
    <col width="14" customWidth="1" min="4" max="4"/>
    <col width="14" customWidth="1" min="5" max="5"/>
    <col width="12" customWidth="1" min="6" max="6"/>
    <col width="60" customWidth="1" min="7" max="7"/>
  </cols>
  <sheetData>
    <row r="2">
      <c r="B2" s="1" t="inlineStr">
        <is>
          <t>165 RANDOLPH STREET</t>
        </is>
      </c>
    </row>
    <row r="3">
      <c r="B3" s="2" t="inlineStr">
        <is>
          <t>WHAT THE STRUCTURAL MODEL ACTUALLY MEASURES</t>
        </is>
      </c>
    </row>
    <row r="4">
      <c r="B4" s="3" t="inlineStr">
        <is>
          <t>V3 — rebuilt on the measured structural takeoff · RFEM 6.15 export, model Rev 38, version VE1 · CONFIDENTIAL</t>
        </is>
      </c>
    </row>
    <row r="6" ht="26" customHeight="1">
      <c r="B6" s="16" t="inlineStr">
        <is>
          <t>UNITS. The source reports tonnes (2,204.62 lb). US steel is bought in SHORT TONS (2,000 lb). Everything here is short tons, converted from the lb column. Using 904.62 where 997.17 belongs understates the steel by 10.2%.</t>
        </is>
      </c>
    </row>
    <row r="8">
      <c r="B8" s="2" t="inlineStr">
        <is>
          <t>VALUE ENGINEERING: MODEL REV 43 → VE1</t>
        </is>
      </c>
    </row>
    <row r="9">
      <c r="B9" s="7" t="inlineStr"/>
      <c r="C9" s="7" t="inlineStr">
        <is>
          <t>Rev 43 (lb)</t>
        </is>
      </c>
      <c r="D9" s="7" t="inlineStr">
        <is>
          <t>VE1 (lb)</t>
        </is>
      </c>
      <c r="E9" s="7" t="inlineStr">
        <is>
          <t>Saved (lb)</t>
        </is>
      </c>
      <c r="F9" s="7" t="inlineStr">
        <is>
          <t>VE1 tons</t>
        </is>
      </c>
      <c r="G9" s="7" t="inlineStr">
        <is>
          <t>%</t>
        </is>
      </c>
    </row>
    <row r="10">
      <c r="B10" s="8" t="inlineStr">
        <is>
          <t>Beams / girders</t>
        </is>
      </c>
      <c r="C10" s="17" t="n">
        <v>1130205.08</v>
      </c>
      <c r="D10" s="17" t="n">
        <v>1016730.12</v>
      </c>
      <c r="E10" s="17" t="n">
        <v>113474.9600000001</v>
      </c>
      <c r="F10" s="18" t="n">
        <v>508.36506</v>
      </c>
      <c r="G10" s="19" t="n">
        <v>0.1004020969362481</v>
      </c>
    </row>
    <row r="11">
      <c r="B11" s="8" t="inlineStr">
        <is>
          <t>Columns / extensions</t>
        </is>
      </c>
      <c r="C11" s="17" t="n">
        <v>1100161.51</v>
      </c>
      <c r="D11" s="17" t="n">
        <v>721235.36</v>
      </c>
      <c r="E11" s="17" t="n">
        <v>378926.15</v>
      </c>
      <c r="F11" s="18" t="n">
        <v>360.61768</v>
      </c>
      <c r="G11" s="19" t="n">
        <v>0.3444277467951047</v>
      </c>
    </row>
    <row r="12">
      <c r="B12" s="8" t="inlineStr">
        <is>
          <t>Truss components</t>
        </is>
      </c>
      <c r="C12" s="17" t="n">
        <v>166783.23</v>
      </c>
      <c r="D12" s="17" t="n">
        <v>135424.31</v>
      </c>
      <c r="E12" s="17" t="n">
        <v>31358.92000000001</v>
      </c>
      <c r="F12" s="18" t="n">
        <v>67.712155</v>
      </c>
      <c r="G12" s="19" t="n">
        <v>0.188022021158842</v>
      </c>
    </row>
    <row r="13">
      <c r="B13" s="8" t="inlineStr">
        <is>
          <t>Braces</t>
        </is>
      </c>
      <c r="C13" s="17" t="n">
        <v>131056.08</v>
      </c>
      <c r="D13" s="17" t="n">
        <v>80323.25</v>
      </c>
      <c r="E13" s="17" t="n">
        <v>50732.83</v>
      </c>
      <c r="F13" s="18" t="n">
        <v>40.161625</v>
      </c>
      <c r="G13" s="19" t="n">
        <v>0.3871077938543561</v>
      </c>
    </row>
    <row r="14">
      <c r="B14" s="8" t="inlineStr">
        <is>
          <t>CFS — BOH &amp; closure framing</t>
        </is>
      </c>
      <c r="C14" s="17" t="n">
        <v>0</v>
      </c>
      <c r="D14" s="17" t="n">
        <v>40621.96</v>
      </c>
      <c r="E14" s="17" t="n">
        <v>-40621.96</v>
      </c>
      <c r="F14" s="18" t="n">
        <v>20.31098</v>
      </c>
      <c r="G14" s="20" t="n"/>
    </row>
    <row r="15">
      <c r="B15" s="12" t="inlineStr">
        <is>
          <t>TOTAL NEW / REPLACEMENT STEEL</t>
        </is>
      </c>
      <c r="C15" s="21" t="n">
        <v>2528205.89</v>
      </c>
      <c r="D15" s="21" t="n">
        <v>1994335</v>
      </c>
      <c r="E15" s="21" t="n">
        <v>533870.8900000001</v>
      </c>
      <c r="F15" s="22" t="n">
        <v>997.1675</v>
      </c>
      <c r="G15" s="23" t="n">
        <v>0.2111659070614696</v>
      </c>
    </row>
    <row r="17">
      <c r="B17" s="2" t="inlineStr">
        <is>
          <t>VE1 MEMBER DETAIL — 8,658 rows aggregated by system and section type</t>
        </is>
      </c>
    </row>
    <row r="18">
      <c r="B18" s="7" t="inlineStr">
        <is>
          <t>System</t>
        </is>
      </c>
      <c r="C18" s="7" t="inlineStr">
        <is>
          <t>Section type</t>
        </is>
      </c>
      <c r="D18" s="7" t="inlineStr">
        <is>
          <t>Members</t>
        </is>
      </c>
      <c r="E18" s="7" t="inlineStr">
        <is>
          <t>LF</t>
        </is>
      </c>
      <c r="F18" s="7" t="inlineStr">
        <is>
          <t>lb</t>
        </is>
      </c>
      <c r="G18" s="7" t="inlineStr">
        <is>
          <t>Short tons</t>
        </is>
      </c>
    </row>
    <row r="19">
      <c r="B19" s="8" t="inlineStr">
        <is>
          <t>Beams/girders</t>
        </is>
      </c>
      <c r="C19" s="8" t="inlineStr">
        <is>
          <t>Rolled W-shape</t>
        </is>
      </c>
      <c r="D19" s="17" t="n">
        <v>992</v>
      </c>
      <c r="E19" s="17" t="n">
        <v>17441</v>
      </c>
      <c r="F19" s="17" t="n">
        <v>1003473</v>
      </c>
      <c r="G19" s="18" t="n">
        <v>501.7365</v>
      </c>
    </row>
    <row r="20">
      <c r="B20" s="8" t="inlineStr">
        <is>
          <t>Beams/girders</t>
        </is>
      </c>
      <c r="C20" s="8" t="inlineStr">
        <is>
          <t>HSS tube</t>
        </is>
      </c>
      <c r="D20" s="17" t="n">
        <v>104</v>
      </c>
      <c r="E20" s="17" t="n">
        <v>338</v>
      </c>
      <c r="F20" s="17" t="n">
        <v>13258</v>
      </c>
      <c r="G20" s="18" t="n">
        <v>6.629</v>
      </c>
    </row>
    <row r="21">
      <c r="B21" s="24" t="inlineStr">
        <is>
          <t>Columns/extensions</t>
        </is>
      </c>
      <c r="C21" s="24" t="inlineStr">
        <is>
          <t>Built-up plate girder</t>
        </is>
      </c>
      <c r="D21" s="25" t="n">
        <v>80</v>
      </c>
      <c r="E21" s="25" t="n">
        <v>1320</v>
      </c>
      <c r="F21" s="25" t="n">
        <v>403988</v>
      </c>
      <c r="G21" s="26" t="n">
        <v>201.994</v>
      </c>
    </row>
    <row r="22">
      <c r="B22" s="8" t="inlineStr">
        <is>
          <t>Columns/extensions</t>
        </is>
      </c>
      <c r="C22" s="8" t="inlineStr">
        <is>
          <t>Rolled W-shape</t>
        </is>
      </c>
      <c r="D22" s="17" t="n">
        <v>148</v>
      </c>
      <c r="E22" s="17" t="n">
        <v>3107</v>
      </c>
      <c r="F22" s="17" t="n">
        <v>307818</v>
      </c>
      <c r="G22" s="18" t="n">
        <v>153.909</v>
      </c>
    </row>
    <row r="23">
      <c r="B23" s="8" t="inlineStr">
        <is>
          <t>Columns/extensions</t>
        </is>
      </c>
      <c r="C23" s="8" t="inlineStr">
        <is>
          <t>HSS tube</t>
        </is>
      </c>
      <c r="D23" s="17" t="n">
        <v>15</v>
      </c>
      <c r="E23" s="17" t="n">
        <v>197</v>
      </c>
      <c r="F23" s="17" t="n">
        <v>9430</v>
      </c>
      <c r="G23" s="18" t="n">
        <v>4.715</v>
      </c>
    </row>
    <row r="24">
      <c r="B24" s="8" t="inlineStr">
        <is>
          <t>Truss components</t>
        </is>
      </c>
      <c r="C24" s="8" t="inlineStr">
        <is>
          <t>Rolled W-shape</t>
        </is>
      </c>
      <c r="D24" s="17" t="n">
        <v>517</v>
      </c>
      <c r="E24" s="17" t="n">
        <v>5187</v>
      </c>
      <c r="F24" s="17" t="n">
        <v>135424</v>
      </c>
      <c r="G24" s="18" t="n">
        <v>67.712</v>
      </c>
    </row>
    <row r="25">
      <c r="B25" s="8" t="inlineStr">
        <is>
          <t>Braces</t>
        </is>
      </c>
      <c r="C25" s="8" t="inlineStr">
        <is>
          <t>HSS tube</t>
        </is>
      </c>
      <c r="D25" s="17" t="n">
        <v>281</v>
      </c>
      <c r="E25" s="17" t="n">
        <v>4781</v>
      </c>
      <c r="F25" s="17" t="n">
        <v>52722</v>
      </c>
      <c r="G25" s="18" t="n">
        <v>26.361</v>
      </c>
    </row>
    <row r="26">
      <c r="B26" s="8" t="inlineStr">
        <is>
          <t>Braces</t>
        </is>
      </c>
      <c r="C26" s="8" t="inlineStr">
        <is>
          <t>Rolled W-shape</t>
        </is>
      </c>
      <c r="D26" s="17" t="n">
        <v>21</v>
      </c>
      <c r="E26" s="17" t="n">
        <v>610</v>
      </c>
      <c r="F26" s="17" t="n">
        <v>27601</v>
      </c>
      <c r="G26" s="18" t="n">
        <v>13.8005</v>
      </c>
    </row>
    <row r="27">
      <c r="B27" s="8" t="inlineStr">
        <is>
          <t>Cold-formed steel</t>
        </is>
      </c>
      <c r="C27" s="8" t="inlineStr">
        <is>
          <t>CFS stud / track / strap</t>
        </is>
      </c>
      <c r="D27" s="17" t="n">
        <v>2686</v>
      </c>
      <c r="E27" s="17" t="n">
        <v>11557</v>
      </c>
      <c r="F27" s="17" t="n">
        <v>40622</v>
      </c>
      <c r="G27" s="18" t="n">
        <v>20.311</v>
      </c>
    </row>
    <row r="29" ht="24" customHeight="1">
      <c r="B29" s="16" t="inlineStr">
        <is>
          <t>The highlighted row is the one that breaks a $6,000/TON rate: 80 shop-welded plate girder columns, I 48/24 to I 69.023/24, 60.00 LF each on grids B and E.</t>
        </is>
      </c>
    </row>
    <row r="31">
      <c r="B31" s="2" t="inlineStr">
        <is>
          <t>AREAS, COUNTS AND MASONRY</t>
        </is>
      </c>
    </row>
    <row r="32">
      <c r="B32" s="7" t="inlineStr">
        <is>
          <t>Scope</t>
        </is>
      </c>
      <c r="C32" s="7" t="inlineStr">
        <is>
          <t>Unit</t>
        </is>
      </c>
      <c r="D32" s="7" t="inlineStr">
        <is>
          <t>Rev 43</t>
        </is>
      </c>
      <c r="E32" s="7" t="inlineStr">
        <is>
          <t>VE1</t>
        </is>
      </c>
      <c r="F32" s="7" t="inlineStr">
        <is>
          <t>Change</t>
        </is>
      </c>
    </row>
    <row r="33">
      <c r="B33" s="8" t="inlineStr">
        <is>
          <t>Mezzanine / floor (+20 ft)</t>
        </is>
      </c>
      <c r="C33" s="8" t="inlineStr">
        <is>
          <t>SF</t>
        </is>
      </c>
      <c r="D33" s="17" t="n">
        <v>29062.39</v>
      </c>
      <c r="E33" s="17" t="n">
        <v>32942</v>
      </c>
      <c r="F33" s="17" t="n">
        <v>3879.610000000001</v>
      </c>
    </row>
    <row r="34">
      <c r="B34" s="8" t="inlineStr">
        <is>
          <t>Additional tiered seating coverage</t>
        </is>
      </c>
      <c r="C34" s="8" t="inlineStr">
        <is>
          <t>SF</t>
        </is>
      </c>
      <c r="D34" s="17" t="n">
        <v>0</v>
      </c>
      <c r="E34" s="17" t="n">
        <v>13077</v>
      </c>
      <c r="F34" s="17" t="n">
        <v>13077</v>
      </c>
    </row>
    <row r="35">
      <c r="B35" s="8" t="inlineStr">
        <is>
          <t>Terrace / maintenance roof (+45 ft 7)</t>
        </is>
      </c>
      <c r="C35" s="8" t="inlineStr">
        <is>
          <t>SF</t>
        </is>
      </c>
      <c r="D35" s="17" t="n">
        <v>29059.08</v>
      </c>
      <c r="E35" s="17" t="n">
        <v>26389</v>
      </c>
      <c r="F35" s="17" t="n">
        <v>-2670.080000000002</v>
      </c>
    </row>
    <row r="36">
      <c r="B36" s="8" t="inlineStr">
        <is>
          <t>Lower roof (+60 ft 6)</t>
        </is>
      </c>
      <c r="C36" s="8" t="inlineStr">
        <is>
          <t>SF</t>
        </is>
      </c>
      <c r="D36" s="17" t="n">
        <v>8055.42</v>
      </c>
      <c r="E36" s="17" t="n">
        <v>5706</v>
      </c>
      <c r="F36" s="17" t="n">
        <v>-2349.42</v>
      </c>
    </row>
    <row r="37">
      <c r="B37" s="8" t="inlineStr">
        <is>
          <t>High roof (+64 ft 6)</t>
        </is>
      </c>
      <c r="C37" s="8" t="inlineStr">
        <is>
          <t>SF</t>
        </is>
      </c>
      <c r="D37" s="17" t="n">
        <v>27392.99</v>
      </c>
      <c r="E37" s="17" t="n">
        <v>27393</v>
      </c>
      <c r="F37" s="17" t="n">
        <v>0.009999999998399289</v>
      </c>
    </row>
    <row r="38">
      <c r="B38" s="8" t="inlineStr">
        <is>
          <t>W01 / W02 roof caps</t>
        </is>
      </c>
      <c r="C38" s="8" t="inlineStr">
        <is>
          <t>SF</t>
        </is>
      </c>
      <c r="D38" s="17" t="n">
        <v>1441.28</v>
      </c>
      <c r="E38" s="17" t="n">
        <v>1457</v>
      </c>
      <c r="F38" s="17" t="n">
        <v>15.72000000000003</v>
      </c>
    </row>
    <row r="39">
      <c r="B39" s="8" t="inlineStr">
        <is>
          <t>W03 / W09 roof caps (+60 ft 6)</t>
        </is>
      </c>
      <c r="C39" s="8" t="inlineStr">
        <is>
          <t>SF</t>
        </is>
      </c>
      <c r="D39" s="17" t="n">
        <v>363.06</v>
      </c>
      <c r="E39" s="17" t="n">
        <v>350</v>
      </c>
      <c r="F39" s="17" t="n">
        <v>-13.06</v>
      </c>
    </row>
    <row r="40">
      <c r="B40" s="8" t="inlineStr">
        <is>
          <t>BOH CFS roof (+33 ft 6)</t>
        </is>
      </c>
      <c r="C40" s="8" t="inlineStr">
        <is>
          <t>SF</t>
        </is>
      </c>
      <c r="D40" s="17" t="n">
        <v>0</v>
      </c>
      <c r="E40" s="17" t="n">
        <v>4230</v>
      </c>
      <c r="F40" s="17" t="n">
        <v>4230</v>
      </c>
    </row>
    <row r="41">
      <c r="B41" s="8" t="inlineStr">
        <is>
          <t>Total new CMU</t>
        </is>
      </c>
      <c r="C41" s="8" t="inlineStr">
        <is>
          <t>SF</t>
        </is>
      </c>
      <c r="D41" s="17" t="n">
        <v>23329.93</v>
      </c>
      <c r="E41" s="17" t="n">
        <v>39248</v>
      </c>
      <c r="F41" s="17" t="n">
        <v>15918.07</v>
      </c>
    </row>
    <row r="42">
      <c r="B42" s="8" t="inlineStr">
        <is>
          <t>Footing allowance</t>
        </is>
      </c>
      <c r="C42" s="8" t="inlineStr">
        <is>
          <t>locations</t>
        </is>
      </c>
      <c r="D42" s="17" t="n">
        <v>81</v>
      </c>
      <c r="E42" s="17" t="n">
        <v>124</v>
      </c>
      <c r="F42" s="17" t="n">
        <v>43</v>
      </c>
    </row>
  </sheetData>
  <mergeCells count="2">
    <mergeCell ref="B29:G29"/>
    <mergeCell ref="B6: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9"/>
  <sheetViews>
    <sheetView showGridLines="0" workbookViewId="0">
      <pane ySplit="6" topLeftCell="A7" activePane="bottomLeft" state="frozen"/>
      <selection pane="bottomLeft" activeCell="A1" sqref="A1"/>
    </sheetView>
  </sheetViews>
  <sheetFormatPr baseColWidth="8" defaultRowHeight="15"/>
  <cols>
    <col width="3" customWidth="1" min="1" max="1"/>
    <col width="34" customWidth="1" min="2" max="2"/>
    <col width="118" customWidth="1" min="3" max="3"/>
  </cols>
  <sheetData>
    <row r="2">
      <c r="B2" s="1" t="inlineStr">
        <is>
          <t>165 RANDOLPH STREET</t>
        </is>
      </c>
    </row>
    <row r="3">
      <c r="B3" s="2" t="inlineStr">
        <is>
          <t>IS HE USING ROOF LIFTERS? NO. AND NEITHER IS THE STRUCTURAL ENGINEER.</t>
        </is>
      </c>
    </row>
    <row r="4">
      <c r="B4" s="3" t="inlineStr">
        <is>
          <t>V3 — rebuilt on the measured structural takeoff · RFEM 6.15 export, model Rev 38, version VE1 · CONFIDENTIAL</t>
        </is>
      </c>
    </row>
    <row r="6">
      <c r="B6" s="3" t="inlineStr">
        <is>
          <t>Read off the member geometry, not off anybody’s description of it. Every number below is reproducible from the Member Detail sheet.</t>
        </is>
      </c>
    </row>
    <row r="8">
      <c r="B8" s="7" t="inlineStr">
        <is>
          <t>Test</t>
        </is>
      </c>
      <c r="C8" s="7" t="inlineStr">
        <is>
          <t>What the model says</t>
        </is>
      </c>
    </row>
    <row r="9" ht="42" customHeight="1">
      <c r="B9" s="6" t="inlineStr">
        <is>
          <t>Where the columns start</t>
        </is>
      </c>
      <c r="C9" s="5" t="inlineStr">
        <is>
          <t>243 VE1 column members. 124 of them start at or below +2 ft — 450,114 lb, 225.1 short tons, 62.4% of all column steel — which is a NEW FULL-HEIGHT COLUMN off the slab. Only 25 members start at ~+20 ft, the existing roof line: 89,113 lb, 44.6 tons, 12.4%. The grid B and grid E columns are 60.00 LF each, built up from plate as I 48/24, I 64.961/24 and I 69.023/24 segments.</t>
        </is>
      </c>
    </row>
    <row r="10" ht="34" customHeight="1">
      <c r="B10" s="6" t="inlineStr">
        <is>
          <t>The high roof</t>
        </is>
      </c>
      <c r="C10" s="5" t="inlineStr">
        <is>
          <t>All 517 truss members are phase NEW and sit between +56.5 ft and +64.5 ft: 135,424 lb of brand-new roof trusses at a level that does not exist in the building today.</t>
        </is>
      </c>
    </row>
    <row r="11" ht="34" customHeight="1">
      <c r="B11" s="6" t="inlineStr">
        <is>
          <t>The existing roof</t>
        </is>
      </c>
      <c r="C11" s="5" t="inlineStr">
        <is>
          <t>The level 'Existing Roof / Lower (+20 ft and below)' carries ZERO members in VE1. Nothing of the existing roof structure is retained in the priced model.</t>
        </is>
      </c>
    </row>
    <row r="12" ht="34" customHeight="1">
      <c r="B12" s="6" t="inlineStr">
        <is>
          <t>Replacement vs new</t>
        </is>
      </c>
      <c r="C12" s="5" t="inlineStr">
        <is>
          <t>Only 196,105 lb (98.1 short tons, 9.8%) is phase 'Replacement', and all of it is at 'Consolidated floor +20 ft and below' or 'Shared columns and vertical bracing'. None at the high roof.</t>
        </is>
      </c>
    </row>
    <row r="13" ht="34" customHeight="1">
      <c r="B13" s="6" t="inlineStr">
        <is>
          <t>Lifting language</t>
        </is>
      </c>
      <c r="C13" s="5" t="inlineStr">
        <is>
          <t>The words lift, jack, shore, temporary, splice and underpin appear NOWHERE in the 8,658 member rows — not in phase, system, level, section or the overlap-review column.</t>
        </is>
      </c>
    </row>
    <row r="14" ht="34" customHeight="1">
      <c r="B14" s="6" t="inlineStr">
        <is>
          <t>Height</t>
        </is>
      </c>
      <c r="C14" s="5" t="inlineStr">
        <is>
          <t>High roof is at +64 ft 6 in. Our locked project facts target 50 ft clear.</t>
        </is>
      </c>
    </row>
    <row r="16">
      <c r="B16" s="2" t="inlineStr">
        <is>
          <t>WHAT THIS MEANS</t>
        </is>
      </c>
    </row>
    <row r="17" ht="30" customHeight="1">
      <c r="B17" s="5" t="inlineStr">
        <is>
          <t>Thomas’s budget and the structural model agree with each other. Both demolish the existing roof and build new at height. His 74,000 SF of pre-cast roof demolition at $8/SF is not an error — it is the method.</t>
        </is>
      </c>
    </row>
    <row r="18" ht="30" customHeight="1">
      <c r="B18" s="5" t="inlineStr">
        <is>
          <t>Our locked project facts say a roof lift is mandatory, carried at $3.5M for the lifter plus roughly $3.5M of surrounding work, and that the 50 ft clear height is the moat. The model builds to +64 ft 6 in by rebuilding instead.</t>
        </is>
      </c>
    </row>
    <row r="19" ht="30" customHeight="1">
      <c r="B19" s="6" t="inlineStr">
        <is>
          <t>THIS IS THE DECISION THAT HAS TO BE MADE BEFORE ANYTHING ELSE RECONCILES. It moves concrete, steel, scaffolding, demolition, roofing, the DOB filing route and the programme. I have NOT changed the project facts file — that is your call, not mine, and it should be made with Wake and the structural engineer in the room.</t>
        </is>
      </c>
    </row>
  </sheetData>
  <mergeCells count="3">
    <mergeCell ref="B18:C18"/>
    <mergeCell ref="B19:C19"/>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9"/>
  <sheetViews>
    <sheetView showGridLines="0" workbookViewId="0">
      <pane ySplit="6" topLeftCell="A7" activePane="bottomLeft" state="frozen"/>
      <selection pane="bottomLeft" activeCell="A1" sqref="A1"/>
    </sheetView>
  </sheetViews>
  <sheetFormatPr baseColWidth="8" defaultRowHeight="15"/>
  <cols>
    <col width="3" customWidth="1" min="1" max="1"/>
    <col width="40" customWidth="1" min="2" max="2"/>
    <col width="60" customWidth="1" min="3" max="3"/>
    <col width="74" customWidth="1" min="4" max="4"/>
    <col width="50" customWidth="1" min="5" max="5"/>
    <col width="16" customWidth="1" min="6" max="6"/>
  </cols>
  <sheetData>
    <row r="2">
      <c r="B2" s="1" t="inlineStr">
        <is>
          <t>165 RANDOLPH STREET</t>
        </is>
      </c>
    </row>
    <row r="3">
      <c r="B3" s="2" t="inlineStr">
        <is>
          <t>WHAT THE TAKEOFF CHANGES ABOUT THE 16 SEP AUDIT</t>
        </is>
      </c>
    </row>
    <row r="4">
      <c r="B4" s="3" t="inlineStr">
        <is>
          <t>V3 — rebuilt on the measured structural takeoff · RFEM 6.15 export, model Rev 38, version VE1 · CONFIDENTIAL</t>
        </is>
      </c>
    </row>
    <row r="7">
      <c r="B7" s="7" t="inlineStr">
        <is>
          <t>Finding</t>
        </is>
      </c>
      <c r="C7" s="7" t="inlineStr">
        <is>
          <t>What I said on 16 Sep</t>
        </is>
      </c>
      <c r="D7" s="7" t="inlineStr">
        <is>
          <t>What the takeoff says</t>
        </is>
      </c>
      <c r="E7" s="7" t="inlineStr">
        <is>
          <t>Verdict</t>
        </is>
      </c>
      <c r="F7" s="7" t="inlineStr">
        <is>
          <t>$ withdrawn</t>
        </is>
      </c>
    </row>
    <row r="8" ht="63" customHeight="1">
      <c r="B8" s="6" t="inlineStr">
        <is>
          <t>Area basis — $11.3M of trade priced on 135,953 SF</t>
        </is>
      </c>
      <c r="C8" s="16" t="inlineStr">
        <is>
          <t>I said 135,953 SF is a floor area this building does not have, and re-cut eight electrical, HVAC, paint and alarm lines plus two sprinkler lines onto 74,100 or 88,100 SF. I called it $4,710,823 of trade cost, $6,213,104 all-in.</t>
        </is>
      </c>
      <c r="D8" s="5" t="inlineStr">
        <is>
          <t>The model has 146,508 SF of gross area: 74,100 ground + 32,942 mezzanine/floor + 13,077 tiered seating + 26,389 occupied terrace. Enclosed floor alone is 120,119 SF. Our 14,000 SF mezzanine was derived from test-fit occupancy loads; the structural model says it is 32,942 SF plus 13,077 SF of seating. His 135,953 SF sits between the enclosed floor and the gross, which is exactly where a stacked-area figure should sit.</t>
        </is>
      </c>
      <c r="E8" s="27" t="inlineStr">
        <is>
          <t>WITHDRAWN. His denominator is defensible. Sprinkler coverage of 119,000 SF against a measured 120,119 SF of enclosed floor is close to right, and his 50,000 SF second-floor line lands near the measured 46,019 SF. I was wrong about this and the correction comes off.</t>
        </is>
      </c>
      <c r="F8" s="28" t="n">
        <v>6213104</v>
      </c>
    </row>
    <row r="9" ht="63" customHeight="1">
      <c r="B9" s="6" t="inlineStr">
        <is>
          <t>Roof method — he demolishes, we lift</t>
        </is>
      </c>
      <c r="C9" s="16" t="inlineStr">
        <is>
          <t>I said his 74,000 SF of pre-cast roof demolition at $8/SF was pricing the wrong method, because a roof lift keeps the roof. $592,000 of trade, $780,789 all-in.</t>
        </is>
      </c>
      <c r="D9" s="5" t="inlineStr">
        <is>
          <t>The structural model does not lift anything. 124 of 243 columns start at or below +2 ft — 450,114 lb, 62.4% of column steel — which is a new full-height column off the slab. Only 25 members start at the +20 ft existing roof line. All 517 truss members are new, between +56.5 and +64.5 ft. The level 'Existing Roof / Lower' carries ZERO members. The words lift, jack, shore, splice and underpin appear nowhere in 8,658 rows.</t>
        </is>
      </c>
      <c r="E9" s="27" t="inlineStr">
        <is>
          <t>WITHDRAWN AND REVERSED. He and the structural engineer are building the same building. OUR roof-lift assumption is the outlier, and it is the single biggest thing to settle.</t>
        </is>
      </c>
      <c r="F9" s="28" t="n">
        <v>780789</v>
      </c>
    </row>
    <row r="10" ht="48" customHeight="1">
      <c r="B10" s="6" t="inlineStr">
        <is>
          <t>Interior scaffolding — $2,000,000</t>
        </is>
      </c>
      <c r="C10" s="16" t="inlineStr">
        <is>
          <t>I cut it to $400,000 on the grounds that a lift jacks the roof on the lifter's own towers and does not need the floor plate scaffolded. $1,600,000 of trade, $2,110,240 all-in.</t>
        </is>
      </c>
      <c r="D10" s="5" t="inlineStr">
        <is>
          <t>If the roof comes off and a 64 ft frame goes up inside the existing walls, access, edge protection and interior staging are real and substantial.</t>
        </is>
      </c>
      <c r="E10" s="6" t="inlineStr">
        <is>
          <t>WEAKENED, NOT WITHDRAWN. The $4,000,000 sidewalk-bridge lump still disagrees with his own $2,589,800 of backup rows, and that half of the finding stands. Hold the interior scaffolding at his number until he shows the staging plan.</t>
        </is>
      </c>
      <c r="F10" s="28" t="n">
        <v>2110240</v>
      </c>
    </row>
    <row r="11" ht="48" customHeight="1">
      <c r="B11" s="6" t="inlineStr">
        <is>
          <t>Contingency computed on the whole project</t>
        </is>
      </c>
      <c r="C11" s="16" t="inlineStr">
        <is>
          <t>D67 reads 'Soft Costs &amp; FFE Contingency 10%' and computes =(D23+D31+D47+D65)*0.1.</t>
        </is>
      </c>
      <c r="D11" s="5" t="inlineStr">
        <is>
          <t>The takeoff has nothing to say about a spreadsheet formula.</t>
        </is>
      </c>
      <c r="E11" s="29" t="inlineStr">
        <is>
          <t>STANDS. $6,590,876 over its own label, $578,648 of it contingency on contingency.</t>
        </is>
      </c>
      <c r="F11" s="28" t="n"/>
    </row>
    <row r="12" ht="48" customHeight="1">
      <c r="B12" s="6" t="inlineStr">
        <is>
          <t>General conditions charged in two places</t>
        </is>
      </c>
      <c r="C12" s="16" t="inlineStr">
        <is>
          <t>$3,141,000 below the line plus $3,034,000 of division 013000 inside trade cost = 12.36% against Schimenti's 7.80% and 8.90%.</t>
        </is>
      </c>
      <c r="D12" s="5" t="inlineStr">
        <is>
          <t>Unaffected.</t>
        </is>
      </c>
      <c r="E12" s="29" t="inlineStr">
        <is>
          <t>STANDS.</t>
        </is>
      </c>
      <c r="F12" s="28" t="n"/>
    </row>
    <row r="13" ht="48" customHeight="1">
      <c r="B13" s="6" t="inlineStr">
        <is>
          <t>Coat check lockers, 2,000 at $500</t>
        </is>
      </c>
      <c r="C13" s="16" t="inlineStr">
        <is>
          <t>$1,000,000 for lockers serving 27% of the house.</t>
        </is>
      </c>
      <c r="D13" s="5" t="inlineStr">
        <is>
          <t>Unaffected — though a building with 120,119 SF of enclosed floor has more room for them than one with 88,100.</t>
        </is>
      </c>
      <c r="E13" s="29" t="inlineStr">
        <is>
          <t>STANDS.</t>
        </is>
      </c>
      <c r="F13" s="28" t="n"/>
    </row>
    <row r="14" ht="48" customHeight="1">
      <c r="B14" s="6" t="inlineStr">
        <is>
          <t>Architectural lighting bought twice</t>
        </is>
      </c>
      <c r="C14" s="16" t="inlineStr">
        <is>
          <t>$1,750,000 in FF&amp;E plus $1,631,436 of 'I/O lighting package provided by others' inside the electrical trade.</t>
        </is>
      </c>
      <c r="D14" s="5" t="inlineStr">
        <is>
          <t>Unaffected. The per-SF portion of that line is now defensible, but buying the package twice is not.</t>
        </is>
      </c>
      <c r="E14" s="29" t="inlineStr">
        <is>
          <t>STANDS.</t>
        </is>
      </c>
      <c r="F14" s="28" t="n"/>
    </row>
    <row r="15" ht="48" customHeight="1">
      <c r="B15" s="6" t="inlineStr">
        <is>
          <t>Structural steel at $0 and the $12,000,000 plug</t>
        </is>
      </c>
      <c r="C15" s="16" t="inlineStr">
        <is>
          <t>I said the plug was right-sized — $12,000,000 against $10,614,464 of scope we price — and told you not to negotiate it.</t>
        </is>
      </c>
      <c r="D15" s="5" t="inlineStr">
        <is>
          <t>The measured structure alone prices at $16,710,249 in our V3, of which $6,703,714 is bare steel by the ton. His plug has to cover that PLUS all millwork, doors, storefront, glazing, tile, fireproofing and most of the drywall.</t>
        </is>
      </c>
      <c r="E15" s="27" t="inlineStr">
        <is>
          <t>REVERSED IN THE OTHER DIRECTION. The plug is far too SMALL. Do not negotiate it — but do not take comfort from it either. When he prices it, his total goes UP, not down.</t>
        </is>
      </c>
      <c r="F15" s="28" t="n"/>
    </row>
    <row r="17">
      <c r="B17" s="8" t="inlineStr">
        <is>
          <t>Correction I reported on 16 Sep</t>
        </is>
      </c>
      <c r="F17" s="28" t="n">
        <v>-20940896</v>
      </c>
    </row>
    <row r="18">
      <c r="B18" s="8" t="inlineStr">
        <is>
          <t>Withdrawn by the takeoff</t>
        </is>
      </c>
      <c r="F18" s="28" t="n">
        <v>9104133</v>
      </c>
    </row>
    <row r="19">
      <c r="B19" s="12" t="inlineStr">
        <is>
          <t>CORRECTION THAT STILL STANDS</t>
        </is>
      </c>
      <c r="F19" s="13" t="n">
        <v>-11836763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364"/>
  <sheetViews>
    <sheetView showGridLines="0" workbookViewId="0">
      <pane ySplit="6" topLeftCell="A7" activePane="bottomLeft" state="frozen"/>
      <selection pane="bottomLeft" activeCell="A1" sqref="A1"/>
    </sheetView>
  </sheetViews>
  <sheetFormatPr baseColWidth="8" defaultRowHeight="15"/>
  <cols>
    <col width="3" customWidth="1" min="1" max="1"/>
    <col width="56" customWidth="1" min="2" max="2"/>
    <col width="11" customWidth="1" min="3" max="3"/>
    <col width="7" customWidth="1" min="4" max="4"/>
    <col width="13" customWidth="1" min="5" max="5"/>
    <col width="15" customWidth="1" min="6" max="6"/>
    <col width="72" customWidth="1" min="7" max="7"/>
  </cols>
  <sheetData>
    <row r="2">
      <c r="B2" s="1" t="inlineStr">
        <is>
          <t>165 RANDOLPH STREET</t>
        </is>
      </c>
    </row>
    <row r="3">
      <c r="B3" s="2" t="inlineStr">
        <is>
          <t>V3 LINE SCHEDULE</t>
        </is>
      </c>
    </row>
    <row r="4">
      <c r="B4" s="3" t="inlineStr">
        <is>
          <t>V3 — rebuilt on the measured structural takeoff · RFEM 6.15 export, model Rev 38, version VE1 · CONFIDENTIAL</t>
        </is>
      </c>
    </row>
    <row r="6">
      <c r="B6" s="7" t="inlineStr">
        <is>
          <t>Item</t>
        </is>
      </c>
      <c r="C6" s="7" t="inlineStr">
        <is>
          <t>Qty</t>
        </is>
      </c>
      <c r="D6" s="7" t="inlineStr">
        <is>
          <t>Unit</t>
        </is>
      </c>
      <c r="E6" s="7" t="inlineStr">
        <is>
          <t>Rate</t>
        </is>
      </c>
      <c r="F6" s="7" t="inlineStr">
        <is>
          <t>Amount</t>
        </is>
      </c>
      <c r="G6" s="7" t="inlineStr">
        <is>
          <t>Basis / source</t>
        </is>
      </c>
    </row>
    <row r="7">
      <c r="B7" s="30" t="inlineStr">
        <is>
          <t>000   SITE &amp; ENABLING</t>
        </is>
      </c>
      <c r="C7" s="31" t="n"/>
      <c r="D7" s="31" t="n"/>
      <c r="E7" s="31" t="n"/>
      <c r="F7" s="31" t="n"/>
      <c r="G7" s="31" t="n"/>
    </row>
    <row r="8">
      <c r="B8" s="32" t="inlineStr">
        <is>
          <t xml:space="preserve">   Sidewalk shed / bridge</t>
        </is>
      </c>
      <c r="C8" s="33" t="n"/>
      <c r="D8" s="33" t="n"/>
      <c r="E8" s="33" t="n"/>
      <c r="F8" s="33" t="n"/>
      <c r="G8" s="33" t="n"/>
    </row>
    <row r="9" ht="13" customHeight="1">
      <c r="B9" s="5" t="inlineStr">
        <is>
          <t xml:space="preserve">      Sidewalk shed, erect &amp; dismantle</t>
        </is>
      </c>
      <c r="C9" s="34" t="n">
        <v>1089</v>
      </c>
      <c r="D9" s="35" t="inlineStr">
        <is>
          <t>LF</t>
        </is>
      </c>
      <c r="E9" s="36" t="n">
        <v>210</v>
      </c>
      <c r="F9" s="37">
        <f>C9*E9</f>
        <v/>
      </c>
      <c r="G9" s="16" t="inlineStr">
        <is>
          <t>NYC shed ~$180-240/LF erected</t>
        </is>
      </c>
    </row>
    <row r="10" ht="31.5" customHeight="1">
      <c r="B10" s="5" t="inlineStr">
        <is>
          <t xml:space="preserve">      Shed rental, 24 months</t>
        </is>
      </c>
      <c r="C10" s="34" t="n">
        <v>26136</v>
      </c>
      <c r="D10" s="35" t="inlineStr">
        <is>
          <t>LF-mo</t>
        </is>
      </c>
      <c r="E10" s="36" t="n">
        <v>22</v>
      </c>
      <c r="F10" s="37">
        <f>C10*E10</f>
        <v/>
      </c>
      <c r="G10" s="16" t="inlineStr">
        <is>
          <t>SCHEDULE-DRIVEN. Rented monthly — every month of programme costs $23,958. Reduced from 30 to 24 months; confirm against the real construction schedule</t>
        </is>
      </c>
    </row>
    <row r="11" ht="13" customHeight="1">
      <c r="B11" s="5" t="inlineStr">
        <is>
          <t xml:space="preserve">      DOT permit &amp; renewals</t>
        </is>
      </c>
      <c r="C11" s="34" t="n">
        <v>1</v>
      </c>
      <c r="D11" s="35" t="inlineStr">
        <is>
          <t>LS</t>
        </is>
      </c>
      <c r="E11" s="36" t="n">
        <v>45000</v>
      </c>
      <c r="F11" s="37">
        <f>C11*E11</f>
        <v/>
      </c>
      <c r="G11" s="16" t="inlineStr">
        <is>
          <t>Sidewalk shed permit, renewed periodically</t>
        </is>
      </c>
    </row>
    <row r="12" ht="13" customHeight="1">
      <c r="B12" s="5" t="inlineStr">
        <is>
          <t xml:space="preserve">      Lighting &amp; signage on shed</t>
        </is>
      </c>
      <c r="C12" s="34" t="n">
        <v>1089</v>
      </c>
      <c r="D12" s="35" t="inlineStr">
        <is>
          <t>LF</t>
        </is>
      </c>
      <c r="E12" s="36" t="n">
        <v>18</v>
      </c>
      <c r="F12" s="37">
        <f>C12*E12</f>
        <v/>
      </c>
      <c r="G12" s="16" t="inlineStr">
        <is>
          <t>Required by DOT</t>
        </is>
      </c>
    </row>
    <row r="13" ht="13" customHeight="1">
      <c r="B13" s="5" t="inlineStr">
        <is>
          <t xml:space="preserve">      Netting &amp; debris containment</t>
        </is>
      </c>
      <c r="C13" s="34" t="n">
        <v>32670</v>
      </c>
      <c r="D13" s="35" t="inlineStr">
        <is>
          <t>SF</t>
        </is>
      </c>
      <c r="E13" s="36" t="n">
        <v>1.1</v>
      </c>
      <c r="F13" s="37">
        <f>C13*E13</f>
        <v/>
      </c>
      <c r="G13" s="16" t="inlineStr">
        <is>
          <t>Facade protection during the lift</t>
        </is>
      </c>
    </row>
    <row r="14">
      <c r="B14" s="32" t="inlineStr">
        <is>
          <t xml:space="preserve">   Interior protection &amp; containment</t>
        </is>
      </c>
      <c r="C14" s="33" t="n"/>
      <c r="D14" s="33" t="n"/>
      <c r="E14" s="33" t="n"/>
      <c r="F14" s="33" t="n"/>
      <c r="G14" s="33" t="n"/>
    </row>
    <row r="15" ht="13" customHeight="1">
      <c r="B15" s="5" t="inlineStr">
        <is>
          <t xml:space="preserve">      Slab protection, hardboard &amp; poly</t>
        </is>
      </c>
      <c r="C15" s="34" t="n">
        <v>74100</v>
      </c>
      <c r="D15" s="35" t="inlineStr">
        <is>
          <t>SF</t>
        </is>
      </c>
      <c r="E15" s="36" t="n">
        <v>1.35</v>
      </c>
      <c r="F15" s="37">
        <f>C15*E15</f>
        <v/>
      </c>
      <c r="G15" s="16" t="inlineStr">
        <is>
          <t>Protecting the existing slab</t>
        </is>
      </c>
    </row>
    <row r="16" ht="13" customHeight="1">
      <c r="B16" s="5" t="inlineStr">
        <is>
          <t xml:space="preserve">      Dust partitions &amp; negative air</t>
        </is>
      </c>
      <c r="C16" s="34" t="n">
        <v>1</v>
      </c>
      <c r="D16" s="35" t="inlineStr">
        <is>
          <t>LS</t>
        </is>
      </c>
      <c r="E16" s="36" t="n">
        <v>65000</v>
      </c>
      <c r="F16" s="37">
        <f>C16*E16</f>
        <v/>
      </c>
      <c r="G16" s="16" t="inlineStr">
        <is>
          <t>Containment during demo and abatement</t>
        </is>
      </c>
    </row>
    <row r="17" ht="13" customHeight="1">
      <c r="B17" s="5" t="inlineStr">
        <is>
          <t xml:space="preserve">      Protection of retained equipment</t>
        </is>
      </c>
      <c r="C17" s="34" t="n">
        <v>1</v>
      </c>
      <c r="D17" s="35" t="inlineStr">
        <is>
          <t>LS</t>
        </is>
      </c>
      <c r="E17" s="36" t="n">
        <v>22000</v>
      </c>
      <c r="F17" s="37">
        <f>C17*E17</f>
        <v/>
      </c>
      <c r="G17" s="16" t="inlineStr"/>
    </row>
    <row r="18">
      <c r="B18" s="32" t="inlineStr">
        <is>
          <t xml:space="preserve">   Temporary weather protection</t>
        </is>
      </c>
      <c r="C18" s="33" t="n"/>
      <c r="D18" s="33" t="n"/>
      <c r="E18" s="33" t="n"/>
      <c r="F18" s="33" t="n"/>
      <c r="G18" s="33" t="n"/>
    </row>
    <row r="19" ht="13" customHeight="1">
      <c r="B19" s="5" t="inlineStr">
        <is>
          <t xml:space="preserve">      Temporary roof membrane at open areas</t>
        </is>
      </c>
      <c r="C19" s="34" t="n">
        <v>18525</v>
      </c>
      <c r="D19" s="35" t="inlineStr">
        <is>
          <t>SF</t>
        </is>
      </c>
      <c r="E19" s="36" t="n">
        <v>8.5</v>
      </c>
      <c r="F19" s="37">
        <f>C19*E19</f>
        <v/>
      </c>
      <c r="G19" s="16" t="inlineStr">
        <is>
          <t>Only ~25% of roof open at any stage on a lift</t>
        </is>
      </c>
    </row>
    <row r="20" ht="13" customHeight="1">
      <c r="B20" s="5" t="inlineStr">
        <is>
          <t xml:space="preserve">      Perimeter tarping at the lift band</t>
        </is>
      </c>
      <c r="C20" s="34" t="n">
        <v>32670</v>
      </c>
      <c r="D20" s="35" t="inlineStr">
        <is>
          <t>SF</t>
        </is>
      </c>
      <c r="E20" s="36" t="n">
        <v>3.2</v>
      </c>
      <c r="F20" s="37">
        <f>C20*E20</f>
        <v/>
      </c>
      <c r="G20" s="16" t="inlineStr"/>
    </row>
    <row r="21" ht="13" customHeight="1">
      <c r="B21" s="5" t="inlineStr">
        <is>
          <t xml:space="preserve">      Temporary heat &amp; dehumidification</t>
        </is>
      </c>
      <c r="C21" s="34" t="n">
        <v>1</v>
      </c>
      <c r="D21" s="35" t="inlineStr">
        <is>
          <t>LS</t>
        </is>
      </c>
      <c r="E21" s="36" t="n">
        <v>85000</v>
      </c>
      <c r="F21" s="37">
        <f>C21*E21</f>
        <v/>
      </c>
      <c r="G21" s="16" t="inlineStr">
        <is>
          <t>Winter work</t>
        </is>
      </c>
    </row>
    <row r="22">
      <c r="B22" s="32" t="inlineStr">
        <is>
          <t xml:space="preserve">   Asbestos / hazmat abatement</t>
        </is>
      </c>
      <c r="C22" s="33" t="n"/>
      <c r="D22" s="33" t="n"/>
      <c r="E22" s="33" t="n"/>
      <c r="F22" s="33" t="n"/>
      <c r="G22" s="33" t="n"/>
    </row>
    <row r="23" ht="13" customHeight="1">
      <c r="B23" s="5" t="inlineStr">
        <is>
          <t xml:space="preserve">      ACP-5 / ACP-7 filing &amp; asbestos investigator</t>
        </is>
      </c>
      <c r="C23" s="34" t="n">
        <v>1</v>
      </c>
      <c r="D23" s="35" t="inlineStr">
        <is>
          <t>LS</t>
        </is>
      </c>
      <c r="E23" s="36" t="n">
        <v>45000</v>
      </c>
      <c r="F23" s="37">
        <f>C23*E23</f>
        <v/>
      </c>
      <c r="G23" s="16" t="inlineStr">
        <is>
          <t>NYC required on a 1948 building</t>
        </is>
      </c>
    </row>
    <row r="24" ht="31.5" customHeight="1">
      <c r="B24" s="5" t="inlineStr">
        <is>
          <t xml:space="preserve">      Roofing felt &amp; mastic abatement</t>
        </is>
      </c>
      <c r="C24" s="34" t="n">
        <v>74100</v>
      </c>
      <c r="D24" s="35" t="inlineStr">
        <is>
          <t>SF</t>
        </is>
      </c>
      <c r="E24" s="36" t="n">
        <v>7.5</v>
      </c>
      <c r="F24" s="37">
        <f>C24*E24</f>
        <v/>
      </c>
      <c r="G24" s="16" t="inlineStr">
        <is>
          <t>SURVEY-DEPENDENT. PRESUMED ACM on a 1948 precast roof — nobody has sampled it. If the roof is clean this line goes to near zero. Get the ACP-5 survey done early; it is worth $555,750</t>
        </is>
      </c>
    </row>
    <row r="25" ht="13" customHeight="1">
      <c r="B25" s="5" t="inlineStr">
        <is>
          <t xml:space="preserve">      Pipe &amp; boiler insulation abatement</t>
        </is>
      </c>
      <c r="C25" s="34" t="n">
        <v>1</v>
      </c>
      <c r="D25" s="35" t="inlineStr">
        <is>
          <t>LS</t>
        </is>
      </c>
      <c r="E25" s="36" t="n">
        <v>120000</v>
      </c>
      <c r="F25" s="37">
        <f>C25*E25</f>
        <v/>
      </c>
      <c r="G25" s="16" t="inlineStr">
        <is>
          <t>Dev budget notes a 5,250 MBH boiler and steam piping</t>
        </is>
      </c>
    </row>
    <row r="26" ht="13" customHeight="1">
      <c r="B26" s="5" t="inlineStr">
        <is>
          <t xml:space="preserve">      Lead paint abatement at steel</t>
        </is>
      </c>
      <c r="C26" s="34" t="n">
        <v>1</v>
      </c>
      <c r="D26" s="35" t="inlineStr">
        <is>
          <t>LS</t>
        </is>
      </c>
      <c r="E26" s="36" t="n">
        <v>95000</v>
      </c>
      <c r="F26" s="37">
        <f>C26*E26</f>
        <v/>
      </c>
      <c r="G26" s="16" t="inlineStr"/>
    </row>
    <row r="27" ht="13" customHeight="1">
      <c r="B27" s="5" t="inlineStr">
        <is>
          <t xml:space="preserve">      Air monitoring &amp; clearance</t>
        </is>
      </c>
      <c r="C27" s="34" t="n">
        <v>1</v>
      </c>
      <c r="D27" s="35" t="inlineStr">
        <is>
          <t>LS</t>
        </is>
      </c>
      <c r="E27" s="36" t="n">
        <v>55000</v>
      </c>
      <c r="F27" s="37">
        <f>C27*E27</f>
        <v/>
      </c>
      <c r="G27" s="16" t="inlineStr"/>
    </row>
    <row r="28" ht="13" customHeight="1">
      <c r="B28" s="5" t="inlineStr">
        <is>
          <t xml:space="preserve">      Hazmat disposal &amp; manifesting</t>
        </is>
      </c>
      <c r="C28" s="34" t="n">
        <v>1</v>
      </c>
      <c r="D28" s="35" t="inlineStr">
        <is>
          <t>LS</t>
        </is>
      </c>
      <c r="E28" s="36" t="n">
        <v>130000</v>
      </c>
      <c r="F28" s="37">
        <f>C28*E28</f>
        <v/>
      </c>
      <c r="G28" s="16" t="inlineStr"/>
    </row>
    <row r="29">
      <c r="B29" s="32" t="inlineStr">
        <is>
          <t xml:space="preserve">   Demolition — interior</t>
        </is>
      </c>
      <c r="C29" s="33" t="n"/>
      <c r="D29" s="33" t="n"/>
      <c r="E29" s="33" t="n"/>
      <c r="F29" s="33" t="n"/>
      <c r="G29" s="33" t="n"/>
    </row>
    <row r="30" ht="13" customHeight="1">
      <c r="B30" s="5" t="inlineStr">
        <is>
          <t xml:space="preserve">      Demo masonry walls at new entry/lobby</t>
        </is>
      </c>
      <c r="C30" s="34" t="n">
        <v>2500</v>
      </c>
      <c r="D30" s="35" t="inlineStr">
        <is>
          <t>SF</t>
        </is>
      </c>
      <c r="E30" s="36" t="n">
        <v>12</v>
      </c>
      <c r="F30" s="37">
        <f>C30*E30</f>
        <v/>
      </c>
      <c r="G30" s="16" t="inlineStr">
        <is>
          <t>Dev budget 024100-1 rate &amp; qty</t>
        </is>
      </c>
    </row>
    <row r="31" ht="13" customHeight="1">
      <c r="B31" s="5" t="inlineStr">
        <is>
          <t xml:space="preserve">      Demo 8in CMU wall, 20ft tall</t>
        </is>
      </c>
      <c r="C31" s="34" t="n">
        <v>1975</v>
      </c>
      <c r="D31" s="35" t="inlineStr">
        <is>
          <t>SF</t>
        </is>
      </c>
      <c r="E31" s="36" t="n">
        <v>14</v>
      </c>
      <c r="F31" s="37">
        <f>C31*E31</f>
        <v/>
      </c>
      <c r="G31" s="16" t="inlineStr">
        <is>
          <t>Dev budget qty, unpriced</t>
        </is>
      </c>
    </row>
    <row r="32" ht="13" customHeight="1">
      <c r="B32" s="5" t="inlineStr">
        <is>
          <t xml:space="preserve">      Demo existing roll-up doors</t>
        </is>
      </c>
      <c r="C32" s="34" t="n">
        <v>8</v>
      </c>
      <c r="D32" s="35" t="inlineStr">
        <is>
          <t>EA</t>
        </is>
      </c>
      <c r="E32" s="36" t="n">
        <v>1850</v>
      </c>
      <c r="F32" s="37">
        <f>C32*E32</f>
        <v/>
      </c>
      <c r="G32" s="16" t="inlineStr">
        <is>
          <t>Dev budget qty</t>
        </is>
      </c>
    </row>
    <row r="33" ht="13" customHeight="1">
      <c r="B33" s="5" t="inlineStr">
        <is>
          <t xml:space="preserve">      Demo existing exterior doors</t>
        </is>
      </c>
      <c r="C33" s="34" t="n">
        <v>7</v>
      </c>
      <c r="D33" s="35" t="inlineStr">
        <is>
          <t>EA</t>
        </is>
      </c>
      <c r="E33" s="36" t="n">
        <v>650</v>
      </c>
      <c r="F33" s="37">
        <f>C33*E33</f>
        <v/>
      </c>
      <c r="G33" s="16" t="inlineStr">
        <is>
          <t>Dev budget qty</t>
        </is>
      </c>
    </row>
    <row r="34" ht="13" customHeight="1">
      <c r="B34" s="5" t="inlineStr">
        <is>
          <t xml:space="preserve">      Demo windows 1ft x 10ft</t>
        </is>
      </c>
      <c r="C34" s="34" t="n">
        <v>34</v>
      </c>
      <c r="D34" s="35" t="inlineStr">
        <is>
          <t>EA</t>
        </is>
      </c>
      <c r="E34" s="36" t="n">
        <v>12</v>
      </c>
      <c r="F34" s="37">
        <f>C34*E34</f>
        <v/>
      </c>
      <c r="G34" s="16" t="inlineStr">
        <is>
          <t>Dev budget 024100 rate &amp; qty</t>
        </is>
      </c>
    </row>
    <row r="35" ht="13" customHeight="1">
      <c r="B35" s="5" t="inlineStr">
        <is>
          <t xml:space="preserve">      Demo ceiling-mount steam heaters &amp; piping</t>
        </is>
      </c>
      <c r="C35" s="34" t="n">
        <v>28</v>
      </c>
      <c r="D35" s="35" t="inlineStr">
        <is>
          <t>EA</t>
        </is>
      </c>
      <c r="E35" s="36" t="n">
        <v>1400</v>
      </c>
      <c r="F35" s="37">
        <f>C35*E35</f>
        <v/>
      </c>
      <c r="G35" s="16" t="inlineStr">
        <is>
          <t>Dev budget qty</t>
        </is>
      </c>
    </row>
    <row r="36" ht="13" customHeight="1">
      <c r="B36" s="5" t="inlineStr">
        <is>
          <t xml:space="preserve">      Demo 5,250 MBH boiler &amp; piping (15x6x7, 13,000 lb)</t>
        </is>
      </c>
      <c r="C36" s="34" t="n">
        <v>2</v>
      </c>
      <c r="D36" s="35" t="inlineStr">
        <is>
          <t>EA</t>
        </is>
      </c>
      <c r="E36" s="36" t="n">
        <v>28000</v>
      </c>
      <c r="F36" s="37">
        <f>C36*E36</f>
        <v/>
      </c>
      <c r="G36" s="16" t="inlineStr">
        <is>
          <t>Dev budget qty. Rigging-out is the cost</t>
        </is>
      </c>
    </row>
    <row r="37" ht="13" customHeight="1">
      <c r="B37" s="5" t="inlineStr">
        <is>
          <t xml:space="preserve">      Demo (5) steel columns</t>
        </is>
      </c>
      <c r="C37" s="34" t="n">
        <v>5</v>
      </c>
      <c r="D37" s="35" t="inlineStr">
        <is>
          <t>EA</t>
        </is>
      </c>
      <c r="E37" s="36" t="n">
        <v>9500</v>
      </c>
      <c r="F37" s="37">
        <f>C37*E37</f>
        <v/>
      </c>
      <c r="G37" s="16" t="inlineStr">
        <is>
          <t>Dev budget qty</t>
        </is>
      </c>
    </row>
    <row r="38" ht="13" customHeight="1">
      <c r="B38" s="5" t="inlineStr">
        <is>
          <t xml:space="preserve">      Caesarstone plant equipment removal &amp; slurry pit remediation</t>
        </is>
      </c>
      <c r="C38" s="34" t="n">
        <v>1</v>
      </c>
      <c r="D38" s="35" t="inlineStr">
        <is>
          <t>LS</t>
        </is>
      </c>
      <c r="E38" s="36" t="n">
        <v>185000</v>
      </c>
      <c r="F38" s="37">
        <f>C38*E38</f>
        <v/>
      </c>
      <c r="G38" s="16" t="inlineStr">
        <is>
          <t>Countertop manufacturing leaves silica and resin residue</t>
        </is>
      </c>
    </row>
    <row r="39" ht="13" customHeight="1">
      <c r="B39" s="5" t="inlineStr">
        <is>
          <t xml:space="preserve">      Misc build-out demo, piping, CMU, partitions</t>
        </is>
      </c>
      <c r="C39" s="34" t="n">
        <v>25935</v>
      </c>
      <c r="D39" s="35" t="inlineStr">
        <is>
          <t>SF</t>
        </is>
      </c>
      <c r="E39" s="36" t="n">
        <v>2</v>
      </c>
      <c r="F39" s="37">
        <f>C39*E39</f>
        <v/>
      </c>
      <c r="G39" s="16" t="inlineStr">
        <is>
          <t>Dev budget 024100-2 rate</t>
        </is>
      </c>
    </row>
    <row r="40" ht="13" customHeight="1">
      <c r="B40" s="5" t="inlineStr">
        <is>
          <t xml:space="preserve">      Floor trenching for MEP</t>
        </is>
      </c>
      <c r="C40" s="34" t="n">
        <v>1</v>
      </c>
      <c r="D40" s="35" t="inlineStr">
        <is>
          <t>LS</t>
        </is>
      </c>
      <c r="E40" s="36" t="n">
        <v>50000</v>
      </c>
      <c r="F40" s="37">
        <f>C40*E40</f>
        <v/>
      </c>
      <c r="G40" s="16" t="inlineStr">
        <is>
          <t>Dev budget 024100-5</t>
        </is>
      </c>
    </row>
    <row r="41" ht="13" customHeight="1">
      <c r="B41" s="5" t="inlineStr">
        <is>
          <t xml:space="preserve">      Debris removal &amp; dumpsters</t>
        </is>
      </c>
      <c r="C41" s="34" t="n">
        <v>1</v>
      </c>
      <c r="D41" s="35" t="inlineStr">
        <is>
          <t>LS</t>
        </is>
      </c>
      <c r="E41" s="36" t="n">
        <v>95000</v>
      </c>
      <c r="F41" s="37">
        <f>C41*E41</f>
        <v/>
      </c>
      <c r="G41" s="16" t="inlineStr"/>
    </row>
    <row r="42">
      <c r="B42" s="32" t="inlineStr">
        <is>
          <t xml:space="preserve">   Sitework</t>
        </is>
      </c>
      <c r="C42" s="33" t="n"/>
      <c r="D42" s="33" t="n"/>
      <c r="E42" s="33" t="n"/>
      <c r="F42" s="33" t="n"/>
      <c r="G42" s="33" t="n"/>
    </row>
    <row r="43" ht="13" customHeight="1">
      <c r="B43" s="5" t="inlineStr">
        <is>
          <t xml:space="preserve">      New sidewalks around building</t>
        </is>
      </c>
      <c r="C43" s="34" t="n">
        <v>1</v>
      </c>
      <c r="D43" s="35" t="inlineStr">
        <is>
          <t>LS</t>
        </is>
      </c>
      <c r="E43" s="36" t="n">
        <v>40000</v>
      </c>
      <c r="F43" s="37">
        <f>C43*E43</f>
        <v/>
      </c>
      <c r="G43" s="16" t="inlineStr">
        <is>
          <t>Dev budget 320000-1</t>
        </is>
      </c>
    </row>
    <row r="44" ht="13" customHeight="1">
      <c r="B44" s="5" t="inlineStr">
        <is>
          <t xml:space="preserve">      Curb cuts &amp; DOT restoration</t>
        </is>
      </c>
      <c r="C44" s="34" t="n">
        <v>1</v>
      </c>
      <c r="D44" s="35" t="inlineStr">
        <is>
          <t>LS</t>
        </is>
      </c>
      <c r="E44" s="36" t="n">
        <v>35000</v>
      </c>
      <c r="F44" s="37">
        <f>C44*E44</f>
        <v/>
      </c>
      <c r="G44" s="16" t="inlineStr"/>
    </row>
    <row r="45" ht="13" customHeight="1">
      <c r="B45" s="5" t="inlineStr">
        <is>
          <t xml:space="preserve">      Site drainage tie-ins</t>
        </is>
      </c>
      <c r="C45" s="34" t="n">
        <v>1</v>
      </c>
      <c r="D45" s="35" t="inlineStr">
        <is>
          <t>LS</t>
        </is>
      </c>
      <c r="E45" s="36" t="n">
        <v>15000</v>
      </c>
      <c r="F45" s="37">
        <f>C45*E45</f>
        <v/>
      </c>
      <c r="G45" s="16" t="inlineStr"/>
    </row>
    <row r="46">
      <c r="B46" s="30" t="inlineStr">
        <is>
          <t>100   PRIMARY STRUCTURE — MEASURED FROM THE RFEM TAKEOFF</t>
        </is>
      </c>
      <c r="C46" s="31" t="n"/>
      <c r="D46" s="31" t="n"/>
      <c r="E46" s="31" t="n"/>
      <c r="F46" s="31" t="n"/>
      <c r="G46" s="31" t="n"/>
    </row>
    <row r="47">
      <c r="B47" s="32" t="inlineStr">
        <is>
          <t xml:space="preserve">   Structural steel — MEASURED off the RFEM model</t>
        </is>
      </c>
      <c r="C47" s="33" t="n"/>
      <c r="D47" s="33" t="n"/>
      <c r="E47" s="33" t="n"/>
      <c r="F47" s="33" t="n"/>
      <c r="G47" s="33" t="n"/>
    </row>
    <row r="48" ht="31.5" customHeight="1">
      <c r="B48" s="5" t="inlineStr">
        <is>
          <t xml:space="preserve">      Beams &amp; girders — rolled W-shapes</t>
        </is>
      </c>
      <c r="C48" s="38" t="n">
        <v>501.7</v>
      </c>
      <c r="D48" s="35" t="inlineStr">
        <is>
          <t>TON</t>
        </is>
      </c>
      <c r="E48" s="36" t="n">
        <v>6000</v>
      </c>
      <c r="F48" s="37">
        <f>C48*E48</f>
        <v/>
      </c>
      <c r="G48" s="16" t="inlineStr">
        <is>
          <t>MEASURED: 992 members, 17,441 LF, 1,003,473 lb. Rate is THE ESTIMATOR'S OWN, from his unpriced 055100 line 'F&amp;I new Roof Trusses, girders, Columns at Music Hall area @ $6,000/TON'.</t>
        </is>
      </c>
    </row>
    <row r="49" ht="21" customHeight="1">
      <c r="B49" s="5" t="inlineStr">
        <is>
          <t xml:space="preserve">      Beams &amp; girders — HSS tube</t>
        </is>
      </c>
      <c r="C49" s="38" t="n">
        <v>6.6</v>
      </c>
      <c r="D49" s="35" t="inlineStr">
        <is>
          <t>TON</t>
        </is>
      </c>
      <c r="E49" s="36" t="n">
        <v>6600</v>
      </c>
      <c r="F49" s="37">
        <f>C49*E49</f>
        <v/>
      </c>
      <c r="G49" s="16" t="inlineStr">
        <is>
          <t>MEASURED: 104 members, 338 LF. Tube carries more cutting, capping and end prep than rolled.</t>
        </is>
      </c>
    </row>
    <row r="50" ht="52.5" customHeight="1">
      <c r="B50" s="5" t="inlineStr">
        <is>
          <t xml:space="preserve">      Columns — BUILT-UP PLATE GIRDER</t>
        </is>
      </c>
      <c r="C50" s="38" t="n">
        <v>202</v>
      </c>
      <c r="D50" s="35" t="inlineStr">
        <is>
          <t>TON</t>
        </is>
      </c>
      <c r="E50" s="36" t="n">
        <v>8400</v>
      </c>
      <c r="F50" s="37">
        <f>C50*E50</f>
        <v/>
      </c>
      <c r="G50" s="16" t="inlineStr">
        <is>
          <t>MEASURED: 80 members, 1,320 LF, 403,988 lb. These are NOT rolled shapes — they are shop-welded from plate, I 48/24/0.438/1.375 through I 69.023/24, on grids B and E at 60.00 LF each. Plate girder columns run 30-45% over rolled because of the welding, NDT and handling. $6,000/TON IS THE WRONG RATE FOR THIS LINE.</t>
        </is>
      </c>
    </row>
    <row r="51" ht="13" customHeight="1">
      <c r="B51" s="5" t="inlineStr">
        <is>
          <t xml:space="preserve">      Columns — rolled W-shapes</t>
        </is>
      </c>
      <c r="C51" s="38" t="n">
        <v>153.9</v>
      </c>
      <c r="D51" s="35" t="inlineStr">
        <is>
          <t>TON</t>
        </is>
      </c>
      <c r="E51" s="36" t="n">
        <v>6000</v>
      </c>
      <c r="F51" s="37">
        <f>C51*E51</f>
        <v/>
      </c>
      <c r="G51" s="16" t="inlineStr">
        <is>
          <t>MEASURED: 148 members, 3,107 LF. Estimator's own rate.</t>
        </is>
      </c>
    </row>
    <row r="52" ht="13" customHeight="1">
      <c r="B52" s="5" t="inlineStr">
        <is>
          <t xml:space="preserve">      Columns — HSS tube</t>
        </is>
      </c>
      <c r="C52" s="38" t="n">
        <v>4.7</v>
      </c>
      <c r="D52" s="35" t="inlineStr">
        <is>
          <t>TON</t>
        </is>
      </c>
      <c r="E52" s="36" t="n">
        <v>6600</v>
      </c>
      <c r="F52" s="37">
        <f>C52*E52</f>
        <v/>
      </c>
      <c r="G52" s="16" t="inlineStr">
        <is>
          <t>MEASURED: 15 members, 197 LF.</t>
        </is>
      </c>
    </row>
    <row r="53" ht="31.5" customHeight="1">
      <c r="B53" s="5" t="inlineStr">
        <is>
          <t xml:space="preserve">      Roof trusses — fabricated assemblies</t>
        </is>
      </c>
      <c r="C53" s="38" t="n">
        <v>67.7</v>
      </c>
      <c r="D53" s="35" t="inlineStr">
        <is>
          <t>TON</t>
        </is>
      </c>
      <c r="E53" s="36" t="n">
        <v>7200</v>
      </c>
      <c r="F53" s="37">
        <f>C53*E53</f>
        <v/>
      </c>
      <c r="G53" s="16" t="inlineStr">
        <is>
          <t>MEASURED: 517 members, 5,187 LF, 135,424 lb, all between +56.5 ft and +64.5 ft. Truss fabrication carries more shop labour per ton than plain framing.</t>
        </is>
      </c>
    </row>
    <row r="54" ht="13" customHeight="1">
      <c r="B54" s="5" t="inlineStr">
        <is>
          <t xml:space="preserve">      Braces — HSS tube</t>
        </is>
      </c>
      <c r="C54" s="38" t="n">
        <v>26.4</v>
      </c>
      <c r="D54" s="35" t="inlineStr">
        <is>
          <t>TON</t>
        </is>
      </c>
      <c r="E54" s="36" t="n">
        <v>6600</v>
      </c>
      <c r="F54" s="37">
        <f>C54*E54</f>
        <v/>
      </c>
      <c r="G54" s="16" t="inlineStr">
        <is>
          <t>MEASURED: 281 members, 4,781 LF.</t>
        </is>
      </c>
    </row>
    <row r="55" ht="13" customHeight="1">
      <c r="B55" s="5" t="inlineStr">
        <is>
          <t xml:space="preserve">      Braces — rolled W-shapes</t>
        </is>
      </c>
      <c r="C55" s="38" t="n">
        <v>13.8</v>
      </c>
      <c r="D55" s="35" t="inlineStr">
        <is>
          <t>TON</t>
        </is>
      </c>
      <c r="E55" s="36" t="n">
        <v>6000</v>
      </c>
      <c r="F55" s="37">
        <f>C55*E55</f>
        <v/>
      </c>
      <c r="G55" s="16" t="inlineStr">
        <is>
          <t>MEASURED: 21 members, 610 LF. Estimator's own rate.</t>
        </is>
      </c>
    </row>
    <row r="56" ht="31.5" customHeight="1">
      <c r="B56" s="5" t="inlineStr">
        <is>
          <t xml:space="preserve">      Cold-formed steel — BOH &amp; closure framing</t>
        </is>
      </c>
      <c r="C56" s="38" t="n">
        <v>11557</v>
      </c>
      <c r="D56" s="35" t="inlineStr">
        <is>
          <t>LF</t>
        </is>
      </c>
      <c r="E56" s="36" t="n">
        <v>22</v>
      </c>
      <c r="F56" s="37">
        <f>C56*E56</f>
        <v/>
      </c>
      <c r="G56" s="16" t="inlineStr">
        <is>
          <t>MEASURED: 2,686 pieces, 11,557 LF, 40,622 lb. CEMCO 1200S350-68 joists, 800S162-54 studs, track, blocking and flat strap. Priced per LF installed, which is how CFS is bought.</t>
        </is>
      </c>
    </row>
    <row r="57">
      <c r="B57" s="32" t="inlineStr">
        <is>
          <t xml:space="preserve">   Erection, connections &amp; inspection</t>
        </is>
      </c>
      <c r="C57" s="33" t="n"/>
      <c r="D57" s="33" t="n"/>
      <c r="E57" s="33" t="n"/>
      <c r="F57" s="33" t="n"/>
      <c r="G57" s="33" t="n"/>
    </row>
    <row r="58" ht="31.5" customHeight="1">
      <c r="B58" s="5" t="inlineStr">
        <is>
          <t xml:space="preserve">      Connection design &amp; shop detailing</t>
        </is>
      </c>
      <c r="C58" s="34" t="n">
        <v>1</v>
      </c>
      <c r="D58" s="35" t="inlineStr">
        <is>
          <t>LS</t>
        </is>
      </c>
      <c r="E58" s="36" t="n">
        <v>285000</v>
      </c>
      <c r="F58" s="37">
        <f>C58*E58</f>
        <v/>
      </c>
      <c r="G58" s="16" t="inlineStr">
        <is>
          <t>976.9 tons of hot-rolled with built-up plate columns and a trussed high roof. Detailing and connection design is a separate engineering scope from the EOR's model.</t>
        </is>
      </c>
    </row>
    <row r="59" ht="13" customHeight="1">
      <c r="B59" s="5" t="inlineStr">
        <is>
          <t xml:space="preserve">      Column base plates, anchor bolts &amp; setting</t>
        </is>
      </c>
      <c r="C59" s="38" t="n">
        <v>124</v>
      </c>
      <c r="D59" s="35" t="inlineStr">
        <is>
          <t>EA</t>
        </is>
      </c>
      <c r="E59" s="36" t="n">
        <v>4200</v>
      </c>
      <c r="F59" s="37">
        <f>C59*E59</f>
        <v/>
      </c>
      <c r="G59" s="16" t="inlineStr">
        <is>
          <t>MEASURED: 124 footing locations in VE1, up from 81 in Rev 43.</t>
        </is>
      </c>
    </row>
    <row r="60" ht="31.5" customHeight="1">
      <c r="B60" s="5" t="inlineStr">
        <is>
          <t xml:space="preserve">      Grouting at column bases &amp; truss bearings</t>
        </is>
      </c>
      <c r="C60" s="34" t="n">
        <v>1</v>
      </c>
      <c r="D60" s="35" t="inlineStr">
        <is>
          <t>LS</t>
        </is>
      </c>
      <c r="E60" s="36" t="n">
        <v>38000</v>
      </c>
      <c r="F60" s="37">
        <f>C60*E60</f>
        <v/>
      </c>
      <c r="G60" s="16" t="inlineStr">
        <is>
          <t>The estimator's own 033000 line 'Grouting at Steel Trusses &amp; Column Base Plates', which he left at zero quantity with a $15,000 rate. Scaled to 124 locations.</t>
        </is>
      </c>
    </row>
    <row r="61" ht="13" customHeight="1">
      <c r="B61" s="5" t="inlineStr">
        <is>
          <t xml:space="preserve">      Shear studs &amp; deck welding</t>
        </is>
      </c>
      <c r="C61" s="38" t="n">
        <v>46019</v>
      </c>
      <c r="D61" s="35" t="inlineStr">
        <is>
          <t>SF</t>
        </is>
      </c>
      <c r="E61" s="36" t="n">
        <v>1.85</v>
      </c>
      <c r="F61" s="37">
        <f>C61*E61</f>
        <v/>
      </c>
      <c r="G61" s="16" t="inlineStr">
        <is>
          <t>MEASURED: 46,019 SF of composite floor and tiered seating.</t>
        </is>
      </c>
    </row>
    <row r="62" ht="31.5" customHeight="1">
      <c r="B62" s="5" t="inlineStr">
        <is>
          <t xml:space="preserve">      Crane, rigging &amp; hoisting for erection</t>
        </is>
      </c>
      <c r="C62" s="34" t="n">
        <v>1</v>
      </c>
      <c r="D62" s="35" t="inlineStr">
        <is>
          <t>LS</t>
        </is>
      </c>
      <c r="E62" s="36" t="n">
        <v>940000</v>
      </c>
      <c r="F62" s="37">
        <f>C62*E62</f>
        <v/>
      </c>
      <c r="G62" s="16" t="inlineStr">
        <is>
          <t>60 ft built-up columns and 150 ft trussed girders in a constrained Brooklyn lot. This is a crawler or tower crane over months, not a boom truck.</t>
        </is>
      </c>
    </row>
    <row r="63" ht="13" customHeight="1">
      <c r="B63" s="5" t="inlineStr">
        <is>
          <t xml:space="preserve">      Erection engineering, temporary bracing &amp; survey</t>
        </is>
      </c>
      <c r="C63" s="34" t="n">
        <v>1</v>
      </c>
      <c r="D63" s="35" t="inlineStr">
        <is>
          <t>LS</t>
        </is>
      </c>
      <c r="E63" s="36" t="n">
        <v>265000</v>
      </c>
      <c r="F63" s="37">
        <f>C63*E63</f>
        <v/>
      </c>
      <c r="G63" s="16" t="inlineStr">
        <is>
          <t>Stability of a 64 ft frame during erection is its own design.</t>
        </is>
      </c>
    </row>
    <row r="64" ht="21" customHeight="1">
      <c r="B64" s="5" t="inlineStr">
        <is>
          <t xml:space="preserve">      Special &amp; controlled inspections — structural</t>
        </is>
      </c>
      <c r="C64" s="34" t="n">
        <v>1</v>
      </c>
      <c r="D64" s="35" t="inlineStr">
        <is>
          <t>LS</t>
        </is>
      </c>
      <c r="E64" s="36" t="n">
        <v>195000</v>
      </c>
      <c r="F64" s="37">
        <f>C64*E64</f>
        <v/>
      </c>
      <c r="G64" s="16" t="inlineStr">
        <is>
          <t>NYC controlled inspection of welding, bolting and high-strength connections on 976.9 tons.</t>
        </is>
      </c>
    </row>
    <row r="65">
      <c r="B65" s="32" t="inlineStr">
        <is>
          <t xml:space="preserve">   Foundations for the new load path</t>
        </is>
      </c>
      <c r="C65" s="33" t="n"/>
      <c r="D65" s="33" t="n"/>
      <c r="E65" s="33" t="n"/>
      <c r="F65" s="33" t="n"/>
      <c r="G65" s="33" t="n"/>
    </row>
    <row r="66" ht="31.5" customHeight="1">
      <c r="B66" s="5" t="inlineStr">
        <is>
          <t xml:space="preserve">      New column footings</t>
        </is>
      </c>
      <c r="C66" s="38" t="n">
        <v>124</v>
      </c>
      <c r="D66" s="35" t="inlineStr">
        <is>
          <t>EA</t>
        </is>
      </c>
      <c r="E66" s="36" t="n">
        <v>11500</v>
      </c>
      <c r="F66" s="37">
        <f>C66*E66</f>
        <v/>
      </c>
      <c r="G66" s="16" t="inlineStr">
        <is>
          <t>MEASURED: 124 locations. Rate is above our old $7,500 because these carry 60 ft built-up columns and a high roof, not a mezzanine. GEOTECH-DEPENDENT — 13 borings at 50 ft are in the soft costs and not yet done.</t>
        </is>
      </c>
    </row>
    <row r="67" ht="21" customHeight="1">
      <c r="B67" s="5" t="inlineStr">
        <is>
          <t xml:space="preserve">      Excavation, spoil removal &amp; disposal</t>
        </is>
      </c>
      <c r="C67" s="34" t="n">
        <v>124</v>
      </c>
      <c r="D67" s="35" t="inlineStr">
        <is>
          <t>EA</t>
        </is>
      </c>
      <c r="E67" s="36" t="n">
        <v>3400</v>
      </c>
      <c r="F67" s="37">
        <f>C67*E67</f>
        <v/>
      </c>
      <c r="G67" s="16" t="inlineStr">
        <is>
          <t>Per footing, replacing our old blanket 74,100 SF x $6.50. The takeoff gives locations, so price locations.</t>
        </is>
      </c>
    </row>
    <row r="68" ht="21" customHeight="1">
      <c r="B68" s="5" t="inlineStr">
        <is>
          <t xml:space="preserve">      Underpinning at existing footings</t>
        </is>
      </c>
      <c r="C68" s="34" t="n">
        <v>24</v>
      </c>
      <c r="D68" s="35" t="inlineStr">
        <is>
          <t>EA</t>
        </is>
      </c>
      <c r="E68" s="36" t="n">
        <v>9500</v>
      </c>
      <c r="F68" s="37">
        <f>C68*E68</f>
        <v/>
      </c>
      <c r="G68" s="16" t="inlineStr">
        <is>
          <t>CARRIED FORWARD from our V2 — the takeoff does not enumerate underpinning. Confirm against the geotech and the existing foundation drawings.</t>
        </is>
      </c>
    </row>
    <row r="69" ht="13" customHeight="1">
      <c r="B69" s="5" t="inlineStr">
        <is>
          <t xml:space="preserve">      Rebar, dowelling &amp; pier caps</t>
        </is>
      </c>
      <c r="C69" s="34" t="n">
        <v>1</v>
      </c>
      <c r="D69" s="35" t="inlineStr">
        <is>
          <t>LS</t>
        </is>
      </c>
      <c r="E69" s="36" t="n">
        <v>145000</v>
      </c>
      <c r="F69" s="37">
        <f>C69*E69</f>
        <v/>
      </c>
      <c r="G69" s="16" t="inlineStr">
        <is>
          <t>Scaled from our V2 at 124 locations.</t>
        </is>
      </c>
    </row>
    <row r="70" ht="13" customHeight="1">
      <c r="B70" s="5" t="inlineStr">
        <is>
          <t xml:space="preserve">      Slab cut, patch &amp; pour-back at new columns</t>
        </is>
      </c>
      <c r="C70" s="34" t="n">
        <v>124</v>
      </c>
      <c r="D70" s="35" t="inlineStr">
        <is>
          <t>EA</t>
        </is>
      </c>
      <c r="E70" s="36" t="n">
        <v>2600</v>
      </c>
      <c r="F70" s="37">
        <f>C70*E70</f>
        <v/>
      </c>
      <c r="G70" s="16" t="inlineStr">
        <is>
          <t>Measured locations.</t>
        </is>
      </c>
    </row>
    <row r="71">
      <c r="B71" s="32" t="inlineStr">
        <is>
          <t xml:space="preserve">   Deck, masonry &amp; fireproofing</t>
        </is>
      </c>
      <c r="C71" s="33" t="n"/>
      <c r="D71" s="33" t="n"/>
      <c r="E71" s="33" t="n"/>
      <c r="F71" s="33" t="n"/>
      <c r="G71" s="33" t="n"/>
    </row>
    <row r="72" ht="13" customHeight="1">
      <c r="B72" s="5" t="inlineStr">
        <is>
          <t xml:space="preserve">      Composite metal deck &amp; concrete — floor &amp; tiered seating</t>
        </is>
      </c>
      <c r="C72" s="38" t="n">
        <v>46019</v>
      </c>
      <c r="D72" s="35" t="inlineStr">
        <is>
          <t>SF</t>
        </is>
      </c>
      <c r="E72" s="36" t="n">
        <v>34</v>
      </c>
      <c r="F72" s="37">
        <f>C72*E72</f>
        <v/>
      </c>
      <c r="G72" s="16" t="inlineStr">
        <is>
          <t>MEASURED: 46,019 SF (mezzanine/floor 32,942 + tiered seating 13,077).</t>
        </is>
      </c>
    </row>
    <row r="73" ht="13" customHeight="1">
      <c r="B73" s="5" t="inlineStr">
        <is>
          <t xml:space="preserve">      Metal roof deck</t>
        </is>
      </c>
      <c r="C73" s="38" t="n">
        <v>61295</v>
      </c>
      <c r="D73" s="35" t="inlineStr">
        <is>
          <t>SF</t>
        </is>
      </c>
      <c r="E73" s="36" t="n">
        <v>9.5</v>
      </c>
      <c r="F73" s="37">
        <f>C73*E73</f>
        <v/>
      </c>
      <c r="G73" s="16" t="inlineStr">
        <is>
          <t>MEASURED: 61,295 SF across terrace, lower roof, high roof and caps.</t>
        </is>
      </c>
    </row>
    <row r="74" ht="13" customHeight="1">
      <c r="B74" s="5" t="inlineStr">
        <is>
          <t xml:space="preserve">      BOH CFS roof deck</t>
        </is>
      </c>
      <c r="C74" s="38" t="n">
        <v>4230</v>
      </c>
      <c r="D74" s="35" t="inlineStr">
        <is>
          <t>SF</t>
        </is>
      </c>
      <c r="E74" s="36" t="n">
        <v>9.5</v>
      </c>
      <c r="F74" s="37">
        <f>C74*E74</f>
        <v/>
      </c>
      <c r="G74" s="16" t="inlineStr">
        <is>
          <t>MEASURED.</t>
        </is>
      </c>
    </row>
    <row r="75" ht="21" customHeight="1">
      <c r="B75" s="5" t="inlineStr">
        <is>
          <t xml:space="preserve">      New CMU — walls, shafts &amp; closure</t>
        </is>
      </c>
      <c r="C75" s="38" t="n">
        <v>39248</v>
      </c>
      <c r="D75" s="35" t="inlineStr">
        <is>
          <t>SF</t>
        </is>
      </c>
      <c r="E75" s="36" t="n">
        <v>35</v>
      </c>
      <c r="F75" s="37">
        <f>C75*E75</f>
        <v/>
      </c>
      <c r="G75" s="16" t="inlineStr">
        <is>
          <t>MEASURED: 39,248 SF, up from 23,330 in Rev 43. Rate is THE ESTIMATOR'S OWN 042000 rate, $35/SF, which he left at zero quantity.</t>
        </is>
      </c>
    </row>
    <row r="76" ht="21" customHeight="1">
      <c r="B76" s="5" t="inlineStr">
        <is>
          <t xml:space="preserve">      Spray-applied fireproofing on new steel</t>
        </is>
      </c>
      <c r="C76" s="34" t="n">
        <v>107314</v>
      </c>
      <c r="D76" s="35" t="inlineStr">
        <is>
          <t>SF</t>
        </is>
      </c>
      <c r="E76" s="36" t="n">
        <v>5</v>
      </c>
      <c r="F76" s="37">
        <f>C76*E76</f>
        <v/>
      </c>
      <c r="G76" s="16" t="inlineStr">
        <is>
          <t>Rate is THE ESTIMATOR'S OWN 078100 rate, $5.00/SF, which he left at zero quantity across all three of his fireproofing lines.</t>
        </is>
      </c>
    </row>
    <row r="77">
      <c r="B77" s="32" t="inlineStr">
        <is>
          <t xml:space="preserve">   Carried forward — not in the structural model</t>
        </is>
      </c>
      <c r="C77" s="33" t="n"/>
      <c r="D77" s="33" t="n"/>
      <c r="E77" s="33" t="n"/>
      <c r="F77" s="33" t="n"/>
      <c r="G77" s="33" t="n"/>
    </row>
    <row r="78" ht="21" customHeight="1">
      <c r="B78" s="5" t="inlineStr">
        <is>
          <t xml:space="preserve">      MEP disconnect &amp; reinstatement</t>
        </is>
      </c>
      <c r="C78" s="34" t="n">
        <v>1</v>
      </c>
      <c r="D78" s="35" t="inlineStr">
        <is>
          <t>LS</t>
        </is>
      </c>
      <c r="E78" s="36" t="n">
        <v>550000</v>
      </c>
      <c r="F78" s="37">
        <f>C78*E78</f>
        <v/>
      </c>
      <c r="G78" s="16" t="inlineStr">
        <is>
          <t>Carried forward from V2. The structural model has nothing to say about MEP.</t>
        </is>
      </c>
    </row>
    <row r="79" ht="13" customHeight="1">
      <c r="B79" s="5" t="inlineStr">
        <is>
          <t xml:space="preserve">      Fire separation</t>
        </is>
      </c>
      <c r="C79" s="34" t="n">
        <v>1</v>
      </c>
      <c r="D79" s="35" t="inlineStr">
        <is>
          <t>LS</t>
        </is>
      </c>
      <c r="E79" s="36" t="n">
        <v>200000</v>
      </c>
      <c r="F79" s="37">
        <f>C79*E79</f>
        <v/>
      </c>
      <c r="G79" s="16" t="inlineStr">
        <is>
          <t>Carried forward from V2.</t>
        </is>
      </c>
    </row>
    <row r="80" ht="21" customHeight="1">
      <c r="B80" s="5" t="inlineStr">
        <is>
          <t xml:space="preserve">      Egress &amp; guarding at raised levels</t>
        </is>
      </c>
      <c r="C80" s="34" t="n">
        <v>1</v>
      </c>
      <c r="D80" s="35" t="inlineStr">
        <is>
          <t>LS</t>
        </is>
      </c>
      <c r="E80" s="36" t="n">
        <v>287216</v>
      </c>
      <c r="F80" s="37">
        <f>C80*E80</f>
        <v/>
      </c>
      <c r="G80" s="16" t="inlineStr">
        <is>
          <t>Carried forward from V2. Stairs and railings appear in the takeoff only as a few W-shapes; guarding, treads and nosings do not.</t>
        </is>
      </c>
    </row>
    <row r="81">
      <c r="B81" s="32" t="inlineStr">
        <is>
          <t xml:space="preserve">   Roofing — new roofs need new roofing</t>
        </is>
      </c>
      <c r="C81" s="33" t="n"/>
      <c r="D81" s="33" t="n"/>
      <c r="E81" s="33" t="n"/>
      <c r="F81" s="33" t="n"/>
      <c r="G81" s="33" t="n"/>
    </row>
    <row r="82" ht="42" customHeight="1">
      <c r="B82" s="5" t="inlineStr">
        <is>
          <t xml:space="preserve">      Roof membrane, insulation &amp; flashing — all new roofs</t>
        </is>
      </c>
      <c r="C82" s="34" t="n">
        <v>61295</v>
      </c>
      <c r="D82" s="35" t="inlineStr">
        <is>
          <t>SF</t>
        </is>
      </c>
      <c r="E82" s="36" t="n">
        <v>36</v>
      </c>
      <c r="F82" s="37">
        <f>C82*E82</f>
        <v/>
      </c>
      <c r="G82" s="16" t="inlineStr">
        <is>
          <t>CONSEQUENCE OF THE METHOD CHANGE, not from the takeoff. 61,295 SF of new roof deck needs a new roof. Rate is THE ESTIMATOR'S OWN 075000 rate of $36/SF. V2 carried 'roof reinstatement' at $6/SF because a lift keeps the roof it already has.</t>
        </is>
      </c>
    </row>
    <row r="83" ht="31.5" customHeight="1">
      <c r="B83" s="5" t="inlineStr">
        <is>
          <t xml:space="preserve">      Occupied terrace — pavers on pedestals</t>
        </is>
      </c>
      <c r="C83" s="38" t="n">
        <v>26389</v>
      </c>
      <c r="D83" s="35" t="inlineStr">
        <is>
          <t>SF</t>
        </is>
      </c>
      <c r="E83" s="36" t="n">
        <v>31</v>
      </c>
      <c r="F83" s="37">
        <f>C83*E83</f>
        <v/>
      </c>
      <c r="G83" s="16" t="inlineStr">
        <is>
          <t>MEASURED: 26,389 SF. The model calls this level 'Occupied Terrace (+45 ft 7 in)', so it needs a walking surface. Rate is the estimator's own paver rate.</t>
        </is>
      </c>
    </row>
    <row r="84" ht="13" customHeight="1">
      <c r="B84" s="5" t="inlineStr">
        <is>
          <t xml:space="preserve">      New roof drains &amp; leaders</t>
        </is>
      </c>
      <c r="C84" s="34" t="n">
        <v>18</v>
      </c>
      <c r="D84" s="35" t="inlineStr">
        <is>
          <t>EA</t>
        </is>
      </c>
      <c r="E84" s="36" t="n">
        <v>8500</v>
      </c>
      <c r="F84" s="37">
        <f>C84*E84</f>
        <v/>
      </c>
      <c r="G84" s="16" t="inlineStr">
        <is>
          <t>Carried forward from V2.</t>
        </is>
      </c>
    </row>
    <row r="85" ht="21" customHeight="1">
      <c r="B85" s="5" t="inlineStr">
        <is>
          <t xml:space="preserve">      Roof dunnage for HVAC equipment</t>
        </is>
      </c>
      <c r="C85" s="34" t="n">
        <v>8</v>
      </c>
      <c r="D85" s="35" t="inlineStr">
        <is>
          <t>LOC</t>
        </is>
      </c>
      <c r="E85" s="36" t="n">
        <v>20000</v>
      </c>
      <c r="F85" s="37">
        <f>C85*E85</f>
        <v/>
      </c>
      <c r="G85" s="16" t="inlineStr">
        <is>
          <t>Carried forward from V2. Matches the estimator's own unpriced 055100 line at $20,000/LOC.</t>
        </is>
      </c>
    </row>
    <row r="86" ht="13" customHeight="1">
      <c r="B86" s="5" t="inlineStr">
        <is>
          <t xml:space="preserve">      Roof penetrations framing for exhaust</t>
        </is>
      </c>
      <c r="C86" s="34" t="n">
        <v>1</v>
      </c>
      <c r="D86" s="35" t="inlineStr">
        <is>
          <t>LS</t>
        </is>
      </c>
      <c r="E86" s="36" t="n">
        <v>25000</v>
      </c>
      <c r="F86" s="37">
        <f>C86*E86</f>
        <v/>
      </c>
      <c r="G86" s="16" t="inlineStr">
        <is>
          <t>Carried forward from V2.</t>
        </is>
      </c>
    </row>
    <row r="87">
      <c r="B87" s="30" t="inlineStr">
        <is>
          <t>200   STAGE — ground-supported, Factory Town method</t>
        </is>
      </c>
      <c r="C87" s="31" t="n"/>
      <c r="D87" s="31" t="n"/>
      <c r="E87" s="31" t="n"/>
      <c r="F87" s="31" t="n"/>
      <c r="G87" s="31" t="n"/>
    </row>
    <row r="88">
      <c r="B88" s="32" t="inlineStr">
        <is>
          <t xml:space="preserve">   Stage foundations</t>
        </is>
      </c>
      <c r="C88" s="33" t="n"/>
      <c r="D88" s="33" t="n"/>
      <c r="E88" s="33" t="n"/>
      <c r="F88" s="33" t="n"/>
      <c r="G88" s="33" t="n"/>
    </row>
    <row r="89" ht="21" customHeight="1">
      <c r="B89" s="5" t="inlineStr">
        <is>
          <t xml:space="preserve">      Footings poured into slab</t>
        </is>
      </c>
      <c r="C89" s="34" t="n">
        <v>12</v>
      </c>
      <c r="D89" s="35" t="inlineStr">
        <is>
          <t>EA</t>
        </is>
      </c>
      <c r="E89" s="36" t="n">
        <v>7500</v>
      </c>
      <c r="F89" s="37">
        <f>C89*E89</f>
        <v/>
      </c>
      <c r="G89" s="16" t="inlineStr">
        <is>
          <t>No hurricane scope — interior, zero wind load. FT Infinity footers were $826,986 open-air Miami-Dade</t>
        </is>
      </c>
    </row>
    <row r="90" ht="13" customHeight="1">
      <c r="B90" s="5" t="inlineStr">
        <is>
          <t xml:space="preserve">      Slab cutting &amp; patching at footings</t>
        </is>
      </c>
      <c r="C90" s="34" t="n">
        <v>12</v>
      </c>
      <c r="D90" s="35" t="inlineStr">
        <is>
          <t>EA</t>
        </is>
      </c>
      <c r="E90" s="36" t="n">
        <v>2400</v>
      </c>
      <c r="F90" s="37">
        <f>C90*E90</f>
        <v/>
      </c>
      <c r="G90" s="16" t="inlineStr"/>
    </row>
    <row r="91" ht="13" customHeight="1">
      <c r="B91" s="5" t="inlineStr">
        <is>
          <t xml:space="preserve">      Anchor bolts &amp; embeds</t>
        </is>
      </c>
      <c r="C91" s="34" t="n">
        <v>12</v>
      </c>
      <c r="D91" s="35" t="inlineStr">
        <is>
          <t>EA</t>
        </is>
      </c>
      <c r="E91" s="36" t="n">
        <v>1850</v>
      </c>
      <c r="F91" s="37">
        <f>C91*E91</f>
        <v/>
      </c>
      <c r="G91" s="16" t="inlineStr"/>
    </row>
    <row r="92">
      <c r="B92" s="32" t="inlineStr">
        <is>
          <t xml:space="preserve">   Stage structure &amp; deck</t>
        </is>
      </c>
      <c r="C92" s="33" t="n"/>
      <c r="D92" s="33" t="n"/>
      <c r="E92" s="33" t="n"/>
      <c r="F92" s="33" t="n"/>
      <c r="G92" s="33" t="n"/>
    </row>
    <row r="93" ht="21" customHeight="1">
      <c r="B93" s="5" t="inlineStr">
        <is>
          <t xml:space="preserve">      Stage structure design &amp; fabrication</t>
        </is>
      </c>
      <c r="C93" s="34" t="n">
        <v>1</v>
      </c>
      <c r="D93" s="35" t="inlineStr">
        <is>
          <t>LS</t>
        </is>
      </c>
      <c r="E93" s="36" t="n">
        <v>720000</v>
      </c>
      <c r="F93" s="37">
        <f>C93*E93</f>
        <v/>
      </c>
      <c r="G93" s="16" t="inlineStr">
        <is>
          <t>FT Infinity actual $2,163,275 (Mountain Production) INCLUDED an open-air roof and crowd weather cover this building does not need</t>
        </is>
      </c>
    </row>
    <row r="94" ht="13" customHeight="1">
      <c r="B94" s="5" t="inlineStr">
        <is>
          <t xml:space="preserve">      Structural steel erection</t>
        </is>
      </c>
      <c r="C94" s="34" t="n">
        <v>1</v>
      </c>
      <c r="D94" s="35" t="inlineStr">
        <is>
          <t>LS</t>
        </is>
      </c>
      <c r="E94" s="36" t="n">
        <v>180000</v>
      </c>
      <c r="F94" s="37">
        <f>C94*E94</f>
        <v/>
      </c>
      <c r="G94" s="16" t="inlineStr"/>
    </row>
    <row r="95" ht="13" customHeight="1">
      <c r="B95" s="5" t="inlineStr">
        <is>
          <t xml:space="preserve">      Stage deck framing &amp; metal deck</t>
        </is>
      </c>
      <c r="C95" s="34" t="n">
        <v>3500</v>
      </c>
      <c r="D95" s="35" t="inlineStr">
        <is>
          <t>SF</t>
        </is>
      </c>
      <c r="E95" s="36" t="n">
        <v>22</v>
      </c>
      <c r="F95" s="37">
        <f>C95*E95</f>
        <v/>
      </c>
      <c r="G95" s="16" t="inlineStr"/>
    </row>
    <row r="96" ht="13" customHeight="1">
      <c r="B96" s="5" t="inlineStr">
        <is>
          <t xml:space="preserve">      Stage T&amp;G wood floor</t>
        </is>
      </c>
      <c r="C96" s="34" t="n">
        <v>3500</v>
      </c>
      <c r="D96" s="35" t="inlineStr">
        <is>
          <t>SF</t>
        </is>
      </c>
      <c r="E96" s="36" t="n">
        <v>35</v>
      </c>
      <c r="F96" s="37">
        <f>C96*E96</f>
        <v/>
      </c>
      <c r="G96" s="16" t="inlineStr">
        <is>
          <t>Dev budget 096400-1, QTY 0</t>
        </is>
      </c>
    </row>
    <row r="97" ht="13" customHeight="1">
      <c r="B97" s="5" t="inlineStr">
        <is>
          <t xml:space="preserve">      Stage stairs &amp; access</t>
        </is>
      </c>
      <c r="C97" s="34" t="n">
        <v>4</v>
      </c>
      <c r="D97" s="35" t="inlineStr">
        <is>
          <t>EA</t>
        </is>
      </c>
      <c r="E97" s="36" t="n">
        <v>13000</v>
      </c>
      <c r="F97" s="37">
        <f>C97*E97</f>
        <v/>
      </c>
      <c r="G97" s="16" t="inlineStr">
        <is>
          <t>Dev budget 055100-7 rate</t>
        </is>
      </c>
    </row>
    <row r="98">
      <c r="B98" s="32" t="inlineStr">
        <is>
          <t xml:space="preserve">   Production towers &amp; mounting structure</t>
        </is>
      </c>
      <c r="C98" s="33" t="n"/>
      <c r="D98" s="33" t="n"/>
      <c r="E98" s="33" t="n"/>
      <c r="F98" s="33" t="n"/>
      <c r="G98" s="33" t="n"/>
    </row>
    <row r="99" ht="21" customHeight="1">
      <c r="B99" s="5" t="inlineStr">
        <is>
          <t xml:space="preserve">      Black steel mounting structure — YOUR QUOTE</t>
        </is>
      </c>
      <c r="C99" s="34" t="n">
        <v>1</v>
      </c>
      <c r="D99" s="35" t="inlineStr">
        <is>
          <t>LS</t>
        </is>
      </c>
      <c r="E99" s="36" t="n">
        <v>1000000</v>
      </c>
      <c r="F99" s="37">
        <f>C99*E99</f>
        <v/>
      </c>
      <c r="G99" s="16" t="inlineStr">
        <is>
          <t>Ground-supported so nothing hangs from the building. This is what lets the roof stay at 15 lb/SF</t>
        </is>
      </c>
    </row>
    <row r="100" ht="13" customHeight="1">
      <c r="B100" s="5" t="inlineStr">
        <is>
          <t xml:space="preserve">      Access ladders &amp; unistrut at overhead grid</t>
        </is>
      </c>
      <c r="C100" s="34" t="n">
        <v>1</v>
      </c>
      <c r="D100" s="35" t="inlineStr">
        <is>
          <t>LS</t>
        </is>
      </c>
      <c r="E100" s="36" t="n">
        <v>15000</v>
      </c>
      <c r="F100" s="37">
        <f>C100*E100</f>
        <v/>
      </c>
      <c r="G100" s="16" t="inlineStr">
        <is>
          <t>Dev budget 055100-15 / 055100-11, QTY 0</t>
        </is>
      </c>
    </row>
    <row r="101">
      <c r="B101" s="32" t="inlineStr">
        <is>
          <t xml:space="preserve">   Rigging grid over the crowd — ground-supported lighting towers + spanning steel</t>
        </is>
      </c>
      <c r="C101" s="33" t="n"/>
      <c r="D101" s="33" t="n"/>
      <c r="E101" s="33" t="n"/>
      <c r="F101" s="33" t="n"/>
      <c r="G101" s="33" t="n"/>
    </row>
    <row r="102" ht="21" customHeight="1">
      <c r="B102" s="5" t="inlineStr">
        <is>
          <t xml:space="preserve">      Tower footings poured into slab</t>
        </is>
      </c>
      <c r="C102" s="34" t="n">
        <v>8</v>
      </c>
      <c r="D102" s="35" t="inlineStr">
        <is>
          <t>EA</t>
        </is>
      </c>
      <c r="E102" s="36" t="n">
        <v>8500</v>
      </c>
      <c r="F102" s="37">
        <f>C102*E102</f>
        <v/>
      </c>
      <c r="G102" s="16" t="inlineStr">
        <is>
          <t>Same detail as the stage footings. Interior, zero wind load — these carry gravity and the grid's own lateral bracing, not a hurricane case</t>
        </is>
      </c>
    </row>
    <row r="103" ht="13" customHeight="1">
      <c r="B103" s="5" t="inlineStr">
        <is>
          <t xml:space="preserve">      Slab cutting &amp; patching at tower bases</t>
        </is>
      </c>
      <c r="C103" s="34" t="n">
        <v>8</v>
      </c>
      <c r="D103" s="35" t="inlineStr">
        <is>
          <t>EA</t>
        </is>
      </c>
      <c r="E103" s="36" t="n">
        <v>2400</v>
      </c>
      <c r="F103" s="37">
        <f>C103*E103</f>
        <v/>
      </c>
      <c r="G103" s="16" t="inlineStr"/>
    </row>
    <row r="104" ht="13" customHeight="1">
      <c r="B104" s="5" t="inlineStr">
        <is>
          <t xml:space="preserve">      Anchor bolts, embeds &amp; base plates</t>
        </is>
      </c>
      <c r="C104" s="34" t="n">
        <v>8</v>
      </c>
      <c r="D104" s="35" t="inlineStr">
        <is>
          <t>EA</t>
        </is>
      </c>
      <c r="E104" s="36" t="n">
        <v>1850</v>
      </c>
      <c r="F104" s="37">
        <f>C104*E104</f>
        <v/>
      </c>
      <c r="G104" s="16" t="inlineStr"/>
    </row>
    <row r="105" ht="31.5" customHeight="1">
      <c r="B105" s="5" t="inlineStr">
        <is>
          <t xml:space="preserve">      Lighting / support towers, 45ft lattice, fabricate &amp; deliver</t>
        </is>
      </c>
      <c r="C105" s="34" t="n">
        <v>8</v>
      </c>
      <c r="D105" s="35" t="inlineStr">
        <is>
          <t>EA</t>
        </is>
      </c>
      <c r="E105" s="36" t="n">
        <v>34000</v>
      </c>
      <c r="F105" s="37">
        <f>C105*E105</f>
        <v/>
      </c>
      <c r="G105" s="16" t="inlineStr">
        <is>
          <t>FT Infinity lighting towers were $92,020 for the lot (Mountain Production). These are dearer per tower because they carry a 150ft spanning grid, not just fixtures. 4 per side at 50ft on centre</t>
        </is>
      </c>
    </row>
    <row r="106" ht="31.5" customHeight="1">
      <c r="B106" s="5" t="inlineStr">
        <is>
          <t xml:space="preserve">      Cross-span trussed girders over the crowd, 150ft clear span</t>
        </is>
      </c>
      <c r="C106" s="34" t="n">
        <v>1050</v>
      </c>
      <c r="D106" s="35" t="inlineStr">
        <is>
          <t>LF</t>
        </is>
      </c>
      <c r="E106" s="36" t="n">
        <v>310</v>
      </c>
      <c r="F106" s="37">
        <f>C106*E106</f>
        <v/>
      </c>
      <c r="G106" s="16" t="inlineStr">
        <is>
          <t>THE ANSWER TO THE USER'S ASK. 7 girders at 25ft on centre spanning the full 150ft crowd width. ~6.5 tons each at $6,000/ton fabricated and erected, plus connections, camber, shop drawings and finish</t>
        </is>
      </c>
    </row>
    <row r="107" ht="21" customHeight="1">
      <c r="B107" s="5" t="inlineStr">
        <is>
          <t xml:space="preserve">      Longitudinal header trusses on the tower lines</t>
        </is>
      </c>
      <c r="C107" s="34" t="n">
        <v>350</v>
      </c>
      <c r="D107" s="35" t="inlineStr">
        <is>
          <t>LF</t>
        </is>
      </c>
      <c r="E107" s="36" t="n">
        <v>240</v>
      </c>
      <c r="F107" s="37">
        <f>C107*E107</f>
        <v/>
      </c>
      <c r="G107" s="16" t="inlineStr">
        <is>
          <t>Two header runs, one per side, 175ft each. They spread the cross-girder reactions to the towers at 50ft o.c. so no girder lands mid-span</t>
        </is>
      </c>
    </row>
    <row r="108" ht="42" customHeight="1">
      <c r="B108" s="5" t="inlineStr">
        <is>
          <t xml:space="preserve">      Grid erection: crane, riggers, lifts</t>
        </is>
      </c>
      <c r="C108" s="34" t="n">
        <v>1</v>
      </c>
      <c r="D108" s="35" t="inlineStr">
        <is>
          <t>LS</t>
        </is>
      </c>
      <c r="E108" s="36" t="n">
        <v>185000</v>
      </c>
      <c r="F108" s="37">
        <f>C108*E108</f>
        <v/>
      </c>
      <c r="G108" s="16" t="inlineStr">
        <is>
          <t>SCHEDULE. Erect this WHILE THE ROOF IS OFF during the lift window and you pick it straight down through the opening. Erect it after the roof closes and you are assembling 74 tons of steel by chain hoist inside a finished room</t>
        </is>
      </c>
    </row>
    <row r="109" ht="13" customHeight="1">
      <c r="B109" s="5" t="inlineStr">
        <is>
          <t xml:space="preserve">      Chain hoists, 1-ton, at grid pick points</t>
        </is>
      </c>
      <c r="C109" s="34" t="n">
        <v>32</v>
      </c>
      <c r="D109" s="35" t="inlineStr">
        <is>
          <t>EA</t>
        </is>
      </c>
      <c r="E109" s="36" t="n">
        <v>2850</v>
      </c>
      <c r="F109" s="37">
        <f>C109*E109</f>
        <v/>
      </c>
      <c r="G109" s="16" t="inlineStr">
        <is>
          <t>32 points on a 150ft x 175ft grid is roughly one every 25ft x 25ft</t>
        </is>
      </c>
    </row>
    <row r="110" ht="13" customHeight="1">
      <c r="B110" s="5" t="inlineStr">
        <is>
          <t xml:space="preserve">      Motor control, distro &amp; festoon</t>
        </is>
      </c>
      <c r="C110" s="34" t="n">
        <v>1</v>
      </c>
      <c r="D110" s="35" t="inlineStr">
        <is>
          <t>LS</t>
        </is>
      </c>
      <c r="E110" s="36" t="n">
        <v>48000</v>
      </c>
      <c r="F110" s="37">
        <f>C110*E110</f>
        <v/>
      </c>
      <c r="G110" s="16" t="inlineStr"/>
    </row>
    <row r="111" ht="21" customHeight="1">
      <c r="B111" s="5" t="inlineStr">
        <is>
          <t xml:space="preserve">      Load cells &amp; live load monitoring</t>
        </is>
      </c>
      <c r="C111" s="34" t="n">
        <v>1</v>
      </c>
      <c r="D111" s="35" t="inlineStr">
        <is>
          <t>LS</t>
        </is>
      </c>
      <c r="E111" s="36" t="n">
        <v>36000</v>
      </c>
      <c r="F111" s="37">
        <f>C111*E111</f>
        <v/>
      </c>
      <c r="G111" s="16" t="inlineStr">
        <is>
          <t>CODE. Rigging over an assembly occupancy — DOB and your insurer will both want the grid instrumented</t>
        </is>
      </c>
    </row>
    <row r="112" ht="13" customHeight="1">
      <c r="B112" s="5" t="inlineStr">
        <is>
          <t xml:space="preserve">      Rigging steel, shackles, span sets, bridles &amp; secondaries</t>
        </is>
      </c>
      <c r="C112" s="34" t="n">
        <v>1</v>
      </c>
      <c r="D112" s="35" t="inlineStr">
        <is>
          <t>LS</t>
        </is>
      </c>
      <c r="E112" s="36" t="n">
        <v>42000</v>
      </c>
      <c r="F112" s="37">
        <f>C112*E112</f>
        <v/>
      </c>
      <c r="G112" s="16" t="inlineStr"/>
    </row>
    <row r="113" ht="21" customHeight="1">
      <c r="B113" s="5" t="inlineStr">
        <is>
          <t xml:space="preserve">      PE-stamped structural design &amp; DOB filing for the grid</t>
        </is>
      </c>
      <c r="C113" s="34" t="n">
        <v>1</v>
      </c>
      <c r="D113" s="35" t="inlineStr">
        <is>
          <t>LS</t>
        </is>
      </c>
      <c r="E113" s="36" t="n">
        <v>85000</v>
      </c>
      <c r="F113" s="37">
        <f>C113*E113</f>
        <v/>
      </c>
      <c r="G113" s="16" t="inlineStr">
        <is>
          <t>CODE. This is a permanent structure carrying live load over the public. It gets filed, not just built</t>
        </is>
      </c>
    </row>
    <row r="114" ht="13" customHeight="1">
      <c r="B114" s="5" t="inlineStr">
        <is>
          <t xml:space="preserve">      Load test &amp; certification</t>
        </is>
      </c>
      <c r="C114" s="34" t="n">
        <v>1</v>
      </c>
      <c r="D114" s="35" t="inlineStr">
        <is>
          <t>LS</t>
        </is>
      </c>
      <c r="E114" s="36" t="n">
        <v>28000</v>
      </c>
      <c r="F114" s="37">
        <f>C114*E114</f>
        <v/>
      </c>
      <c r="G114" s="16" t="inlineStr">
        <is>
          <t>CODE</t>
        </is>
      </c>
    </row>
    <row r="115" ht="21" customHeight="1">
      <c r="B115" s="5" t="inlineStr">
        <is>
          <t xml:space="preserve">      Access catwalk on the header lines</t>
        </is>
      </c>
      <c r="C115" s="34" t="n">
        <v>350</v>
      </c>
      <c r="D115" s="35" t="inlineStr">
        <is>
          <t>LF</t>
        </is>
      </c>
      <c r="E115" s="36" t="n">
        <v>185</v>
      </c>
      <c r="F115" s="37">
        <f>C115*E115</f>
        <v/>
      </c>
      <c r="G115" s="16" t="inlineStr">
        <is>
          <t>CUTTABLE. Lets you focus and service the grid without a lift on the floor. Drop it and you focus from a genie between load-ins</t>
        </is>
      </c>
    </row>
    <row r="116">
      <c r="B116" s="32" t="inlineStr">
        <is>
          <t xml:space="preserve">   Platforms &amp; FOH</t>
        </is>
      </c>
      <c r="C116" s="33" t="n"/>
      <c r="D116" s="33" t="n"/>
      <c r="E116" s="33" t="n"/>
      <c r="F116" s="33" t="n"/>
      <c r="G116" s="33" t="n"/>
    </row>
    <row r="117" ht="13" customHeight="1">
      <c r="B117" s="5" t="inlineStr">
        <is>
          <t xml:space="preserve">      VIP platforms &amp; decking fabrication</t>
        </is>
      </c>
      <c r="C117" s="34" t="n">
        <v>1</v>
      </c>
      <c r="D117" s="35" t="inlineStr">
        <is>
          <t>LS</t>
        </is>
      </c>
      <c r="E117" s="36" t="n">
        <v>136000</v>
      </c>
      <c r="F117" s="37">
        <f>C117*E117</f>
        <v/>
      </c>
      <c r="G117" s="16" t="inlineStr">
        <is>
          <t>FT actual, Mountain Production</t>
        </is>
      </c>
    </row>
    <row r="118" ht="42" customHeight="1">
      <c r="B118" s="5" t="inlineStr">
        <is>
          <t xml:space="preserve">      FOH platform / control position</t>
        </is>
      </c>
      <c r="C118" s="34" t="n">
        <v>1</v>
      </c>
      <c r="D118" s="35" t="inlineStr">
        <is>
          <t>LS</t>
        </is>
      </c>
      <c r="E118" s="36" t="n">
        <v>55000</v>
      </c>
      <c r="F118" s="37">
        <f>C118*E118</f>
        <v/>
      </c>
      <c r="G118" s="16" t="inlineStr">
        <is>
          <t>CORRECTED. This line previously carried $92,020, which is actually FT's LIGHTING TOWERS lot (Mountain Production), not a FOH platform. That figure now sits against the towers below where it belongs. A ~600 SF decked and railed control position with cable management is ~$55,000</t>
        </is>
      </c>
    </row>
    <row r="119" ht="13" customHeight="1">
      <c r="B119" s="5" t="inlineStr">
        <is>
          <t xml:space="preserve">      Stage decking</t>
        </is>
      </c>
      <c r="C119" s="34" t="n">
        <v>1</v>
      </c>
      <c r="D119" s="35" t="inlineStr">
        <is>
          <t>LS</t>
        </is>
      </c>
      <c r="E119" s="36" t="n">
        <v>50468</v>
      </c>
      <c r="F119" s="37">
        <f>C119*E119</f>
        <v/>
      </c>
      <c r="G119" s="16" t="inlineStr">
        <is>
          <t>FT actual, Kamilla Productions</t>
        </is>
      </c>
    </row>
    <row r="120">
      <c r="B120" s="32" t="inlineStr">
        <is>
          <t xml:space="preserve">   Erection labour &amp; equipment</t>
        </is>
      </c>
      <c r="C120" s="33" t="n"/>
      <c r="D120" s="33" t="n"/>
      <c r="E120" s="33" t="n"/>
      <c r="F120" s="33" t="n"/>
      <c r="G120" s="33" t="n"/>
    </row>
    <row r="121" ht="13" customHeight="1">
      <c r="B121" s="5" t="inlineStr">
        <is>
          <t xml:space="preserve">      Stage build labour</t>
        </is>
      </c>
      <c r="C121" s="34" t="n">
        <v>1</v>
      </c>
      <c r="D121" s="35" t="inlineStr">
        <is>
          <t>LS</t>
        </is>
      </c>
      <c r="E121" s="36" t="n">
        <v>122716</v>
      </c>
      <c r="F121" s="37">
        <f>C121*E121</f>
        <v/>
      </c>
      <c r="G121" s="16" t="inlineStr">
        <is>
          <t>FT actual, Island Productions</t>
        </is>
      </c>
    </row>
    <row r="122" ht="13" customHeight="1">
      <c r="B122" s="5" t="inlineStr">
        <is>
          <t xml:space="preserve">      Crane &amp; rigging for erection</t>
        </is>
      </c>
      <c r="C122" s="34" t="n">
        <v>1</v>
      </c>
      <c r="D122" s="35" t="inlineStr">
        <is>
          <t>LS</t>
        </is>
      </c>
      <c r="E122" s="36" t="n">
        <v>45000</v>
      </c>
      <c r="F122" s="37">
        <f>C122*E122</f>
        <v/>
      </c>
      <c r="G122" s="16" t="inlineStr">
        <is>
          <t>FT actual, George's Crane</t>
        </is>
      </c>
    </row>
    <row r="123" ht="13" customHeight="1">
      <c r="B123" s="5" t="inlineStr">
        <is>
          <t xml:space="preserve">      Heavy equipment &amp; lifts</t>
        </is>
      </c>
      <c r="C123" s="34" t="n">
        <v>1</v>
      </c>
      <c r="D123" s="35" t="inlineStr">
        <is>
          <t>LS</t>
        </is>
      </c>
      <c r="E123" s="36" t="n">
        <v>24390</v>
      </c>
      <c r="F123" s="37">
        <f>C123*E123</f>
        <v/>
      </c>
      <c r="G123" s="16" t="inlineStr">
        <is>
          <t>FT actual, HERC Rentals</t>
        </is>
      </c>
    </row>
    <row r="124">
      <c r="B124" s="30" t="inlineStr">
        <is>
          <t>400   ENVELOPE &amp; INTERIORS</t>
        </is>
      </c>
      <c r="C124" s="31" t="n"/>
      <c r="D124" s="31" t="n"/>
      <c r="E124" s="31" t="n"/>
      <c r="F124" s="31" t="n"/>
      <c r="G124" s="31" t="n"/>
    </row>
    <row r="125">
      <c r="B125" s="32" t="inlineStr">
        <is>
          <t xml:space="preserve">   Masonry</t>
        </is>
      </c>
      <c r="C125" s="33" t="n"/>
      <c r="D125" s="33" t="n"/>
      <c r="E125" s="33" t="n"/>
      <c r="F125" s="33" t="n"/>
      <c r="G125" s="33" t="n"/>
    </row>
    <row r="126" ht="13" customHeight="1">
      <c r="B126" s="5" t="inlineStr">
        <is>
          <t xml:space="preserve">      Patch &amp; repair existing masonry wall</t>
        </is>
      </c>
      <c r="C126" s="34" t="n">
        <v>9972</v>
      </c>
      <c r="D126" s="35" t="inlineStr">
        <is>
          <t>SF</t>
        </is>
      </c>
      <c r="E126" s="36" t="n">
        <v>10</v>
      </c>
      <c r="F126" s="37">
        <f>C126*E126</f>
        <v/>
      </c>
      <c r="G126" s="16" t="inlineStr">
        <is>
          <t>Dev budget 042000-1 rate &amp; qty</t>
        </is>
      </c>
    </row>
    <row r="127" ht="13" customHeight="1">
      <c r="B127" s="5" t="inlineStr">
        <is>
          <t xml:space="preserve">      CMU &amp; brick infill at removed windows/doors/grilles</t>
        </is>
      </c>
      <c r="C127" s="34" t="n">
        <v>1</v>
      </c>
      <c r="D127" s="35" t="inlineStr">
        <is>
          <t>LS</t>
        </is>
      </c>
      <c r="E127" s="36" t="n">
        <v>68000</v>
      </c>
      <c r="F127" s="37">
        <f>C127*E127</f>
        <v/>
      </c>
      <c r="G127" s="16" t="inlineStr">
        <is>
          <t>Dev budget 042000-3, QTY 0</t>
        </is>
      </c>
    </row>
    <row r="128" ht="13" customHeight="1">
      <c r="B128" s="5" t="inlineStr">
        <is>
          <t xml:space="preserve">      Repointing &amp; cleaning existing facade</t>
        </is>
      </c>
      <c r="C128" s="34" t="n">
        <v>1</v>
      </c>
      <c r="D128" s="35" t="inlineStr">
        <is>
          <t>LS</t>
        </is>
      </c>
      <c r="E128" s="36" t="n">
        <v>85000</v>
      </c>
      <c r="F128" s="37">
        <f>C128*E128</f>
        <v/>
      </c>
      <c r="G128" s="16" t="inlineStr">
        <is>
          <t>Dev budget 042000-4, QTY 0</t>
        </is>
      </c>
    </row>
    <row r="129" ht="31.5" customHeight="1">
      <c r="B129" s="5" t="inlineStr">
        <is>
          <t xml:space="preserve">      New CMU — see division 100</t>
        </is>
      </c>
      <c r="C129" s="34" t="n">
        <v>0</v>
      </c>
      <c r="D129" s="35" t="inlineStr">
        <is>
          <t>SF</t>
        </is>
      </c>
      <c r="E129" s="36" t="n">
        <v>0</v>
      </c>
      <c r="F129" s="37">
        <f>C129*E129</f>
        <v/>
      </c>
      <c r="G129" s="16" t="inlineStr">
        <is>
          <t>MOVED. The takeoff measures 39,248 SF of new CMU across the whole building and it is priced in division 100. Patching, infill and repointing of EXISTING masonry stay here.</t>
        </is>
      </c>
    </row>
    <row r="130">
      <c r="B130" s="32" t="inlineStr">
        <is>
          <t xml:space="preserve">   Doors, frames &amp; hardware</t>
        </is>
      </c>
      <c r="C130" s="33" t="n"/>
      <c r="D130" s="33" t="n"/>
      <c r="E130" s="33" t="n"/>
      <c r="F130" s="33" t="n"/>
      <c r="G130" s="33" t="n"/>
    </row>
    <row r="131" ht="13" customHeight="1">
      <c r="B131" s="5" t="inlineStr">
        <is>
          <t xml:space="preserve">      Single hollow metal doors, non-acoustic</t>
        </is>
      </c>
      <c r="C131" s="34" t="n">
        <v>64</v>
      </c>
      <c r="D131" s="35" t="inlineStr">
        <is>
          <t>EA</t>
        </is>
      </c>
      <c r="E131" s="36" t="n">
        <v>1800</v>
      </c>
      <c r="F131" s="37">
        <f>C131*E131</f>
        <v/>
      </c>
      <c r="G131" s="16" t="inlineStr">
        <is>
          <t>Dev budget 081000-1 rate, QTY 0</t>
        </is>
      </c>
    </row>
    <row r="132" ht="13" customHeight="1">
      <c r="B132" s="5" t="inlineStr">
        <is>
          <t xml:space="preserve">      Double hollow metal doors, non-acoustic</t>
        </is>
      </c>
      <c r="C132" s="34" t="n">
        <v>22</v>
      </c>
      <c r="D132" s="35" t="inlineStr">
        <is>
          <t>PAIR</t>
        </is>
      </c>
      <c r="E132" s="36" t="n">
        <v>2500</v>
      </c>
      <c r="F132" s="37">
        <f>C132*E132</f>
        <v/>
      </c>
      <c r="G132" s="16" t="inlineStr">
        <is>
          <t>Dev budget 081000-2 rate</t>
        </is>
      </c>
    </row>
    <row r="133" ht="13" customHeight="1">
      <c r="B133" s="5" t="inlineStr">
        <is>
          <t xml:space="preserve">      Acoustic doors at music hall</t>
        </is>
      </c>
      <c r="C133" s="34" t="n">
        <v>18</v>
      </c>
      <c r="D133" s="35" t="inlineStr">
        <is>
          <t>EA</t>
        </is>
      </c>
      <c r="E133" s="36" t="n">
        <v>6500</v>
      </c>
      <c r="F133" s="37">
        <f>C133*E133</f>
        <v/>
      </c>
      <c r="G133" s="16" t="inlineStr">
        <is>
          <t>Dev budget 081000-3 rate. Sound lock at every hall opening</t>
        </is>
      </c>
    </row>
    <row r="134" ht="13" customHeight="1">
      <c r="B134" s="5" t="inlineStr">
        <is>
          <t xml:space="preserve">      Acoustic double doors at music hall</t>
        </is>
      </c>
      <c r="C134" s="34" t="n">
        <v>10</v>
      </c>
      <c r="D134" s="35" t="inlineStr">
        <is>
          <t>PAIR</t>
        </is>
      </c>
      <c r="E134" s="36" t="n">
        <v>10000</v>
      </c>
      <c r="F134" s="37">
        <f>C134*E134</f>
        <v/>
      </c>
      <c r="G134" s="16" t="inlineStr">
        <is>
          <t>Dev budget 081000-4 rate</t>
        </is>
      </c>
    </row>
    <row r="135" ht="13" customHeight="1">
      <c r="B135" s="5" t="inlineStr">
        <is>
          <t xml:space="preserve">      Special doors (Eliason)</t>
        </is>
      </c>
      <c r="C135" s="34" t="n">
        <v>2</v>
      </c>
      <c r="D135" s="35" t="inlineStr">
        <is>
          <t>EA</t>
        </is>
      </c>
      <c r="E135" s="36" t="n">
        <v>3000</v>
      </c>
      <c r="F135" s="37">
        <f>C135*E135</f>
        <v/>
      </c>
      <c r="G135" s="16" t="inlineStr">
        <is>
          <t>Dev budget 083000-1, priced in file</t>
        </is>
      </c>
    </row>
    <row r="136" ht="13" customHeight="1">
      <c r="B136" s="5" t="inlineStr">
        <is>
          <t xml:space="preserve">      Door hardware, closers, panic devices</t>
        </is>
      </c>
      <c r="C136" s="34" t="n">
        <v>96</v>
      </c>
      <c r="D136" s="35" t="inlineStr">
        <is>
          <t>EA</t>
        </is>
      </c>
      <c r="E136" s="36" t="n">
        <v>950</v>
      </c>
      <c r="F136" s="37">
        <f>C136*E136</f>
        <v/>
      </c>
      <c r="G136" s="16" t="inlineStr">
        <is>
          <t>CODE — panic hardware on egress doors</t>
        </is>
      </c>
    </row>
    <row r="137" ht="13" customHeight="1">
      <c r="B137" s="5" t="inlineStr">
        <is>
          <t xml:space="preserve">      Install doors/frames/hardware</t>
        </is>
      </c>
      <c r="C137" s="34" t="n">
        <v>96</v>
      </c>
      <c r="D137" s="35" t="inlineStr">
        <is>
          <t>EA</t>
        </is>
      </c>
      <c r="E137" s="36" t="n">
        <v>650</v>
      </c>
      <c r="F137" s="37">
        <f>C137*E137</f>
        <v/>
      </c>
      <c r="G137" s="16" t="inlineStr">
        <is>
          <t>Dev budget 092000-7 rate</t>
        </is>
      </c>
    </row>
    <row r="138">
      <c r="B138" s="32" t="inlineStr">
        <is>
          <t xml:space="preserve">   Storefront &amp; glazing</t>
        </is>
      </c>
      <c r="C138" s="33" t="n"/>
      <c r="D138" s="33" t="n"/>
      <c r="E138" s="33" t="n"/>
      <c r="F138" s="33" t="n"/>
      <c r="G138" s="33" t="n"/>
    </row>
    <row r="139" ht="13" customHeight="1">
      <c r="B139" s="5" t="inlineStr">
        <is>
          <t xml:space="preserve">      New storefront with doors at entry</t>
        </is>
      </c>
      <c r="C139" s="34" t="n">
        <v>900</v>
      </c>
      <c r="D139" s="35" t="inlineStr">
        <is>
          <t>SF</t>
        </is>
      </c>
      <c r="E139" s="36" t="n">
        <v>250</v>
      </c>
      <c r="F139" s="37">
        <f>C139*E139</f>
        <v/>
      </c>
      <c r="G139" s="16" t="inlineStr">
        <is>
          <t>Dev budget 084100-1 rate, QTY 0</t>
        </is>
      </c>
    </row>
    <row r="140" ht="13" customHeight="1">
      <c r="B140" s="5" t="inlineStr">
        <is>
          <t xml:space="preserve">      Ballistic box office window</t>
        </is>
      </c>
      <c r="C140" s="34" t="n">
        <v>1</v>
      </c>
      <c r="D140" s="35" t="inlineStr">
        <is>
          <t>LOT</t>
        </is>
      </c>
      <c r="E140" s="36" t="n">
        <v>10000</v>
      </c>
      <c r="F140" s="37">
        <f>C140*E140</f>
        <v/>
      </c>
      <c r="G140" s="16" t="inlineStr">
        <is>
          <t>Dev budget 088000-5</t>
        </is>
      </c>
    </row>
    <row r="141" ht="13" customHeight="1">
      <c r="B141" s="5" t="inlineStr">
        <is>
          <t xml:space="preserve">      Mirrors at public restrooms &amp; green rooms</t>
        </is>
      </c>
      <c r="C141" s="34" t="n">
        <v>1</v>
      </c>
      <c r="D141" s="35" t="inlineStr">
        <is>
          <t>LOT</t>
        </is>
      </c>
      <c r="E141" s="36" t="n">
        <v>22000</v>
      </c>
      <c r="F141" s="37">
        <f>C141*E141</f>
        <v/>
      </c>
      <c r="G141" s="16" t="inlineStr">
        <is>
          <t>Dev budget 088000-2/3</t>
        </is>
      </c>
    </row>
    <row r="142" ht="13" customHeight="1">
      <c r="B142" s="5" t="inlineStr">
        <is>
          <t xml:space="preserve">      Mirror behind bars</t>
        </is>
      </c>
      <c r="C142" s="34" t="n">
        <v>1</v>
      </c>
      <c r="D142" s="35" t="inlineStr">
        <is>
          <t>LOT</t>
        </is>
      </c>
      <c r="E142" s="36" t="n">
        <v>35000</v>
      </c>
      <c r="F142" s="37">
        <f>C142*E142</f>
        <v/>
      </c>
      <c r="G142" s="16" t="inlineStr">
        <is>
          <t>Dev budget 088000-4</t>
        </is>
      </c>
    </row>
    <row r="143">
      <c r="B143" s="32" t="inlineStr">
        <is>
          <t xml:space="preserve">   Drywall &amp; partitions</t>
        </is>
      </c>
      <c r="C143" s="33" t="n"/>
      <c r="D143" s="33" t="n"/>
      <c r="E143" s="33" t="n"/>
      <c r="F143" s="33" t="n"/>
      <c r="G143" s="33" t="n"/>
    </row>
    <row r="144" ht="13" customHeight="1">
      <c r="B144" s="5" t="inlineStr">
        <is>
          <t xml:space="preserve">      Perimeter wall partition at existing exterior wall</t>
        </is>
      </c>
      <c r="C144" s="34" t="n">
        <v>9972</v>
      </c>
      <c r="D144" s="35" t="inlineStr">
        <is>
          <t>SF</t>
        </is>
      </c>
      <c r="E144" s="36" t="n">
        <v>12</v>
      </c>
      <c r="F144" s="37">
        <f>C144*E144</f>
        <v/>
      </c>
      <c r="G144" s="16" t="inlineStr">
        <is>
          <t>Dev budget 092000-1 rate &amp; qty</t>
        </is>
      </c>
    </row>
    <row r="145" ht="13" customHeight="1">
      <c r="B145" s="5" t="inlineStr">
        <is>
          <t xml:space="preserve">      Perimeter partition at new exterior wall</t>
        </is>
      </c>
      <c r="C145" s="34" t="n">
        <v>2022</v>
      </c>
      <c r="D145" s="35" t="inlineStr">
        <is>
          <t>SF</t>
        </is>
      </c>
      <c r="E145" s="36" t="n">
        <v>12</v>
      </c>
      <c r="F145" s="37">
        <f>C145*E145</f>
        <v/>
      </c>
      <c r="G145" s="16" t="inlineStr">
        <is>
          <t>Dev budget qty</t>
        </is>
      </c>
    </row>
    <row r="146" ht="13" customHeight="1">
      <c r="B146" s="5" t="inlineStr">
        <is>
          <t xml:space="preserve">      2HR fire-rated wall rear of stage, 20ft high</t>
        </is>
      </c>
      <c r="C146" s="34" t="n">
        <v>5565</v>
      </c>
      <c r="D146" s="35" t="inlineStr">
        <is>
          <t>SF</t>
        </is>
      </c>
      <c r="E146" s="36" t="n">
        <v>20</v>
      </c>
      <c r="F146" s="37">
        <f>C146*E146</f>
        <v/>
      </c>
      <c r="G146" s="16" t="inlineStr">
        <is>
          <t>Dev budget qty. CODE</t>
        </is>
      </c>
    </row>
    <row r="147" ht="13" customHeight="1">
      <c r="B147" s="5" t="inlineStr">
        <is>
          <t xml:space="preserve">      2HR fire-rated wall rear of music hall, 20ft high</t>
        </is>
      </c>
      <c r="C147" s="34" t="n">
        <v>2857</v>
      </c>
      <c r="D147" s="35" t="inlineStr">
        <is>
          <t>SF</t>
        </is>
      </c>
      <c r="E147" s="36" t="n">
        <v>20</v>
      </c>
      <c r="F147" s="37">
        <f>C147*E147</f>
        <v/>
      </c>
      <c r="G147" s="16" t="inlineStr">
        <is>
          <t>Dev budget qty. CODE</t>
        </is>
      </c>
    </row>
    <row r="148" ht="13" customHeight="1">
      <c r="B148" s="5" t="inlineStr">
        <is>
          <t xml:space="preserve">      Plywood 8ft AFF at stage walls</t>
        </is>
      </c>
      <c r="C148" s="34" t="n">
        <v>1672</v>
      </c>
      <c r="D148" s="35" t="inlineStr">
        <is>
          <t>SF</t>
        </is>
      </c>
      <c r="E148" s="36" t="n">
        <v>9</v>
      </c>
      <c r="F148" s="37">
        <f>C148*E148</f>
        <v/>
      </c>
      <c r="G148" s="16" t="inlineStr">
        <is>
          <t>Dev budget qty</t>
        </is>
      </c>
    </row>
    <row r="149" ht="13" customHeight="1">
      <c r="B149" s="5" t="inlineStr">
        <is>
          <t xml:space="preserve">      2in insulation above 8ft AFF to 38ft AFF</t>
        </is>
      </c>
      <c r="C149" s="34" t="n">
        <v>6932</v>
      </c>
      <c r="D149" s="35" t="inlineStr">
        <is>
          <t>SF</t>
        </is>
      </c>
      <c r="E149" s="36" t="n">
        <v>6</v>
      </c>
      <c r="F149" s="37">
        <f>C149*E149</f>
        <v/>
      </c>
      <c r="G149" s="16" t="inlineStr">
        <is>
          <t>Dev budget qty</t>
        </is>
      </c>
    </row>
    <row r="150" ht="13" customHeight="1">
      <c r="B150" s="5" t="inlineStr">
        <is>
          <t xml:space="preserve">      Proscenium wall</t>
        </is>
      </c>
      <c r="C150" s="34" t="n">
        <v>4194</v>
      </c>
      <c r="D150" s="35" t="inlineStr">
        <is>
          <t>SF</t>
        </is>
      </c>
      <c r="E150" s="36" t="n">
        <v>22</v>
      </c>
      <c r="F150" s="37">
        <f>C150*E150</f>
        <v/>
      </c>
      <c r="G150" s="16" t="inlineStr">
        <is>
          <t>Dev budget qty</t>
        </is>
      </c>
    </row>
    <row r="151" ht="13" customHeight="1">
      <c r="B151" s="5" t="inlineStr">
        <is>
          <t xml:space="preserve">      Interior sound/fire rated walls at stairs &amp; shafts</t>
        </is>
      </c>
      <c r="C151" s="34" t="n">
        <v>18000</v>
      </c>
      <c r="D151" s="35" t="inlineStr">
        <is>
          <t>SF</t>
        </is>
      </c>
      <c r="E151" s="36" t="n">
        <v>20</v>
      </c>
      <c r="F151" s="37">
        <f>C151*E151</f>
        <v/>
      </c>
      <c r="G151" s="16" t="inlineStr">
        <is>
          <t>Dev budget 092000-3 rate, QTY 0</t>
        </is>
      </c>
    </row>
    <row r="152" ht="13" customHeight="1">
      <c r="B152" s="5" t="inlineStr">
        <is>
          <t xml:space="preserve">      Interior non-rated partitions, BOH &amp; offices</t>
        </is>
      </c>
      <c r="C152" s="34" t="n">
        <v>14000</v>
      </c>
      <c r="D152" s="35" t="inlineStr">
        <is>
          <t>SF</t>
        </is>
      </c>
      <c r="E152" s="36" t="n">
        <v>12</v>
      </c>
      <c r="F152" s="37">
        <f>C152*E152</f>
        <v/>
      </c>
      <c r="G152" s="16" t="inlineStr">
        <is>
          <t>Dev budget 092000-4 rate, QTY 0</t>
        </is>
      </c>
    </row>
    <row r="153" ht="13" customHeight="1">
      <c r="B153" s="5" t="inlineStr">
        <is>
          <t xml:space="preserve">      Blocking</t>
        </is>
      </c>
      <c r="C153" s="34" t="n">
        <v>1</v>
      </c>
      <c r="D153" s="35" t="inlineStr">
        <is>
          <t>LS</t>
        </is>
      </c>
      <c r="E153" s="36" t="n">
        <v>30000</v>
      </c>
      <c r="F153" s="37">
        <f>C153*E153</f>
        <v/>
      </c>
      <c r="G153" s="16" t="inlineStr">
        <is>
          <t>Dev budget 092000-8</t>
        </is>
      </c>
    </row>
    <row r="154">
      <c r="B154" s="32" t="inlineStr">
        <is>
          <t xml:space="preserve">   Acoustic treatment — licence to operate</t>
        </is>
      </c>
      <c r="C154" s="33" t="n"/>
      <c r="D154" s="33" t="n"/>
      <c r="E154" s="33" t="n"/>
      <c r="F154" s="33" t="n"/>
      <c r="G154" s="33" t="n"/>
    </row>
    <row r="155" ht="21" customHeight="1">
      <c r="B155" s="5" t="inlineStr">
        <is>
          <t xml:space="preserve">      Acoustic panels at music hall walls</t>
        </is>
      </c>
      <c r="C155" s="34" t="n">
        <v>28000</v>
      </c>
      <c r="D155" s="35" t="inlineStr">
        <is>
          <t>SF</t>
        </is>
      </c>
      <c r="E155" s="36" t="n">
        <v>40</v>
      </c>
      <c r="F155" s="37">
        <f>C155*E155</f>
        <v/>
      </c>
      <c r="G155" s="16" t="inlineStr">
        <is>
          <t>Dev budget 100500-1 rate, QTY 0. The comparable venue died partly of noise</t>
        </is>
      </c>
    </row>
    <row r="156" ht="13" customHeight="1">
      <c r="B156" s="5" t="inlineStr">
        <is>
          <t xml:space="preserve">      K13 at underside of mezzanine &amp; hall ceilings</t>
        </is>
      </c>
      <c r="C156" s="34" t="n">
        <v>42000</v>
      </c>
      <c r="D156" s="35" t="inlineStr">
        <is>
          <t>SF</t>
        </is>
      </c>
      <c r="E156" s="36" t="n">
        <v>12</v>
      </c>
      <c r="F156" s="37">
        <f>C156*E156</f>
        <v/>
      </c>
      <c r="G156" s="16" t="inlineStr">
        <is>
          <t>Dev budget 100500-2 rate, QTY 0</t>
        </is>
      </c>
    </row>
    <row r="157" ht="13" customHeight="1">
      <c r="B157" s="5" t="inlineStr">
        <is>
          <t xml:space="preserve">      Isolation hangers &amp; resilient mounts</t>
        </is>
      </c>
      <c r="C157" s="34" t="n">
        <v>1</v>
      </c>
      <c r="D157" s="35" t="inlineStr">
        <is>
          <t>LS</t>
        </is>
      </c>
      <c r="E157" s="36" t="n">
        <v>145000</v>
      </c>
      <c r="F157" s="37">
        <f>C157*E157</f>
        <v/>
      </c>
      <c r="G157" s="16" t="inlineStr">
        <is>
          <t>Structure-borne isolation</t>
        </is>
      </c>
    </row>
    <row r="158" ht="13" customHeight="1">
      <c r="B158" s="5" t="inlineStr">
        <is>
          <t xml:space="preserve">      Acoustic sealant &amp; flanking control</t>
        </is>
      </c>
      <c r="C158" s="34" t="n">
        <v>1</v>
      </c>
      <c r="D158" s="35" t="inlineStr">
        <is>
          <t>LS</t>
        </is>
      </c>
      <c r="E158" s="36" t="n">
        <v>95000</v>
      </c>
      <c r="F158" s="37">
        <f>C158*E158</f>
        <v/>
      </c>
      <c r="G158" s="16" t="inlineStr"/>
    </row>
    <row r="159">
      <c r="B159" s="32" t="inlineStr">
        <is>
          <t xml:space="preserve">   Finishes</t>
        </is>
      </c>
      <c r="C159" s="33" t="n"/>
      <c r="D159" s="33" t="n"/>
      <c r="E159" s="33" t="n"/>
      <c r="F159" s="33" t="n"/>
      <c r="G159" s="33" t="n"/>
    </row>
    <row r="160" ht="13" customHeight="1">
      <c r="B160" s="5" t="inlineStr">
        <is>
          <t xml:space="preserve">      Tile at restroom floors &amp; walls</t>
        </is>
      </c>
      <c r="C160" s="34" t="n">
        <v>6200</v>
      </c>
      <c r="D160" s="35" t="inlineStr">
        <is>
          <t>SF</t>
        </is>
      </c>
      <c r="E160" s="36" t="n">
        <v>30</v>
      </c>
      <c r="F160" s="37">
        <f>C160*E160</f>
        <v/>
      </c>
      <c r="G160" s="16" t="inlineStr">
        <is>
          <t>Dev budget 092300-1/2 rate, QTY 0</t>
        </is>
      </c>
    </row>
    <row r="161" ht="13" customHeight="1">
      <c r="B161" s="5" t="inlineStr">
        <is>
          <t xml:space="preserve">      Sealed &amp; polished concrete elsewhere</t>
        </is>
      </c>
      <c r="C161" s="34" t="n">
        <v>52000</v>
      </c>
      <c r="D161" s="35" t="inlineStr">
        <is>
          <t>SF</t>
        </is>
      </c>
      <c r="E161" s="36" t="n">
        <v>8</v>
      </c>
      <c r="F161" s="37">
        <f>C161*E161</f>
        <v/>
      </c>
      <c r="G161" s="16" t="inlineStr">
        <is>
          <t>Dev budget 033000-12 rate. The Infinity aesthetic</t>
        </is>
      </c>
    </row>
    <row r="162" ht="13" customHeight="1">
      <c r="B162" s="5" t="inlineStr">
        <is>
          <t xml:space="preserve">      LVT at green rooms &amp; dressing rooms</t>
        </is>
      </c>
      <c r="C162" s="34" t="n">
        <v>3200</v>
      </c>
      <c r="D162" s="35" t="inlineStr">
        <is>
          <t>SF</t>
        </is>
      </c>
      <c r="E162" s="36" t="n">
        <v>10</v>
      </c>
      <c r="F162" s="37">
        <f>C162*E162</f>
        <v/>
      </c>
      <c r="G162" s="16" t="inlineStr">
        <is>
          <t>Dev budget 096000-2 rate</t>
        </is>
      </c>
    </row>
    <row r="163" ht="13" customHeight="1">
      <c r="B163" s="5" t="inlineStr">
        <is>
          <t xml:space="preserve">      Paint walls, doors, ceilings, exposed structure</t>
        </is>
      </c>
      <c r="C163" s="34" t="n">
        <v>80000</v>
      </c>
      <c r="D163" s="35" t="inlineStr">
        <is>
          <t>SF</t>
        </is>
      </c>
      <c r="E163" s="36" t="n">
        <v>2.5</v>
      </c>
      <c r="F163" s="37">
        <f>C163*E163</f>
        <v/>
      </c>
      <c r="G163" s="16" t="inlineStr">
        <is>
          <t>Dev budget 099000-1 rate, QTY 0</t>
        </is>
      </c>
    </row>
    <row r="164" ht="13" customHeight="1">
      <c r="B164" s="5" t="inlineStr">
        <is>
          <t xml:space="preserve">      Entry mats &amp; stair treads</t>
        </is>
      </c>
      <c r="C164" s="34" t="n">
        <v>1</v>
      </c>
      <c r="D164" s="35" t="inlineStr">
        <is>
          <t>LS</t>
        </is>
      </c>
      <c r="E164" s="36" t="n">
        <v>32500</v>
      </c>
      <c r="F164" s="37">
        <f>C164*E164</f>
        <v/>
      </c>
      <c r="G164" s="16" t="inlineStr">
        <is>
          <t>Dev budget 096000-6/7</t>
        </is>
      </c>
    </row>
    <row r="165">
      <c r="B165" s="32" t="inlineStr">
        <is>
          <t xml:space="preserve">   Specialties</t>
        </is>
      </c>
      <c r="C165" s="33" t="n"/>
      <c r="D165" s="33" t="n"/>
      <c r="E165" s="33" t="n"/>
      <c r="F165" s="33" t="n"/>
      <c r="G165" s="33" t="n"/>
    </row>
    <row r="166" ht="13" customHeight="1">
      <c r="B166" s="5" t="inlineStr">
        <is>
          <t xml:space="preserve">      Toilet partitions</t>
        </is>
      </c>
      <c r="C166" s="34" t="n">
        <v>60</v>
      </c>
      <c r="D166" s="35" t="inlineStr">
        <is>
          <t>EA</t>
        </is>
      </c>
      <c r="E166" s="36" t="n">
        <v>1500</v>
      </c>
      <c r="F166" s="37">
        <f>C166*E166</f>
        <v/>
      </c>
      <c r="G166" s="16" t="inlineStr">
        <is>
          <t>Dev budget 100000-3 rate, QTY 0</t>
        </is>
      </c>
    </row>
    <row r="167" ht="13" customHeight="1">
      <c r="B167" s="5" t="inlineStr">
        <is>
          <t xml:space="preserve">      Toilet accessories</t>
        </is>
      </c>
      <c r="C167" s="34" t="n">
        <v>30</v>
      </c>
      <c r="D167" s="35" t="inlineStr">
        <is>
          <t>SET</t>
        </is>
      </c>
      <c r="E167" s="36" t="n">
        <v>7500</v>
      </c>
      <c r="F167" s="37">
        <f>C167*E167</f>
        <v/>
      </c>
      <c r="G167" s="16" t="inlineStr">
        <is>
          <t>Dev budget 100000-2 rate</t>
        </is>
      </c>
    </row>
    <row r="168" ht="13" customHeight="1">
      <c r="B168" s="5" t="inlineStr">
        <is>
          <t xml:space="preserve">      Fire extinguishers &amp; cabinets</t>
        </is>
      </c>
      <c r="C168" s="34" t="n">
        <v>45</v>
      </c>
      <c r="D168" s="35" t="inlineStr">
        <is>
          <t>EA</t>
        </is>
      </c>
      <c r="E168" s="36" t="n">
        <v>350</v>
      </c>
      <c r="F168" s="37">
        <f>C168*E168</f>
        <v/>
      </c>
      <c r="G168" s="16" t="inlineStr">
        <is>
          <t>Dev budget 100000-1 rate. CODE</t>
        </is>
      </c>
    </row>
    <row r="169">
      <c r="B169" s="32" t="inlineStr">
        <is>
          <t xml:space="preserve">   Millwork</t>
        </is>
      </c>
      <c r="C169" s="33" t="n"/>
      <c r="D169" s="33" t="n"/>
      <c r="E169" s="33" t="n"/>
      <c r="F169" s="33" t="n"/>
      <c r="G169" s="33" t="n"/>
    </row>
    <row r="170" ht="13" customHeight="1">
      <c r="B170" s="5" t="inlineStr">
        <is>
          <t xml:space="preserve">      Bar &amp; back bar, six bars</t>
        </is>
      </c>
      <c r="C170" s="34" t="n">
        <v>380</v>
      </c>
      <c r="D170" s="35" t="inlineStr">
        <is>
          <t>LF</t>
        </is>
      </c>
      <c r="E170" s="36" t="n">
        <v>900</v>
      </c>
      <c r="F170" s="37">
        <f>C170*E170</f>
        <v/>
      </c>
      <c r="G170" s="16" t="inlineStr">
        <is>
          <t>Dev budget 064000 rate, QTY 0</t>
        </is>
      </c>
    </row>
    <row r="171" ht="13" customHeight="1">
      <c r="B171" s="5" t="inlineStr">
        <is>
          <t xml:space="preserve">      Decorative feature above each back bar</t>
        </is>
      </c>
      <c r="C171" s="34" t="n">
        <v>6</v>
      </c>
      <c r="D171" s="35" t="inlineStr">
        <is>
          <t>EA</t>
        </is>
      </c>
      <c r="E171" s="36" t="n">
        <v>10000</v>
      </c>
      <c r="F171" s="37">
        <f>C171*E171</f>
        <v/>
      </c>
      <c r="G171" s="16" t="inlineStr">
        <is>
          <t>Dev budget 064000-9</t>
        </is>
      </c>
    </row>
    <row r="172" ht="13" customHeight="1">
      <c r="B172" s="5" t="inlineStr">
        <is>
          <t xml:space="preserve">      Box office millwork</t>
        </is>
      </c>
      <c r="C172" s="34" t="n">
        <v>40</v>
      </c>
      <c r="D172" s="35" t="inlineStr">
        <is>
          <t>LF</t>
        </is>
      </c>
      <c r="E172" s="36" t="n">
        <v>500</v>
      </c>
      <c r="F172" s="37">
        <f>C172*E172</f>
        <v/>
      </c>
      <c r="G172" s="16" t="inlineStr">
        <is>
          <t>Dev budget 064000-18 rate</t>
        </is>
      </c>
    </row>
    <row r="173" ht="13" customHeight="1">
      <c r="B173" s="5" t="inlineStr">
        <is>
          <t xml:space="preserve">      Merchandise millwork</t>
        </is>
      </c>
      <c r="C173" s="34" t="n">
        <v>1</v>
      </c>
      <c r="D173" s="35" t="inlineStr">
        <is>
          <t>LS</t>
        </is>
      </c>
      <c r="E173" s="36" t="n">
        <v>12000</v>
      </c>
      <c r="F173" s="37">
        <f>C173*E173</f>
        <v/>
      </c>
      <c r="G173" s="16" t="inlineStr">
        <is>
          <t>Dev budget 064000-12</t>
        </is>
      </c>
    </row>
    <row r="174" ht="13" customHeight="1">
      <c r="B174" s="5" t="inlineStr">
        <is>
          <t xml:space="preserve">      Public restroom countertops</t>
        </is>
      </c>
      <c r="C174" s="34" t="n">
        <v>120</v>
      </c>
      <c r="D174" s="35" t="inlineStr">
        <is>
          <t>LF</t>
        </is>
      </c>
      <c r="E174" s="36" t="n">
        <v>400</v>
      </c>
      <c r="F174" s="37">
        <f>C174*E174</f>
        <v/>
      </c>
      <c r="G174" s="16" t="inlineStr">
        <is>
          <t>Dev budget 064000-11 rate</t>
        </is>
      </c>
    </row>
    <row r="175" ht="13" customHeight="1">
      <c r="B175" s="5" t="inlineStr">
        <is>
          <t xml:space="preserve">      Green room bathrooms &amp; countertops</t>
        </is>
      </c>
      <c r="C175" s="34" t="n">
        <v>60</v>
      </c>
      <c r="D175" s="35" t="inlineStr">
        <is>
          <t>LF</t>
        </is>
      </c>
      <c r="E175" s="36" t="n">
        <v>350</v>
      </c>
      <c r="F175" s="37">
        <f>C175*E175</f>
        <v/>
      </c>
      <c r="G175" s="16" t="inlineStr">
        <is>
          <t>Dev budget 064000-10 rate</t>
        </is>
      </c>
    </row>
    <row r="176" ht="13" customHeight="1">
      <c r="B176" s="5" t="inlineStr">
        <is>
          <t xml:space="preserve">      Coat check shelf &amp; pole</t>
        </is>
      </c>
      <c r="C176" s="34" t="n">
        <v>50</v>
      </c>
      <c r="D176" s="35" t="inlineStr">
        <is>
          <t>LF</t>
        </is>
      </c>
      <c r="E176" s="36" t="n">
        <v>150</v>
      </c>
      <c r="F176" s="37">
        <f>C176*E176</f>
        <v/>
      </c>
      <c r="G176" s="16" t="inlineStr">
        <is>
          <t>Dev budget 064000-14 rate</t>
        </is>
      </c>
    </row>
    <row r="177">
      <c r="B177" s="32" t="inlineStr">
        <is>
          <t xml:space="preserve">   Signage &amp; wayfinding</t>
        </is>
      </c>
      <c r="C177" s="33" t="n"/>
      <c r="D177" s="33" t="n"/>
      <c r="E177" s="33" t="n"/>
      <c r="F177" s="33" t="n"/>
      <c r="G177" s="33" t="n"/>
    </row>
    <row r="178" ht="13" customHeight="1">
      <c r="B178" s="5" t="inlineStr">
        <is>
          <t xml:space="preserve">      Interior wayfinding &amp; ADA signage</t>
        </is>
      </c>
      <c r="C178" s="34" t="n">
        <v>1</v>
      </c>
      <c r="D178" s="35" t="inlineStr">
        <is>
          <t>LS</t>
        </is>
      </c>
      <c r="E178" s="36" t="n">
        <v>100000</v>
      </c>
      <c r="F178" s="37">
        <f>C178*E178</f>
        <v/>
      </c>
      <c r="G178" s="16" t="inlineStr">
        <is>
          <t>CODE — egress and ADA portions</t>
        </is>
      </c>
    </row>
    <row r="179" ht="13" customHeight="1">
      <c r="B179" s="5" t="inlineStr">
        <is>
          <t xml:space="preserve">      Interior door signs &amp; directional</t>
        </is>
      </c>
      <c r="C179" s="34" t="n">
        <v>1</v>
      </c>
      <c r="D179" s="35" t="inlineStr">
        <is>
          <t>LOT</t>
        </is>
      </c>
      <c r="E179" s="36" t="n">
        <v>25000</v>
      </c>
      <c r="F179" s="37">
        <f>C179*E179</f>
        <v/>
      </c>
      <c r="G179" s="16" t="inlineStr">
        <is>
          <t>Dev budget 101400</t>
        </is>
      </c>
    </row>
    <row r="180">
      <c r="B180" s="32" t="inlineStr">
        <is>
          <t xml:space="preserve">   Rough carpentry &amp; protection</t>
        </is>
      </c>
      <c r="C180" s="33" t="n"/>
      <c r="D180" s="33" t="n"/>
      <c r="E180" s="33" t="n"/>
      <c r="F180" s="33" t="n"/>
      <c r="G180" s="33" t="n"/>
    </row>
    <row r="181" ht="13" customHeight="1">
      <c r="B181" s="5" t="inlineStr">
        <is>
          <t xml:space="preserve">      Safety protection at roof cut-out</t>
        </is>
      </c>
      <c r="C181" s="34" t="n">
        <v>1</v>
      </c>
      <c r="D181" s="35" t="inlineStr">
        <is>
          <t>LS</t>
        </is>
      </c>
      <c r="E181" s="36" t="n">
        <v>35000</v>
      </c>
      <c r="F181" s="37">
        <f>C181*E181</f>
        <v/>
      </c>
      <c r="G181" s="16" t="inlineStr">
        <is>
          <t>Dev budget 062000-1</t>
        </is>
      </c>
    </row>
    <row r="182" ht="13" customHeight="1">
      <c r="B182" s="5" t="inlineStr">
        <is>
          <t xml:space="preserve">      Safety protection at footing trenches</t>
        </is>
      </c>
      <c r="C182" s="34" t="n">
        <v>1</v>
      </c>
      <c r="D182" s="35" t="inlineStr">
        <is>
          <t>LS</t>
        </is>
      </c>
      <c r="E182" s="36" t="n">
        <v>30000</v>
      </c>
      <c r="F182" s="37">
        <f>C182*E182</f>
        <v/>
      </c>
      <c r="G182" s="16" t="inlineStr">
        <is>
          <t>Dev budget 062000-2</t>
        </is>
      </c>
    </row>
    <row r="183" ht="21" customHeight="1">
      <c r="B183" s="5" t="inlineStr">
        <is>
          <t xml:space="preserve">      Safety at new raised levels</t>
        </is>
      </c>
      <c r="C183" s="34" t="n">
        <v>46019</v>
      </c>
      <c r="D183" s="35" t="inlineStr">
        <is>
          <t>SF</t>
        </is>
      </c>
      <c r="E183" s="36" t="n">
        <v>2</v>
      </c>
      <c r="F183" s="37">
        <f>C183*E183</f>
        <v/>
      </c>
      <c r="G183" s="16" t="inlineStr">
        <is>
          <t>RESCALED from 14,000 SF to the measured 46,019 SF of elevated floor and tiered seating.</t>
        </is>
      </c>
    </row>
    <row r="184" ht="13" customHeight="1">
      <c r="B184" s="5" t="inlineStr">
        <is>
          <t xml:space="preserve">      Rough carpentry at stage area</t>
        </is>
      </c>
      <c r="C184" s="34" t="n">
        <v>3500</v>
      </c>
      <c r="D184" s="35" t="inlineStr">
        <is>
          <t>SF</t>
        </is>
      </c>
      <c r="E184" s="36" t="n">
        <v>5</v>
      </c>
      <c r="F184" s="37">
        <f>C184*E184</f>
        <v/>
      </c>
      <c r="G184" s="16" t="inlineStr">
        <is>
          <t>Dev budget 062000-5 rate</t>
        </is>
      </c>
    </row>
    <row r="185" ht="13" customHeight="1">
      <c r="B185" s="5" t="inlineStr">
        <is>
          <t xml:space="preserve">      Diamond plate at loading dock walls</t>
        </is>
      </c>
      <c r="C185" s="34" t="n">
        <v>1</v>
      </c>
      <c r="D185" s="35" t="inlineStr">
        <is>
          <t>LS</t>
        </is>
      </c>
      <c r="E185" s="36" t="n">
        <v>18000</v>
      </c>
      <c r="F185" s="37">
        <f>C185*E185</f>
        <v/>
      </c>
      <c r="G185" s="16" t="inlineStr">
        <is>
          <t>Dev budget 092000-10</t>
        </is>
      </c>
    </row>
    <row r="186">
      <c r="B186" s="30" t="inlineStr">
        <is>
          <t>500   MEP</t>
        </is>
      </c>
      <c r="C186" s="31" t="n"/>
      <c r="D186" s="31" t="n"/>
      <c r="E186" s="31" t="n"/>
      <c r="F186" s="31" t="n"/>
      <c r="G186" s="31" t="n"/>
    </row>
    <row r="187">
      <c r="B187" s="32" t="inlineStr">
        <is>
          <t xml:space="preserve">   HVAC</t>
        </is>
      </c>
      <c r="C187" s="33" t="n"/>
      <c r="D187" s="33" t="n"/>
      <c r="E187" s="33" t="n"/>
      <c r="F187" s="33" t="n"/>
      <c r="G187" s="33" t="n"/>
    </row>
    <row r="188" ht="13" customHeight="1">
      <c r="B188" s="5" t="inlineStr">
        <is>
          <t xml:space="preserve">      Air handling &amp; distribution</t>
        </is>
      </c>
      <c r="C188" s="34" t="n">
        <v>74100</v>
      </c>
      <c r="D188" s="35" t="inlineStr">
        <is>
          <t>SF</t>
        </is>
      </c>
      <c r="E188" s="36" t="n">
        <v>26</v>
      </c>
      <c r="F188" s="37">
        <f>C188*E188</f>
        <v/>
      </c>
      <c r="G188" s="16" t="inlineStr">
        <is>
          <t>CORRECTED to the 74,100 SF basis. Filed at 120,000 SF x $40</t>
        </is>
      </c>
    </row>
    <row r="189" ht="13" customHeight="1">
      <c r="B189" s="5" t="inlineStr">
        <is>
          <t xml:space="preserve">      Chiller plant, 400-500 ton</t>
        </is>
      </c>
      <c r="C189" s="34" t="n">
        <v>450</v>
      </c>
      <c r="D189" s="35" t="inlineStr">
        <is>
          <t>TON</t>
        </is>
      </c>
      <c r="E189" s="36" t="n">
        <v>3100</v>
      </c>
      <c r="F189" s="37">
        <f>C189*E189</f>
        <v/>
      </c>
      <c r="G189" s="16" t="inlineStr">
        <is>
          <t>People alone are ~250 tons at 7,440 occupants</t>
        </is>
      </c>
    </row>
    <row r="190" ht="13" customHeight="1">
      <c r="B190" s="5" t="inlineStr">
        <is>
          <t xml:space="preserve">      Ductwork, diffusers, VAV</t>
        </is>
      </c>
      <c r="C190" s="34" t="n">
        <v>74100</v>
      </c>
      <c r="D190" s="35" t="inlineStr">
        <is>
          <t>SF</t>
        </is>
      </c>
      <c r="E190" s="36" t="n">
        <v>9.5</v>
      </c>
      <c r="F190" s="37">
        <f>C190*E190</f>
        <v/>
      </c>
      <c r="G190" s="16" t="inlineStr"/>
    </row>
    <row r="191" ht="13" customHeight="1">
      <c r="B191" s="5" t="inlineStr">
        <is>
          <t xml:space="preserve">      Building management system</t>
        </is>
      </c>
      <c r="C191" s="34" t="n">
        <v>1</v>
      </c>
      <c r="D191" s="35" t="inlineStr">
        <is>
          <t>LS</t>
        </is>
      </c>
      <c r="E191" s="36" t="n">
        <v>500000</v>
      </c>
      <c r="F191" s="37">
        <f>C191*E191</f>
        <v/>
      </c>
      <c r="G191" s="16" t="inlineStr">
        <is>
          <t>Dev budget 230000-2, priced in file</t>
        </is>
      </c>
    </row>
    <row r="192" ht="42" customHeight="1">
      <c r="B192" s="5" t="inlineStr">
        <is>
          <t xml:space="preserve">      Toilet &amp; BOH exhaust</t>
        </is>
      </c>
      <c r="C192" s="34" t="n">
        <v>1</v>
      </c>
      <c r="D192" s="35" t="inlineStr">
        <is>
          <t>LS</t>
        </is>
      </c>
      <c r="E192" s="36" t="n">
        <v>95000</v>
      </c>
      <c r="F192" s="37">
        <f>C192*E192</f>
        <v/>
      </c>
      <c r="G192" s="16" t="inlineStr">
        <is>
          <t>WAS 'Kitchen &amp; toilet exhaust' at $165,000. Kitchen exhaust moved to division 800 so the kitchen toggle actually controls every kitchen dollar. Toilet and BOH exhaust stay here because you need them whatever you do about food</t>
        </is>
      </c>
    </row>
    <row r="193" ht="13" customHeight="1">
      <c r="B193" s="5" t="inlineStr">
        <is>
          <t xml:space="preserve">      Smoke control / exhaust at the hall</t>
        </is>
      </c>
      <c r="C193" s="34" t="n">
        <v>1</v>
      </c>
      <c r="D193" s="35" t="inlineStr">
        <is>
          <t>LS</t>
        </is>
      </c>
      <c r="E193" s="36" t="n">
        <v>420000</v>
      </c>
      <c r="F193" s="37">
        <f>C193*E193</f>
        <v/>
      </c>
      <c r="G193" s="16" t="inlineStr">
        <is>
          <t>CODE — large-volume assembly space</t>
        </is>
      </c>
    </row>
    <row r="194" ht="13" customHeight="1">
      <c r="B194" s="5" t="inlineStr">
        <is>
          <t xml:space="preserve">      Testing, adjusting &amp; balancing</t>
        </is>
      </c>
      <c r="C194" s="34" t="n">
        <v>1</v>
      </c>
      <c r="D194" s="35" t="inlineStr">
        <is>
          <t>LS</t>
        </is>
      </c>
      <c r="E194" s="36" t="n">
        <v>95000</v>
      </c>
      <c r="F194" s="37">
        <f>C194*E194</f>
        <v/>
      </c>
      <c r="G194" s="16" t="inlineStr"/>
    </row>
    <row r="195">
      <c r="B195" s="32" t="inlineStr">
        <is>
          <t xml:space="preserve">   Heating</t>
        </is>
      </c>
      <c r="C195" s="33" t="n"/>
      <c r="D195" s="33" t="n"/>
      <c r="E195" s="33" t="n"/>
      <c r="F195" s="33" t="n"/>
      <c r="G195" s="33" t="n"/>
    </row>
    <row r="196" ht="21" customHeight="1">
      <c r="B196" s="5" t="inlineStr">
        <is>
          <t xml:space="preserve">      Radiant tube / panel heating at height</t>
        </is>
      </c>
      <c r="C196" s="34" t="n">
        <v>74100</v>
      </c>
      <c r="D196" s="35" t="inlineStr">
        <is>
          <t>SF</t>
        </is>
      </c>
      <c r="E196" s="36" t="n">
        <v>11</v>
      </c>
      <c r="F196" s="37">
        <f>C196*E196</f>
        <v/>
      </c>
      <c r="G196" s="16" t="inlineStr">
        <is>
          <t>No heating scope in the dev budget at all. Forced air fails at a 50ft ceiling</t>
        </is>
      </c>
    </row>
    <row r="197">
      <c r="B197" s="32" t="inlineStr">
        <is>
          <t xml:space="preserve">   Fire protection</t>
        </is>
      </c>
      <c r="C197" s="33" t="n"/>
      <c r="D197" s="33" t="n"/>
      <c r="E197" s="33" t="n"/>
      <c r="F197" s="33" t="n"/>
      <c r="G197" s="33" t="n"/>
    </row>
    <row r="198" ht="13" customHeight="1">
      <c r="B198" s="5" t="inlineStr">
        <is>
          <t xml:space="preserve">      Rework existing sprinkler, first floor</t>
        </is>
      </c>
      <c r="C198" s="34" t="n">
        <v>69000</v>
      </c>
      <c r="D198" s="35" t="inlineStr">
        <is>
          <t>SF</t>
        </is>
      </c>
      <c r="E198" s="36" t="n">
        <v>7</v>
      </c>
      <c r="F198" s="37">
        <f>C198*E198</f>
        <v/>
      </c>
      <c r="G198" s="16" t="inlineStr">
        <is>
          <t>Dev budget 210000-1 rate &amp; qty</t>
        </is>
      </c>
    </row>
    <row r="199" ht="13" customHeight="1">
      <c r="B199" s="5" t="inlineStr">
        <is>
          <t xml:space="preserve">      New sprinkler &amp; mains at mezzanine</t>
        </is>
      </c>
      <c r="C199" s="34" t="n">
        <v>14000</v>
      </c>
      <c r="D199" s="35" t="inlineStr">
        <is>
          <t>SF</t>
        </is>
      </c>
      <c r="E199" s="36" t="n">
        <v>10</v>
      </c>
      <c r="F199" s="37">
        <f>C199*E199</f>
        <v/>
      </c>
      <c r="G199" s="16" t="inlineStr">
        <is>
          <t>Dev budget 210000-2 rate</t>
        </is>
      </c>
    </row>
    <row r="200" ht="13" customHeight="1">
      <c r="B200" s="5" t="inlineStr">
        <is>
          <t xml:space="preserve">      Standpipe &amp; booster pump</t>
        </is>
      </c>
      <c r="C200" s="34" t="n">
        <v>1</v>
      </c>
      <c r="D200" s="35" t="inlineStr">
        <is>
          <t>LS</t>
        </is>
      </c>
      <c r="E200" s="36" t="n">
        <v>185000</v>
      </c>
      <c r="F200" s="37">
        <f>C200*E200</f>
        <v/>
      </c>
      <c r="G200" s="16" t="inlineStr">
        <is>
          <t>Dev budget 260000 references a standpipe booster pump</t>
        </is>
      </c>
    </row>
    <row r="201" ht="13" customHeight="1">
      <c r="B201" s="5" t="inlineStr">
        <is>
          <t xml:space="preserve">      Fire pump &amp; controller</t>
        </is>
      </c>
      <c r="C201" s="34" t="n">
        <v>1</v>
      </c>
      <c r="D201" s="35" t="inlineStr">
        <is>
          <t>LS</t>
        </is>
      </c>
      <c r="E201" s="36" t="n">
        <v>145000</v>
      </c>
      <c r="F201" s="37">
        <f>C201*E201</f>
        <v/>
      </c>
      <c r="G201" s="16" t="inlineStr">
        <is>
          <t>CODE at this height and area</t>
        </is>
      </c>
    </row>
    <row r="202" ht="13" customHeight="1">
      <c r="B202" s="5" t="inlineStr">
        <is>
          <t xml:space="preserve">      Safe-off / disconnect</t>
        </is>
      </c>
      <c r="C202" s="34" t="n">
        <v>1</v>
      </c>
      <c r="D202" s="35" t="inlineStr">
        <is>
          <t>LS</t>
        </is>
      </c>
      <c r="E202" s="36" t="n">
        <v>10000</v>
      </c>
      <c r="F202" s="37">
        <f>C202*E202</f>
        <v/>
      </c>
      <c r="G202" s="16" t="inlineStr">
        <is>
          <t>Dev budget 210000, priced in file</t>
        </is>
      </c>
    </row>
    <row r="203">
      <c r="B203" s="32" t="inlineStr">
        <is>
          <t xml:space="preserve">   Fire alarm &amp; detection</t>
        </is>
      </c>
      <c r="C203" s="33" t="n"/>
      <c r="D203" s="33" t="n"/>
      <c r="E203" s="33" t="n"/>
      <c r="F203" s="33" t="n"/>
      <c r="G203" s="33" t="n"/>
    </row>
    <row r="204" ht="13" customHeight="1">
      <c r="B204" s="5" t="inlineStr">
        <is>
          <t xml:space="preserve">      Fire alarm system</t>
        </is>
      </c>
      <c r="C204" s="34" t="n">
        <v>88100</v>
      </c>
      <c r="D204" s="35" t="inlineStr">
        <is>
          <t>SF</t>
        </is>
      </c>
      <c r="E204" s="36" t="n">
        <v>2.5</v>
      </c>
      <c r="F204" s="37">
        <f>C204*E204</f>
        <v/>
      </c>
      <c r="G204" s="16" t="inlineStr">
        <is>
          <t>Dev budget 283100-1 rate, corrected to 88,100 SF protected floor</t>
        </is>
      </c>
    </row>
    <row r="205" ht="13" customHeight="1">
      <c r="B205" s="5" t="inlineStr">
        <is>
          <t xml:space="preserve">      Vesda aspirating detection, music hall</t>
        </is>
      </c>
      <c r="C205" s="34" t="n">
        <v>1</v>
      </c>
      <c r="D205" s="35" t="inlineStr">
        <is>
          <t>LS</t>
        </is>
      </c>
      <c r="E205" s="36" t="n">
        <v>150000</v>
      </c>
      <c r="F205" s="37">
        <f>C205*E205</f>
        <v/>
      </c>
      <c r="G205" s="16" t="inlineStr">
        <is>
          <t>Dev budget 283100-2, priced in file</t>
        </is>
      </c>
    </row>
    <row r="206" ht="13" customHeight="1">
      <c r="B206" s="5" t="inlineStr">
        <is>
          <t xml:space="preserve">      FDNY filing, inspection &amp; TCO affidavit</t>
        </is>
      </c>
      <c r="C206" s="34" t="n">
        <v>1</v>
      </c>
      <c r="D206" s="35" t="inlineStr">
        <is>
          <t>LS</t>
        </is>
      </c>
      <c r="E206" s="36" t="n">
        <v>35000</v>
      </c>
      <c r="F206" s="37">
        <f>C206*E206</f>
        <v/>
      </c>
      <c r="G206" s="16" t="inlineStr">
        <is>
          <t>Dev budget soft cost 209</t>
        </is>
      </c>
    </row>
    <row r="207">
      <c r="B207" s="32" t="inlineStr">
        <is>
          <t xml:space="preserve">   Plumbing</t>
        </is>
      </c>
      <c r="C207" s="33" t="n"/>
      <c r="D207" s="33" t="n"/>
      <c r="E207" s="33" t="n"/>
      <c r="F207" s="33" t="n"/>
      <c r="G207" s="33" t="n"/>
    </row>
    <row r="208" ht="13" customHeight="1">
      <c r="B208" s="5" t="inlineStr">
        <is>
          <t xml:space="preserve">      Water closets</t>
        </is>
      </c>
      <c r="C208" s="34" t="n">
        <v>60</v>
      </c>
      <c r="D208" s="35" t="inlineStr">
        <is>
          <t>EA</t>
        </is>
      </c>
      <c r="E208" s="36" t="n">
        <v>5500</v>
      </c>
      <c r="F208" s="37">
        <f>C208*E208</f>
        <v/>
      </c>
      <c r="G208" s="16" t="inlineStr">
        <is>
          <t>Dev budget 220000-2, priced in file. CODE fixture count</t>
        </is>
      </c>
    </row>
    <row r="209" ht="13" customHeight="1">
      <c r="B209" s="5" t="inlineStr">
        <is>
          <t xml:space="preserve">      Lavatories</t>
        </is>
      </c>
      <c r="C209" s="34" t="n">
        <v>78</v>
      </c>
      <c r="D209" s="35" t="inlineStr">
        <is>
          <t>EA</t>
        </is>
      </c>
      <c r="E209" s="36" t="n">
        <v>5500</v>
      </c>
      <c r="F209" s="37">
        <f>C209*E209</f>
        <v/>
      </c>
      <c r="G209" s="16" t="inlineStr">
        <is>
          <t>Dev budget 220000-3</t>
        </is>
      </c>
    </row>
    <row r="210" ht="13" customHeight="1">
      <c r="B210" s="5" t="inlineStr">
        <is>
          <t xml:space="preserve">      Urinals</t>
        </is>
      </c>
      <c r="C210" s="34" t="n">
        <v>51</v>
      </c>
      <c r="D210" s="35" t="inlineStr">
        <is>
          <t>EA</t>
        </is>
      </c>
      <c r="E210" s="36" t="n">
        <v>5500</v>
      </c>
      <c r="F210" s="37">
        <f>C210*E210</f>
        <v/>
      </c>
      <c r="G210" s="16" t="inlineStr">
        <is>
          <t>Dev budget 220000-4</t>
        </is>
      </c>
    </row>
    <row r="211" ht="13" customHeight="1">
      <c r="B211" s="5" t="inlineStr">
        <is>
          <t xml:space="preserve">      Showers</t>
        </is>
      </c>
      <c r="C211" s="34" t="n">
        <v>6</v>
      </c>
      <c r="D211" s="35" t="inlineStr">
        <is>
          <t>EA</t>
        </is>
      </c>
      <c r="E211" s="36" t="n">
        <v>7500</v>
      </c>
      <c r="F211" s="37">
        <f>C211*E211</f>
        <v/>
      </c>
      <c r="G211" s="16" t="inlineStr">
        <is>
          <t>Dev budget 220000-5</t>
        </is>
      </c>
    </row>
    <row r="212" ht="13" customHeight="1">
      <c r="B212" s="5" t="inlineStr">
        <is>
          <t xml:space="preserve">      Green room sinks</t>
        </is>
      </c>
      <c r="C212" s="34" t="n">
        <v>6</v>
      </c>
      <c r="D212" s="35" t="inlineStr">
        <is>
          <t>EA</t>
        </is>
      </c>
      <c r="E212" s="36" t="n">
        <v>5500</v>
      </c>
      <c r="F212" s="37">
        <f>C212*E212</f>
        <v/>
      </c>
      <c r="G212" s="16" t="inlineStr">
        <is>
          <t>Dev budget 220000-6</t>
        </is>
      </c>
    </row>
    <row r="213" ht="13" customHeight="1">
      <c r="B213" s="5" t="inlineStr">
        <is>
          <t xml:space="preserve">      Floor drains &amp; sinks</t>
        </is>
      </c>
      <c r="C213" s="34" t="n">
        <v>40</v>
      </c>
      <c r="D213" s="35" t="inlineStr">
        <is>
          <t>EA</t>
        </is>
      </c>
      <c r="E213" s="36" t="n">
        <v>3500</v>
      </c>
      <c r="F213" s="37">
        <f>C213*E213</f>
        <v/>
      </c>
      <c r="G213" s="16" t="inlineStr">
        <is>
          <t>Dev budget 220000-8</t>
        </is>
      </c>
    </row>
    <row r="214" ht="13" customHeight="1">
      <c r="B214" s="5" t="inlineStr">
        <is>
          <t xml:space="preserve">      Electric water heaters</t>
        </is>
      </c>
      <c r="C214" s="34" t="n">
        <v>10</v>
      </c>
      <c r="D214" s="35" t="inlineStr">
        <is>
          <t>EA</t>
        </is>
      </c>
      <c r="E214" s="36" t="n">
        <v>7500</v>
      </c>
      <c r="F214" s="37">
        <f>C214*E214</f>
        <v/>
      </c>
      <c r="G214" s="16" t="inlineStr">
        <is>
          <t>Dev budget 220000-9</t>
        </is>
      </c>
    </row>
    <row r="215" ht="13" customHeight="1">
      <c r="B215" s="5" t="inlineStr">
        <is>
          <t xml:space="preserve">      Bar roughing, six bars</t>
        </is>
      </c>
      <c r="C215" s="34" t="n">
        <v>6</v>
      </c>
      <c r="D215" s="35" t="inlineStr">
        <is>
          <t>EA</t>
        </is>
      </c>
      <c r="E215" s="36" t="n">
        <v>44167</v>
      </c>
      <c r="F215" s="37">
        <f>C215*E215</f>
        <v/>
      </c>
      <c r="G215" s="16" t="inlineStr">
        <is>
          <t>Dev budget 220000-11/12/13 rates, QTY 0</t>
        </is>
      </c>
    </row>
    <row r="216" ht="13" customHeight="1">
      <c r="B216" s="5" t="inlineStr">
        <is>
          <t xml:space="preserve">      Gas piping to equipment</t>
        </is>
      </c>
      <c r="C216" s="34" t="n">
        <v>1</v>
      </c>
      <c r="D216" s="35" t="inlineStr">
        <is>
          <t>LS</t>
        </is>
      </c>
      <c r="E216" s="36" t="n">
        <v>55000</v>
      </c>
      <c r="F216" s="37">
        <f>C216*E216</f>
        <v/>
      </c>
      <c r="G216" s="16" t="inlineStr">
        <is>
          <t>Dev budget 220000-18</t>
        </is>
      </c>
    </row>
    <row r="217" ht="13" customHeight="1">
      <c r="B217" s="5" t="inlineStr">
        <is>
          <t xml:space="preserve">      Firestopping</t>
        </is>
      </c>
      <c r="C217" s="34" t="n">
        <v>1</v>
      </c>
      <c r="D217" s="35" t="inlineStr">
        <is>
          <t>LS</t>
        </is>
      </c>
      <c r="E217" s="36" t="n">
        <v>15000</v>
      </c>
      <c r="F217" s="37">
        <f>C217*E217</f>
        <v/>
      </c>
      <c r="G217" s="16" t="inlineStr">
        <is>
          <t>Dev budget 220000-20</t>
        </is>
      </c>
    </row>
    <row r="218" ht="13" customHeight="1">
      <c r="B218" s="5" t="inlineStr">
        <is>
          <t xml:space="preserve">      Water service upgrade &amp; backflow</t>
        </is>
      </c>
      <c r="C218" s="34" t="n">
        <v>1</v>
      </c>
      <c r="D218" s="35" t="inlineStr">
        <is>
          <t>LS</t>
        </is>
      </c>
      <c r="E218" s="36" t="n">
        <v>90000</v>
      </c>
      <c r="F218" s="37">
        <f>C218*E218</f>
        <v/>
      </c>
      <c r="G218" s="16" t="inlineStr">
        <is>
          <t>Domestic and fire demand at 7,440 occupants</t>
        </is>
      </c>
    </row>
    <row r="219">
      <c r="B219" s="32" t="inlineStr">
        <is>
          <t xml:space="preserve">   Electrical service &amp; distribution</t>
        </is>
      </c>
      <c r="C219" s="33" t="n"/>
      <c r="D219" s="33" t="n"/>
      <c r="E219" s="33" t="n"/>
      <c r="F219" s="33" t="n"/>
      <c r="G219" s="33" t="n"/>
    </row>
    <row r="220" ht="13" customHeight="1">
      <c r="B220" s="5" t="inlineStr">
        <is>
          <t xml:space="preserve">      (2) 2,500A switchboards</t>
        </is>
      </c>
      <c r="C220" s="34" t="n">
        <v>2</v>
      </c>
      <c r="D220" s="35" t="inlineStr">
        <is>
          <t>EA</t>
        </is>
      </c>
      <c r="E220" s="36" t="n">
        <v>195000</v>
      </c>
      <c r="F220" s="37">
        <f>C220*E220</f>
        <v/>
      </c>
      <c r="G220" s="16" t="inlineStr">
        <is>
          <t>Dev budget 260000, priced in file</t>
        </is>
      </c>
    </row>
    <row r="221" ht="13" customHeight="1">
      <c r="B221" s="5" t="inlineStr">
        <is>
          <t xml:space="preserve">      Con Ed vault, conduit &amp; feeders from street</t>
        </is>
      </c>
      <c r="C221" s="34" t="n">
        <v>1</v>
      </c>
      <c r="D221" s="35" t="inlineStr">
        <is>
          <t>LS</t>
        </is>
      </c>
      <c r="E221" s="36" t="n">
        <v>850000</v>
      </c>
      <c r="F221" s="37">
        <f>C221*E221</f>
        <v/>
      </c>
      <c r="G221" s="16" t="inlineStr">
        <is>
          <t>Dev budget carries only the $50k Con Ed fee</t>
        </is>
      </c>
    </row>
    <row r="222" ht="13" customHeight="1">
      <c r="B222" s="5" t="inlineStr">
        <is>
          <t xml:space="preserve">      Transformer, CT cabinet, metering</t>
        </is>
      </c>
      <c r="C222" s="34" t="n">
        <v>1</v>
      </c>
      <c r="D222" s="35" t="inlineStr">
        <is>
          <t>LS</t>
        </is>
      </c>
      <c r="E222" s="36" t="n">
        <v>325000</v>
      </c>
      <c r="F222" s="37">
        <f>C222*E222</f>
        <v/>
      </c>
      <c r="G222" s="16" t="inlineStr">
        <is>
          <t>Dev budget 260000-13, QTY 0</t>
        </is>
      </c>
    </row>
    <row r="223" ht="13" customHeight="1">
      <c r="B223" s="5" t="inlineStr">
        <is>
          <t xml:space="preserve">      Combine existing services</t>
        </is>
      </c>
      <c r="C223" s="34" t="n">
        <v>1</v>
      </c>
      <c r="D223" s="35" t="inlineStr">
        <is>
          <t>LS</t>
        </is>
      </c>
      <c r="E223" s="36" t="n">
        <v>200000</v>
      </c>
      <c r="F223" s="37">
        <f>C223*E223</f>
        <v/>
      </c>
      <c r="G223" s="16" t="inlineStr">
        <is>
          <t>Dev budget 260000-13, QTY 0</t>
        </is>
      </c>
    </row>
    <row r="224" ht="13" customHeight="1">
      <c r="B224" s="5" t="inlineStr">
        <is>
          <t xml:space="preserve">      Panels &amp; secondary distribution</t>
        </is>
      </c>
      <c r="C224" s="34" t="n">
        <v>1</v>
      </c>
      <c r="D224" s="35" t="inlineStr">
        <is>
          <t>LS</t>
        </is>
      </c>
      <c r="E224" s="36" t="n">
        <v>480000</v>
      </c>
      <c r="F224" s="37">
        <f>C224*E224</f>
        <v/>
      </c>
      <c r="G224" s="16" t="inlineStr">
        <is>
          <t>Dev budget 260000-16, QTY 0</t>
        </is>
      </c>
    </row>
    <row r="225" ht="13" customHeight="1">
      <c r="B225" s="5" t="inlineStr">
        <is>
          <t xml:space="preserve">      General power, devices, floor boxes</t>
        </is>
      </c>
      <c r="C225" s="34" t="n">
        <v>74100</v>
      </c>
      <c r="D225" s="35" t="inlineStr">
        <is>
          <t>SF</t>
        </is>
      </c>
      <c r="E225" s="36" t="n">
        <v>3</v>
      </c>
      <c r="F225" s="37">
        <f>C225*E225</f>
        <v/>
      </c>
      <c r="G225" s="16" t="inlineStr">
        <is>
          <t>Dev budget 260000-7 rate, QTY 0</t>
        </is>
      </c>
    </row>
    <row r="226" ht="13" customHeight="1">
      <c r="B226" s="5" t="inlineStr">
        <is>
          <t xml:space="preserve">      Power to mechanical equipment, VAVs, exhaust fans</t>
        </is>
      </c>
      <c r="C226" s="34" t="n">
        <v>1</v>
      </c>
      <c r="D226" s="35" t="inlineStr">
        <is>
          <t>LS</t>
        </is>
      </c>
      <c r="E226" s="36" t="n">
        <v>295000</v>
      </c>
      <c r="F226" s="37">
        <f>C226*E226</f>
        <v/>
      </c>
      <c r="G226" s="16" t="inlineStr">
        <is>
          <t>Dev budget 260000-10/11/12, QTY 0</t>
        </is>
      </c>
    </row>
    <row r="227" ht="13" customHeight="1">
      <c r="B227" s="5" t="inlineStr">
        <is>
          <t xml:space="preserve">      Dedicated circuits at bar &amp; F&amp;B equipment</t>
        </is>
      </c>
      <c r="C227" s="34" t="n">
        <v>1</v>
      </c>
      <c r="D227" s="35" t="inlineStr">
        <is>
          <t>LS</t>
        </is>
      </c>
      <c r="E227" s="36" t="n">
        <v>165000</v>
      </c>
      <c r="F227" s="37">
        <f>C227*E227</f>
        <v/>
      </c>
      <c r="G227" s="16" t="inlineStr">
        <is>
          <t>Dev budget 260000-8 rate</t>
        </is>
      </c>
    </row>
    <row r="228" ht="13" customHeight="1">
      <c r="B228" s="5" t="inlineStr">
        <is>
          <t xml:space="preserve">      Emergency power &amp; inverter package</t>
        </is>
      </c>
      <c r="C228" s="34" t="n">
        <v>1</v>
      </c>
      <c r="D228" s="35" t="inlineStr">
        <is>
          <t>LS</t>
        </is>
      </c>
      <c r="E228" s="36" t="n">
        <v>245000</v>
      </c>
      <c r="F228" s="37">
        <f>C228*E228</f>
        <v/>
      </c>
      <c r="G228" s="16" t="inlineStr">
        <is>
          <t>CODE — egress lighting and life safety</t>
        </is>
      </c>
    </row>
    <row r="229" ht="13" customHeight="1">
      <c r="B229" s="5" t="inlineStr">
        <is>
          <t xml:space="preserve">      Generator for fire pump backup</t>
        </is>
      </c>
      <c r="C229" s="34" t="n">
        <v>1</v>
      </c>
      <c r="D229" s="35" t="inlineStr">
        <is>
          <t>LS</t>
        </is>
      </c>
      <c r="E229" s="36" t="n">
        <v>185000</v>
      </c>
      <c r="F229" s="37">
        <f>C229*E229</f>
        <v/>
      </c>
      <c r="G229" s="16" t="inlineStr">
        <is>
          <t>Dev budget 260000-15, QTY 0</t>
        </is>
      </c>
    </row>
    <row r="230" ht="13" customHeight="1">
      <c r="B230" s="5" t="inlineStr">
        <is>
          <t xml:space="preserve">      Temporary light &amp; power for construction</t>
        </is>
      </c>
      <c r="C230" s="34" t="n">
        <v>125000</v>
      </c>
      <c r="D230" s="35" t="inlineStr">
        <is>
          <t>SF</t>
        </is>
      </c>
      <c r="E230" s="36" t="n">
        <v>1.25</v>
      </c>
      <c r="F230" s="37">
        <f>C230*E230</f>
        <v/>
      </c>
      <c r="G230" s="16" t="inlineStr">
        <is>
          <t>Dev budget 260000-16, priced in file</t>
        </is>
      </c>
    </row>
    <row r="231" ht="13" customHeight="1">
      <c r="B231" s="5" t="inlineStr">
        <is>
          <t xml:space="preserve">      Firestopping at cores &amp; penetrations</t>
        </is>
      </c>
      <c r="C231" s="34" t="n">
        <v>1</v>
      </c>
      <c r="D231" s="35" t="inlineStr">
        <is>
          <t>LS</t>
        </is>
      </c>
      <c r="E231" s="36" t="n">
        <v>12500</v>
      </c>
      <c r="F231" s="37">
        <f>C231*E231</f>
        <v/>
      </c>
      <c r="G231" s="16" t="inlineStr">
        <is>
          <t>Dev budget 260000-18, priced in file</t>
        </is>
      </c>
    </row>
    <row r="232">
      <c r="B232" s="32" t="inlineStr">
        <is>
          <t xml:space="preserve">   Production power</t>
        </is>
      </c>
      <c r="C232" s="33" t="n"/>
      <c r="D232" s="33" t="n"/>
      <c r="E232" s="33" t="n"/>
      <c r="F232" s="33" t="n"/>
      <c r="G232" s="33" t="n"/>
    </row>
    <row r="233" ht="13" customHeight="1">
      <c r="B233" s="5" t="inlineStr">
        <is>
          <t xml:space="preserve">      Company switches &amp; cam-lok tie-ins at stage</t>
        </is>
      </c>
      <c r="C233" s="34" t="n">
        <v>1</v>
      </c>
      <c r="D233" s="35" t="inlineStr">
        <is>
          <t>LS</t>
        </is>
      </c>
      <c r="E233" s="36" t="n">
        <v>320000</v>
      </c>
      <c r="F233" s="37">
        <f>C233*E233</f>
        <v/>
      </c>
      <c r="G233" s="16" t="inlineStr">
        <is>
          <t>Underwriting carried $1.5M for production power; dev budget nothing</t>
        </is>
      </c>
    </row>
    <row r="234" ht="13" customHeight="1">
      <c r="B234" s="5" t="inlineStr">
        <is>
          <t xml:space="preserve">      Production distro &amp; feeder runs</t>
        </is>
      </c>
      <c r="C234" s="34" t="n">
        <v>1</v>
      </c>
      <c r="D234" s="35" t="inlineStr">
        <is>
          <t>LS</t>
        </is>
      </c>
      <c r="E234" s="36" t="n">
        <v>285000</v>
      </c>
      <c r="F234" s="37">
        <f>C234*E234</f>
        <v/>
      </c>
      <c r="G234" s="16" t="inlineStr"/>
    </row>
    <row r="235" ht="13" customHeight="1">
      <c r="B235" s="5" t="inlineStr">
        <is>
          <t xml:space="preserve">      Dedicated power to stage equipment</t>
        </is>
      </c>
      <c r="C235" s="34" t="n">
        <v>3500</v>
      </c>
      <c r="D235" s="35" t="inlineStr">
        <is>
          <t>SF</t>
        </is>
      </c>
      <c r="E235" s="36" t="n">
        <v>15</v>
      </c>
      <c r="F235" s="37">
        <f>C235*E235</f>
        <v/>
      </c>
      <c r="G235" s="16" t="inlineStr">
        <is>
          <t>Dev budget 260000-9 rate, QTY 0</t>
        </is>
      </c>
    </row>
    <row r="236" ht="13" customHeight="1">
      <c r="B236" s="5" t="inlineStr">
        <is>
          <t xml:space="preserve">      Isolated technical ground</t>
        </is>
      </c>
      <c r="C236" s="34" t="n">
        <v>1</v>
      </c>
      <c r="D236" s="35" t="inlineStr">
        <is>
          <t>LS</t>
        </is>
      </c>
      <c r="E236" s="36" t="n">
        <v>85000</v>
      </c>
      <c r="F236" s="37">
        <f>C236*E236</f>
        <v/>
      </c>
      <c r="G236" s="16" t="inlineStr">
        <is>
          <t>Audio system requirement</t>
        </is>
      </c>
    </row>
    <row r="237">
      <c r="B237" s="32" t="inlineStr">
        <is>
          <t xml:space="preserve">   Lighting &amp; controls</t>
        </is>
      </c>
      <c r="C237" s="33" t="n"/>
      <c r="D237" s="33" t="n"/>
      <c r="E237" s="33" t="n"/>
      <c r="F237" s="33" t="n"/>
      <c r="G237" s="33" t="n"/>
    </row>
    <row r="238" ht="13" customHeight="1">
      <c r="B238" s="5" t="inlineStr">
        <is>
          <t xml:space="preserve">      Exit signs &amp; BOH fixtures</t>
        </is>
      </c>
      <c r="C238" s="34" t="n">
        <v>1</v>
      </c>
      <c r="D238" s="35" t="inlineStr">
        <is>
          <t>LS</t>
        </is>
      </c>
      <c r="E238" s="36" t="n">
        <v>40000</v>
      </c>
      <c r="F238" s="37">
        <f>C238*E238</f>
        <v/>
      </c>
      <c r="G238" s="16" t="inlineStr">
        <is>
          <t>Dev budget 265000-1, priced in file. CODE</t>
        </is>
      </c>
    </row>
    <row r="239" ht="13" customHeight="1">
      <c r="B239" s="5" t="inlineStr">
        <is>
          <t xml:space="preserve">      Emergency lighting package</t>
        </is>
      </c>
      <c r="C239" s="34" t="n">
        <v>74100</v>
      </c>
      <c r="D239" s="35" t="inlineStr">
        <is>
          <t>SF</t>
        </is>
      </c>
      <c r="E239" s="36" t="n">
        <v>1</v>
      </c>
      <c r="F239" s="37">
        <f>C239*E239</f>
        <v/>
      </c>
      <c r="G239" s="16" t="inlineStr">
        <is>
          <t>Dev budget 260000-1 rate, QTY 0. CODE</t>
        </is>
      </c>
    </row>
    <row r="240" ht="13" customHeight="1">
      <c r="B240" s="5" t="inlineStr">
        <is>
          <t xml:space="preserve">      House / architectural lighting, back of house &amp; circulation</t>
        </is>
      </c>
      <c r="C240" s="34" t="n">
        <v>1</v>
      </c>
      <c r="D240" s="35" t="inlineStr">
        <is>
          <t>LS</t>
        </is>
      </c>
      <c r="E240" s="36" t="n">
        <v>185000</v>
      </c>
      <c r="F240" s="37">
        <f>C240*E240</f>
        <v/>
      </c>
      <c r="G240" s="16" t="inlineStr">
        <is>
          <t>Not the $1.75M exterior package</t>
        </is>
      </c>
    </row>
    <row r="241">
      <c r="B241" s="32" t="inlineStr">
        <is>
          <t xml:space="preserve">   Low voltage</t>
        </is>
      </c>
      <c r="C241" s="33" t="n"/>
      <c r="D241" s="33" t="n"/>
      <c r="E241" s="33" t="n"/>
      <c r="F241" s="33" t="n"/>
      <c r="G241" s="33" t="n"/>
    </row>
    <row r="242" ht="13" customHeight="1">
      <c r="B242" s="5" t="inlineStr">
        <is>
          <t xml:space="preserve">      Structured cabling backbone &amp; horizontal</t>
        </is>
      </c>
      <c r="C242" s="34" t="n">
        <v>1</v>
      </c>
      <c r="D242" s="35" t="inlineStr">
        <is>
          <t>LS</t>
        </is>
      </c>
      <c r="E242" s="36" t="n">
        <v>245000</v>
      </c>
      <c r="F242" s="37">
        <f>C242*E242</f>
        <v/>
      </c>
      <c r="G242" s="16" t="inlineStr">
        <is>
          <t>Dev budget 270000 light for this size</t>
        </is>
      </c>
    </row>
    <row r="243" ht="13" customHeight="1">
      <c r="B243" s="5" t="inlineStr">
        <is>
          <t xml:space="preserve">      CCTV camera wiring</t>
        </is>
      </c>
      <c r="C243" s="34" t="n">
        <v>110</v>
      </c>
      <c r="D243" s="35" t="inlineStr">
        <is>
          <t>EA</t>
        </is>
      </c>
      <c r="E243" s="36" t="n">
        <v>750</v>
      </c>
      <c r="F243" s="37">
        <f>C243*E243</f>
        <v/>
      </c>
      <c r="G243" s="16" t="inlineStr">
        <is>
          <t>Dev budget 270000-1, priced in file</t>
        </is>
      </c>
    </row>
    <row r="244" ht="13" customHeight="1">
      <c r="B244" s="5" t="inlineStr">
        <is>
          <t xml:space="preserve">      AV wiring infrastructure</t>
        </is>
      </c>
      <c r="C244" s="34" t="n">
        <v>1</v>
      </c>
      <c r="D244" s="35" t="inlineStr">
        <is>
          <t>LS</t>
        </is>
      </c>
      <c r="E244" s="36" t="n">
        <v>60000</v>
      </c>
      <c r="F244" s="37">
        <f>C244*E244</f>
        <v/>
      </c>
      <c r="G244" s="16" t="inlineStr">
        <is>
          <t>Dev budget 270000-3</t>
        </is>
      </c>
    </row>
    <row r="245" ht="13" customHeight="1">
      <c r="B245" s="5" t="inlineStr">
        <is>
          <t xml:space="preserve">      Phone &amp; data wiring</t>
        </is>
      </c>
      <c r="C245" s="34" t="n">
        <v>1</v>
      </c>
      <c r="D245" s="35" t="inlineStr">
        <is>
          <t>LS</t>
        </is>
      </c>
      <c r="E245" s="36" t="n">
        <v>45000</v>
      </c>
      <c r="F245" s="37">
        <f>C245*E245</f>
        <v/>
      </c>
      <c r="G245" s="16" t="inlineStr">
        <is>
          <t>Dev budget 270000-4</t>
        </is>
      </c>
    </row>
    <row r="246" ht="13" customHeight="1">
      <c r="B246" s="5" t="inlineStr">
        <is>
          <t xml:space="preserve">      Door intrusion &amp; access control wiring</t>
        </is>
      </c>
      <c r="C246" s="34" t="n">
        <v>24</v>
      </c>
      <c r="D246" s="35" t="inlineStr">
        <is>
          <t>LOC</t>
        </is>
      </c>
      <c r="E246" s="36" t="n">
        <v>5000</v>
      </c>
      <c r="F246" s="37">
        <f>C246*E246</f>
        <v/>
      </c>
      <c r="G246" s="16" t="inlineStr">
        <is>
          <t>Dev budget 270000-2 rate, QTY 0</t>
        </is>
      </c>
    </row>
    <row r="247">
      <c r="B247" s="32" t="inlineStr">
        <is>
          <t xml:space="preserve">   Conveying</t>
        </is>
      </c>
      <c r="C247" s="33" t="n"/>
      <c r="D247" s="33" t="n"/>
      <c r="E247" s="33" t="n"/>
      <c r="F247" s="33" t="n"/>
      <c r="G247" s="33" t="n"/>
    </row>
    <row r="248" ht="13" customHeight="1">
      <c r="B248" s="5" t="inlineStr">
        <is>
          <t xml:space="preserve">      ADA passenger elevator, two stops</t>
        </is>
      </c>
      <c r="C248" s="34" t="n">
        <v>1</v>
      </c>
      <c r="D248" s="35" t="inlineStr">
        <is>
          <t>EA</t>
        </is>
      </c>
      <c r="E248" s="36" t="n">
        <v>240000</v>
      </c>
      <c r="F248" s="37">
        <f>C248*E248</f>
        <v/>
      </c>
      <c r="G248" s="16" t="inlineStr">
        <is>
          <t>CODE — accessible route to every public level</t>
        </is>
      </c>
    </row>
    <row r="249" ht="13" customHeight="1">
      <c r="B249" s="5" t="inlineStr">
        <is>
          <t xml:space="preserve">      BOH / production lift</t>
        </is>
      </c>
      <c r="C249" s="34" t="n">
        <v>1</v>
      </c>
      <c r="D249" s="35" t="inlineStr">
        <is>
          <t>EA</t>
        </is>
      </c>
      <c r="E249" s="36" t="n">
        <v>60000</v>
      </c>
      <c r="F249" s="37">
        <f>C249*E249</f>
        <v/>
      </c>
      <c r="G249" s="16" t="inlineStr"/>
    </row>
    <row r="250">
      <c r="B250" s="30" t="inlineStr">
        <is>
          <t>600   FF&amp;E</t>
        </is>
      </c>
      <c r="C250" s="31" t="n"/>
      <c r="D250" s="31" t="n"/>
      <c r="E250" s="31" t="n"/>
      <c r="F250" s="31" t="n"/>
      <c r="G250" s="31" t="n"/>
    </row>
    <row r="251">
      <c r="B251" s="32" t="inlineStr">
        <is>
          <t xml:space="preserve">   Production — audio</t>
        </is>
      </c>
      <c r="C251" s="33" t="n"/>
      <c r="D251" s="33" t="n"/>
      <c r="E251" s="33" t="n"/>
      <c r="F251" s="33" t="n"/>
      <c r="G251" s="33" t="n"/>
    </row>
    <row r="252" ht="21" customHeight="1">
      <c r="B252" s="5" t="inlineStr">
        <is>
          <t xml:space="preserve">      House PA: mains, subs, fills, amplification, processing</t>
        </is>
      </c>
      <c r="C252" s="34" t="n">
        <v>1</v>
      </c>
      <c r="D252" s="35" t="inlineStr">
        <is>
          <t>LS</t>
        </is>
      </c>
      <c r="E252" s="36" t="n">
        <v>1850000</v>
      </c>
      <c r="F252" s="37">
        <f>C252*E252</f>
        <v/>
      </c>
      <c r="G252" s="16" t="inlineStr">
        <is>
          <t>Always house — artists do not tour a PA for this size room. MT I61/I301: $2-2.2M for L-Acoustics</t>
        </is>
      </c>
    </row>
    <row r="253" ht="13" customHeight="1">
      <c r="B253" s="5" t="inlineStr">
        <is>
          <t xml:space="preserve">      System design, tuning &amp; commissioning</t>
        </is>
      </c>
      <c r="C253" s="34" t="n">
        <v>1</v>
      </c>
      <c r="D253" s="35" t="inlineStr">
        <is>
          <t>LS</t>
        </is>
      </c>
      <c r="E253" s="36" t="n">
        <v>145000</v>
      </c>
      <c r="F253" s="37">
        <f>C253*E253</f>
        <v/>
      </c>
      <c r="G253" s="16" t="inlineStr"/>
    </row>
    <row r="254" ht="13" customHeight="1">
      <c r="B254" s="5" t="inlineStr">
        <is>
          <t xml:space="preserve">      Rigging, flying hardware &amp; install</t>
        </is>
      </c>
      <c r="C254" s="34" t="n">
        <v>1</v>
      </c>
      <c r="D254" s="35" t="inlineStr">
        <is>
          <t>LS</t>
        </is>
      </c>
      <c r="E254" s="36" t="n">
        <v>205000</v>
      </c>
      <c r="F254" s="37">
        <f>C254*E254</f>
        <v/>
      </c>
      <c r="G254" s="16" t="inlineStr"/>
    </row>
    <row r="255">
      <c r="B255" s="32" t="inlineStr">
        <is>
          <t xml:space="preserve">   Production — lighting</t>
        </is>
      </c>
      <c r="C255" s="33" t="n"/>
      <c r="D255" s="33" t="n"/>
      <c r="E255" s="33" t="n"/>
      <c r="F255" s="33" t="n"/>
      <c r="G255" s="33" t="n"/>
    </row>
    <row r="256" ht="31.5" customHeight="1">
      <c r="B256" s="5" t="inlineStr">
        <is>
          <t xml:space="preserve">      House rig: fixtures, truss, hoists</t>
        </is>
      </c>
      <c r="C256" s="34" t="n">
        <v>1</v>
      </c>
      <c r="D256" s="35" t="inlineStr">
        <is>
          <t>LS</t>
        </is>
      </c>
      <c r="E256" s="36" t="n">
        <v>230000</v>
      </c>
      <c r="F256" s="37">
        <f>C256*E256</f>
        <v/>
      </c>
      <c r="G256" s="16" t="inlineStr">
        <is>
          <t>REDUCED. FT Infinity house rig actual was ~$205k for an open-air stage: 48x Chauvet Colorstrike M $118,616 (LPS) + rope + pixel bars. $230k for a larger enclosed room</t>
        </is>
      </c>
    </row>
    <row r="257" ht="13" customHeight="1">
      <c r="B257" s="5" t="inlineStr">
        <is>
          <t xml:space="preserve">      Control, dimming &amp; data distribution</t>
        </is>
      </c>
      <c r="C257" s="34" t="n">
        <v>1</v>
      </c>
      <c r="D257" s="35" t="inlineStr">
        <is>
          <t>LS</t>
        </is>
      </c>
      <c r="E257" s="36" t="n">
        <v>85000</v>
      </c>
      <c r="F257" s="37">
        <f>C257*E257</f>
        <v/>
      </c>
      <c r="G257" s="16" t="inlineStr"/>
    </row>
    <row r="258" ht="13" customHeight="1">
      <c r="B258" s="5" t="inlineStr">
        <is>
          <t xml:space="preserve">      Install &amp; focus</t>
        </is>
      </c>
      <c r="C258" s="34" t="n">
        <v>1</v>
      </c>
      <c r="D258" s="35" t="inlineStr">
        <is>
          <t>LS</t>
        </is>
      </c>
      <c r="E258" s="36" t="n">
        <v>25000</v>
      </c>
      <c r="F258" s="37">
        <f>C258*E258</f>
        <v/>
      </c>
      <c r="G258" s="16" t="inlineStr"/>
    </row>
    <row r="259">
      <c r="B259" s="32" t="inlineStr">
        <is>
          <t xml:space="preserve">   Production — video &amp; soft goods</t>
        </is>
      </c>
      <c r="C259" s="33" t="n"/>
      <c r="D259" s="33" t="n"/>
      <c r="E259" s="33" t="n"/>
      <c r="F259" s="33" t="n"/>
      <c r="G259" s="33" t="n"/>
    </row>
    <row r="260" ht="13" customHeight="1">
      <c r="B260" s="5" t="inlineStr">
        <is>
          <t xml:space="preserve">      Music hall projector &amp; screen</t>
        </is>
      </c>
      <c r="C260" s="34" t="n">
        <v>1</v>
      </c>
      <c r="D260" s="35" t="inlineStr">
        <is>
          <t>LS</t>
        </is>
      </c>
      <c r="E260" s="36" t="n">
        <v>75000</v>
      </c>
      <c r="F260" s="37">
        <f>C260*E260</f>
        <v/>
      </c>
      <c r="G260" s="16" t="inlineStr">
        <is>
          <t>Dev budget FF&amp;E 309</t>
        </is>
      </c>
    </row>
    <row r="261" ht="21" customHeight="1">
      <c r="B261" s="5" t="inlineStr">
        <is>
          <t xml:space="preserve">      Soft goods: stage &amp; perimeter drape</t>
        </is>
      </c>
      <c r="C261" s="34" t="n">
        <v>1</v>
      </c>
      <c r="D261" s="35" t="inlineStr">
        <is>
          <t>LS</t>
        </is>
      </c>
      <c r="E261" s="36" t="n">
        <v>220000</v>
      </c>
      <c r="F261" s="37">
        <f>C261*E261</f>
        <v/>
      </c>
      <c r="G261" s="16" t="inlineStr">
        <is>
          <t>REDUCED. Dev budget carried $200,000; the FT benchmark note on the same row said $725k. Working minimum at $220k</t>
        </is>
      </c>
    </row>
    <row r="262">
      <c r="B262" s="32" t="inlineStr">
        <is>
          <t xml:space="preserve">   Production — equipment</t>
        </is>
      </c>
      <c r="C262" s="33" t="n"/>
      <c r="D262" s="33" t="n"/>
      <c r="E262" s="33" t="n"/>
      <c r="F262" s="33" t="n"/>
      <c r="G262" s="33" t="n"/>
    </row>
    <row r="263" ht="13" customHeight="1">
      <c r="B263" s="5" t="inlineStr">
        <is>
          <t xml:space="preserve">      Stage barricade</t>
        </is>
      </c>
      <c r="C263" s="34" t="n">
        <v>1</v>
      </c>
      <c r="D263" s="35" t="inlineStr">
        <is>
          <t>LS</t>
        </is>
      </c>
      <c r="E263" s="36" t="n">
        <v>18000</v>
      </c>
      <c r="F263" s="37">
        <f>C263*E263</f>
        <v/>
      </c>
      <c r="G263" s="16" t="inlineStr">
        <is>
          <t>FT actual</t>
        </is>
      </c>
    </row>
    <row r="264" ht="13" customHeight="1">
      <c r="B264" s="5" t="inlineStr">
        <is>
          <t xml:space="preserve">      Dock plates, ramps, hand carts, dollies</t>
        </is>
      </c>
      <c r="C264" s="34" t="n">
        <v>1</v>
      </c>
      <c r="D264" s="35" t="inlineStr">
        <is>
          <t>LS</t>
        </is>
      </c>
      <c r="E264" s="36" t="n">
        <v>30000</v>
      </c>
      <c r="F264" s="37">
        <f>C264*E264</f>
        <v/>
      </c>
      <c r="G264" s="16" t="inlineStr">
        <is>
          <t>FT actual</t>
        </is>
      </c>
    </row>
    <row r="265" ht="13" customHeight="1">
      <c r="B265" s="5" t="inlineStr">
        <is>
          <t xml:space="preserve">      Risers</t>
        </is>
      </c>
      <c r="C265" s="34" t="n">
        <v>1</v>
      </c>
      <c r="D265" s="35" t="inlineStr">
        <is>
          <t>LS</t>
        </is>
      </c>
      <c r="E265" s="36" t="n">
        <v>12000</v>
      </c>
      <c r="F265" s="37">
        <f>C265*E265</f>
        <v/>
      </c>
      <c r="G265" s="16" t="inlineStr">
        <is>
          <t>FT actual</t>
        </is>
      </c>
    </row>
    <row r="266" ht="13" customHeight="1">
      <c r="B266" s="5" t="inlineStr">
        <is>
          <t xml:space="preserve">      Storage shelving &amp; tools</t>
        </is>
      </c>
      <c r="C266" s="34" t="n">
        <v>1</v>
      </c>
      <c r="D266" s="35" t="inlineStr">
        <is>
          <t>LS</t>
        </is>
      </c>
      <c r="E266" s="36" t="n">
        <v>13500</v>
      </c>
      <c r="F266" s="37">
        <f>C266*E266</f>
        <v/>
      </c>
      <c r="G266" s="16" t="inlineStr">
        <is>
          <t>FT actual</t>
        </is>
      </c>
    </row>
    <row r="267">
      <c r="B267" s="32" t="inlineStr">
        <is>
          <t xml:space="preserve">   Bar &amp; F&amp;B equipment</t>
        </is>
      </c>
      <c r="C267" s="33" t="n"/>
      <c r="D267" s="33" t="n"/>
      <c r="E267" s="33" t="n"/>
      <c r="F267" s="33" t="n"/>
      <c r="G267" s="33" t="n"/>
    </row>
    <row r="268" ht="42" customHeight="1">
      <c r="B268" s="5" t="inlineStr">
        <is>
          <t xml:space="preserve">      Bar equipment, six bars, ~53 POS positions</t>
        </is>
      </c>
      <c r="C268" s="34" t="n">
        <v>53</v>
      </c>
      <c r="D268" s="35" t="inlineStr">
        <is>
          <t>POS</t>
        </is>
      </c>
      <c r="E268" s="36" t="n">
        <v>9000</v>
      </c>
      <c r="F268" s="37">
        <f>C268*E268</f>
        <v/>
      </c>
      <c r="G268" s="16" t="inlineStr">
        <is>
          <t>CORRECTED. FT and dev budget rate for bar equipment ALONE is $9,000/position. I had used Brooklyn Paramount's $32,192/POS which is ALL-IN incl. kitchen, walk-in and freight — while also carrying those separately below. Double count removed, $689,000</t>
        </is>
      </c>
    </row>
    <row r="269" ht="13" customHeight="1">
      <c r="B269" s="5" t="inlineStr">
        <is>
          <t xml:space="preserve">      Ice machines</t>
        </is>
      </c>
      <c r="C269" s="34" t="n">
        <v>4</v>
      </c>
      <c r="D269" s="35" t="inlineStr">
        <is>
          <t>EA</t>
        </is>
      </c>
      <c r="E269" s="36" t="n">
        <v>15000</v>
      </c>
      <c r="F269" s="37">
        <f>C269*E269</f>
        <v/>
      </c>
      <c r="G269" s="16" t="inlineStr">
        <is>
          <t>FT actual rate</t>
        </is>
      </c>
    </row>
    <row r="270" ht="13" customHeight="1">
      <c r="B270" s="5" t="inlineStr">
        <is>
          <t xml:space="preserve">      Walk-in coolers</t>
        </is>
      </c>
      <c r="C270" s="34" t="n">
        <v>2</v>
      </c>
      <c r="D270" s="35" t="inlineStr">
        <is>
          <t>EA</t>
        </is>
      </c>
      <c r="E270" s="36" t="n">
        <v>15000</v>
      </c>
      <c r="F270" s="37">
        <f>C270*E270</f>
        <v/>
      </c>
      <c r="G270" s="16" t="inlineStr">
        <is>
          <t>FT actual rate</t>
        </is>
      </c>
    </row>
    <row r="271" ht="13" customHeight="1">
      <c r="B271" s="5" t="inlineStr">
        <is>
          <t xml:space="preserve">      Draft systems &amp; glycol</t>
        </is>
      </c>
      <c r="C271" s="34" t="n">
        <v>6</v>
      </c>
      <c r="D271" s="35" t="inlineStr">
        <is>
          <t>EA</t>
        </is>
      </c>
      <c r="E271" s="36" t="n">
        <v>18000</v>
      </c>
      <c r="F271" s="37">
        <f>C271*E271</f>
        <v/>
      </c>
      <c r="G271" s="16" t="inlineStr">
        <is>
          <t>Often vendor-supplied against a pouring agreement — ASK</t>
        </is>
      </c>
    </row>
    <row r="272" ht="13" customHeight="1">
      <c r="B272" s="5" t="inlineStr">
        <is>
          <t xml:space="preserve">      Freight &amp; installation</t>
        </is>
      </c>
      <c r="C272" s="34" t="n">
        <v>1</v>
      </c>
      <c r="D272" s="35" t="inlineStr">
        <is>
          <t>LS</t>
        </is>
      </c>
      <c r="E272" s="36" t="n">
        <v>375000</v>
      </c>
      <c r="F272" s="37">
        <f>C272*E272</f>
        <v/>
      </c>
      <c r="G272" s="16" t="inlineStr">
        <is>
          <t>FT / dev budget actual</t>
        </is>
      </c>
    </row>
    <row r="273" ht="21" customHeight="1">
      <c r="B273" s="5" t="inlineStr">
        <is>
          <t xml:space="preserve">      POS terminals</t>
        </is>
      </c>
      <c r="C273" s="34" t="n">
        <v>53</v>
      </c>
      <c r="D273" s="35" t="inlineStr">
        <is>
          <t>EA</t>
        </is>
      </c>
      <c r="E273" s="36" t="n">
        <v>0</v>
      </c>
      <c r="F273" s="37">
        <f>C273*E273</f>
        <v/>
      </c>
      <c r="G273" s="16" t="inlineStr">
        <is>
          <t>ZEROED per MT I50: "I can get someone to give it to us for free for using the venue." Restore at $3,000/EA if that deal does not land</t>
        </is>
      </c>
    </row>
    <row r="274">
      <c r="B274" s="32" t="inlineStr">
        <is>
          <t xml:space="preserve">   Seating — licensing dependency</t>
        </is>
      </c>
      <c r="C274" s="33" t="n"/>
      <c r="D274" s="33" t="n"/>
      <c r="E274" s="33" t="n"/>
      <c r="F274" s="33" t="n"/>
      <c r="G274" s="33" t="n"/>
    </row>
    <row r="275" ht="42" customHeight="1">
      <c r="B275" s="5" t="inlineStr">
        <is>
          <t xml:space="preserve">      Removable theatre seating, mezzanine</t>
        </is>
      </c>
      <c r="C275" s="34" t="n">
        <v>720</v>
      </c>
      <c r="D275" s="35" t="inlineStr">
        <is>
          <t>EA</t>
        </is>
      </c>
      <c r="E275" s="36" t="n">
        <v>25</v>
      </c>
      <c r="F275" s="37">
        <f>C275*E275</f>
        <v/>
      </c>
      <c r="G275" s="16" t="inlineStr">
        <is>
          <t>TOGGLE. Rate is driven by the seating input cell at the top of this sheet — switch between $25 (MT H127 sourcing) and $125 (as filed in the dev budget). COUNT TO BE CONFIRMED BY COUNSEL — it carries the classification</t>
        </is>
      </c>
    </row>
    <row r="276" ht="31.5" customHeight="1">
      <c r="B276" s="5" t="inlineStr">
        <is>
          <t xml:space="preserve">      Mezzanine raised-deck seating: stools, high-tops, rail perches</t>
        </is>
      </c>
      <c r="C276" s="34" t="n">
        <v>1</v>
      </c>
      <c r="D276" s="35" t="inlineStr">
        <is>
          <t>LS</t>
        </is>
      </c>
      <c r="E276" s="36" t="n">
        <v>45000</v>
      </c>
      <c r="F276" s="37">
        <f>C276*E276</f>
        <v/>
      </c>
      <c r="G276" s="16" t="inlineStr">
        <is>
          <t>REPLACES 657 BOX CHAIRS AT $300 ($197,100). Loose seating on a stepped deck rather than fixed box furniture — flexes between standing and seated nights and holds more people in the same footprint</t>
        </is>
      </c>
    </row>
    <row r="277" ht="13" customHeight="1">
      <c r="B277" s="5" t="inlineStr">
        <is>
          <t xml:space="preserve">      Seat &amp; row numbering, aisle marking</t>
        </is>
      </c>
      <c r="C277" s="34" t="n">
        <v>1</v>
      </c>
      <c r="D277" s="35" t="inlineStr">
        <is>
          <t>LS</t>
        </is>
      </c>
      <c r="E277" s="36" t="n">
        <v>13760</v>
      </c>
      <c r="F277" s="37">
        <f>C277*E277</f>
        <v/>
      </c>
      <c r="G277" s="16" t="inlineStr">
        <is>
          <t>Required with removable seating</t>
        </is>
      </c>
    </row>
    <row r="278" ht="13" customHeight="1">
      <c r="B278" s="5" t="inlineStr">
        <is>
          <t xml:space="preserve">      Seating storage racks &amp; carts</t>
        </is>
      </c>
      <c r="C278" s="34" t="n">
        <v>1</v>
      </c>
      <c r="D278" s="35" t="inlineStr">
        <is>
          <t>LS</t>
        </is>
      </c>
      <c r="E278" s="36" t="n">
        <v>35000</v>
      </c>
      <c r="F278" s="37">
        <f>C278*E278</f>
        <v/>
      </c>
      <c r="G278" s="16" t="inlineStr">
        <is>
          <t>Stacked away on standing nights</t>
        </is>
      </c>
    </row>
    <row r="279">
      <c r="B279" s="32" t="inlineStr">
        <is>
          <t xml:space="preserve">   Furniture</t>
        </is>
      </c>
      <c r="C279" s="33" t="n"/>
      <c r="D279" s="33" t="n"/>
      <c r="E279" s="33" t="n"/>
      <c r="F279" s="33" t="n"/>
      <c r="G279" s="33" t="n"/>
    </row>
    <row r="280" ht="13" customHeight="1">
      <c r="B280" s="5" t="inlineStr">
        <is>
          <t xml:space="preserve">      Dressing room furniture</t>
        </is>
      </c>
      <c r="C280" s="34" t="n">
        <v>6</v>
      </c>
      <c r="D280" s="35" t="inlineStr">
        <is>
          <t>EA</t>
        </is>
      </c>
      <c r="E280" s="36" t="n">
        <v>10000</v>
      </c>
      <c r="F280" s="37">
        <f>C280*E280</f>
        <v/>
      </c>
      <c r="G280" s="16" t="inlineStr">
        <is>
          <t>Dev budget FF&amp;E 301, priced in file</t>
        </is>
      </c>
    </row>
    <row r="281" ht="13" customHeight="1">
      <c r="B281" s="5" t="inlineStr">
        <is>
          <t xml:space="preserve">      Crew &amp; artist lounge</t>
        </is>
      </c>
      <c r="C281" s="34" t="n">
        <v>1</v>
      </c>
      <c r="D281" s="35" t="inlineStr">
        <is>
          <t>LS</t>
        </is>
      </c>
      <c r="E281" s="36" t="n">
        <v>25000</v>
      </c>
      <c r="F281" s="37">
        <f>C281*E281</f>
        <v/>
      </c>
      <c r="G281" s="16" t="inlineStr">
        <is>
          <t>Dev budget FF&amp;E 301</t>
        </is>
      </c>
    </row>
    <row r="282" ht="13" customHeight="1">
      <c r="B282" s="5" t="inlineStr">
        <is>
          <t xml:space="preserve">      Office furniture, administration &amp; production</t>
        </is>
      </c>
      <c r="C282" s="34" t="n">
        <v>1</v>
      </c>
      <c r="D282" s="35" t="inlineStr">
        <is>
          <t>LS</t>
        </is>
      </c>
      <c r="E282" s="36" t="n">
        <v>65000</v>
      </c>
      <c r="F282" s="37">
        <f>C282*E282</f>
        <v/>
      </c>
      <c r="G282" s="16" t="inlineStr">
        <is>
          <t>Dev budget FF&amp;E 304</t>
        </is>
      </c>
    </row>
    <row r="283" ht="13" customHeight="1">
      <c r="B283" s="5" t="inlineStr">
        <is>
          <t xml:space="preserve">      Merchandise cases</t>
        </is>
      </c>
      <c r="C283" s="34" t="n">
        <v>1</v>
      </c>
      <c r="D283" s="35" t="inlineStr">
        <is>
          <t>LS</t>
        </is>
      </c>
      <c r="E283" s="36" t="n">
        <v>26000</v>
      </c>
      <c r="F283" s="37">
        <f>C283*E283</f>
        <v/>
      </c>
      <c r="G283" s="16" t="inlineStr">
        <is>
          <t>Dev budget FF&amp;E 307</t>
        </is>
      </c>
    </row>
    <row r="284">
      <c r="B284" s="32" t="inlineStr">
        <is>
          <t xml:space="preserve">   IT, security &amp; operations</t>
        </is>
      </c>
      <c r="C284" s="33" t="n"/>
      <c r="D284" s="33" t="n"/>
      <c r="E284" s="33" t="n"/>
      <c r="F284" s="33" t="n"/>
      <c r="G284" s="33" t="n"/>
    </row>
    <row r="285" ht="13" customHeight="1">
      <c r="B285" s="5" t="inlineStr">
        <is>
          <t xml:space="preserve">      VoIP, data switching &amp; WiFi</t>
        </is>
      </c>
      <c r="C285" s="34" t="n">
        <v>1</v>
      </c>
      <c r="D285" s="35" t="inlineStr">
        <is>
          <t>LS</t>
        </is>
      </c>
      <c r="E285" s="36" t="n">
        <v>200000</v>
      </c>
      <c r="F285" s="37">
        <f>C285*E285</f>
        <v/>
      </c>
      <c r="G285" s="16" t="inlineStr">
        <is>
          <t>Dev budget FF&amp;E 303</t>
        </is>
      </c>
    </row>
    <row r="286" ht="13" customHeight="1">
      <c r="B286" s="5" t="inlineStr">
        <is>
          <t xml:space="preserve">      CCTV cameras</t>
        </is>
      </c>
      <c r="C286" s="34" t="n">
        <v>110</v>
      </c>
      <c r="D286" s="35" t="inlineStr">
        <is>
          <t>EA</t>
        </is>
      </c>
      <c r="E286" s="36" t="n">
        <v>2000</v>
      </c>
      <c r="F286" s="37">
        <f>C286*E286</f>
        <v/>
      </c>
      <c r="G286" s="16" t="inlineStr">
        <is>
          <t>Dev budget FF&amp;E 303, priced in file</t>
        </is>
      </c>
    </row>
    <row r="287" ht="21" customHeight="1">
      <c r="B287" s="5" t="inlineStr">
        <is>
          <t xml:space="preserve">      Walk-through magnetometers</t>
        </is>
      </c>
      <c r="C287" s="34" t="n">
        <v>12</v>
      </c>
      <c r="D287" s="35" t="inlineStr">
        <is>
          <t>EA</t>
        </is>
      </c>
      <c r="E287" s="36" t="n">
        <v>10000</v>
      </c>
      <c r="F287" s="37">
        <f>C287*E287</f>
        <v/>
      </c>
      <c r="G287" s="16" t="inlineStr">
        <is>
          <t>FT paid $148,580 for a full OPENGATE system with LTE WiFi (CEIA USA) — 12 lanes at $10k lands in the same place</t>
        </is>
      </c>
    </row>
    <row r="288" ht="13" customHeight="1">
      <c r="B288" s="5" t="inlineStr">
        <is>
          <t xml:space="preserve">      Radios &amp; safes</t>
        </is>
      </c>
      <c r="C288" s="34" t="n">
        <v>1</v>
      </c>
      <c r="D288" s="35" t="inlineStr">
        <is>
          <t>LS</t>
        </is>
      </c>
      <c r="E288" s="36" t="n">
        <v>23000</v>
      </c>
      <c r="F288" s="37">
        <f>C288*E288</f>
        <v/>
      </c>
      <c r="G288" s="16" t="inlineStr">
        <is>
          <t>Dev budget FF&amp;E 306</t>
        </is>
      </c>
    </row>
    <row r="289" ht="13" customHeight="1">
      <c r="B289" s="5" t="inlineStr">
        <is>
          <t xml:space="preserve">      Custodial, barricades, bike racks, shop equipment</t>
        </is>
      </c>
      <c r="C289" s="34" t="n">
        <v>1</v>
      </c>
      <c r="D289" s="35" t="inlineStr">
        <is>
          <t>LS</t>
        </is>
      </c>
      <c r="E289" s="36" t="n">
        <v>29000</v>
      </c>
      <c r="F289" s="37">
        <f>C289*E289</f>
        <v/>
      </c>
      <c r="G289" s="16" t="inlineStr">
        <is>
          <t>FT unit rates: bike rack $211/each, crash barricade $200.76/ft</t>
        </is>
      </c>
    </row>
    <row r="290">
      <c r="B290" s="32" t="inlineStr">
        <is>
          <t xml:space="preserve">   Signage</t>
        </is>
      </c>
      <c r="C290" s="33" t="n"/>
      <c r="D290" s="33" t="n"/>
      <c r="E290" s="33" t="n"/>
      <c r="F290" s="33" t="n"/>
      <c r="G290" s="33" t="n"/>
    </row>
    <row r="291" ht="13" customHeight="1">
      <c r="B291" s="5" t="inlineStr">
        <is>
          <t xml:space="preserve">      Exterior building signage</t>
        </is>
      </c>
      <c r="C291" s="34" t="n">
        <v>1</v>
      </c>
      <c r="D291" s="35" t="inlineStr">
        <is>
          <t>LS</t>
        </is>
      </c>
      <c r="E291" s="36" t="n">
        <v>150000</v>
      </c>
      <c r="F291" s="37">
        <f>C291*E291</f>
        <v/>
      </c>
      <c r="G291" s="16" t="inlineStr">
        <is>
          <t>Identification and wayfinding, not a facade programme</t>
        </is>
      </c>
    </row>
    <row r="292">
      <c r="B292" s="32" t="inlineStr">
        <is>
          <t xml:space="preserve">   Installation</t>
        </is>
      </c>
      <c r="C292" s="33" t="n"/>
      <c r="D292" s="33" t="n"/>
      <c r="E292" s="33" t="n"/>
      <c r="F292" s="33" t="n"/>
      <c r="G292" s="33" t="n"/>
    </row>
    <row r="293" ht="13" customHeight="1">
      <c r="B293" s="5" t="inlineStr">
        <is>
          <t xml:space="preserve">      FF&amp;E installation labour</t>
        </is>
      </c>
      <c r="C293" s="34" t="n">
        <v>1</v>
      </c>
      <c r="D293" s="35" t="inlineStr">
        <is>
          <t>LS</t>
        </is>
      </c>
      <c r="E293" s="36" t="n">
        <v>600000</v>
      </c>
      <c r="F293" s="37">
        <f>C293*E293</f>
        <v/>
      </c>
      <c r="G293" s="16" t="inlineStr">
        <is>
          <t>Dev budget 120000, priced in file</t>
        </is>
      </c>
    </row>
    <row r="294">
      <c r="B294" s="30" t="inlineStr">
        <is>
          <t>700   SOFT COSTS</t>
        </is>
      </c>
      <c r="C294" s="31" t="n"/>
      <c r="D294" s="31" t="n"/>
      <c r="E294" s="31" t="n"/>
      <c r="F294" s="31" t="n"/>
      <c r="G294" s="31" t="n"/>
    </row>
    <row r="295">
      <c r="B295" s="32" t="inlineStr">
        <is>
          <t xml:space="preserve">   Design &amp; engineering</t>
        </is>
      </c>
      <c r="C295" s="33" t="n"/>
      <c r="D295" s="33" t="n"/>
      <c r="E295" s="33" t="n"/>
      <c r="F295" s="33" t="n"/>
      <c r="G295" s="33" t="n"/>
    </row>
    <row r="296" ht="21" customHeight="1">
      <c r="B296" s="5" t="inlineStr">
        <is>
          <t xml:space="preserve">      Architecture &amp; engineering (Wake)</t>
        </is>
      </c>
      <c r="C296" s="34" t="n">
        <v>1</v>
      </c>
      <c r="D296" s="35" t="inlineStr">
        <is>
          <t>LS</t>
        </is>
      </c>
      <c r="E296" s="36" t="n">
        <v>2200000</v>
      </c>
      <c r="F296" s="37">
        <f>C296*E296</f>
        <v/>
      </c>
      <c r="G296" s="16" t="inlineStr">
        <is>
          <t>Dev budget 203. MEP and structural folded in. FT's architect ran 3.9x its budget — watch this</t>
        </is>
      </c>
    </row>
    <row r="297" ht="13" customHeight="1">
      <c r="B297" s="5" t="inlineStr">
        <is>
          <t xml:space="preserve">      Conceptual &amp; brand development</t>
        </is>
      </c>
      <c r="C297" s="34" t="n">
        <v>1</v>
      </c>
      <c r="D297" s="35" t="inlineStr">
        <is>
          <t>LS</t>
        </is>
      </c>
      <c r="E297" s="36" t="n">
        <v>45000</v>
      </c>
      <c r="F297" s="37">
        <f>C297*E297</f>
        <v/>
      </c>
      <c r="G297" s="16" t="inlineStr">
        <is>
          <t>Dev budget 203-1</t>
        </is>
      </c>
    </row>
    <row r="298" ht="13" customHeight="1">
      <c r="B298" s="5" t="inlineStr">
        <is>
          <t xml:space="preserve">      Interior design</t>
        </is>
      </c>
      <c r="C298" s="34" t="n">
        <v>1</v>
      </c>
      <c r="D298" s="35" t="inlineStr">
        <is>
          <t>LS</t>
        </is>
      </c>
      <c r="E298" s="36" t="n">
        <v>90000</v>
      </c>
      <c r="F298" s="37">
        <f>C298*E298</f>
        <v/>
      </c>
      <c r="G298" s="16" t="inlineStr">
        <is>
          <t>Dev budget 203-2</t>
        </is>
      </c>
    </row>
    <row r="299" ht="13" customHeight="1">
      <c r="B299" s="5" t="inlineStr">
        <is>
          <t xml:space="preserve">      MEP consultant</t>
        </is>
      </c>
      <c r="C299" s="34" t="n">
        <v>1</v>
      </c>
      <c r="D299" s="35" t="inlineStr">
        <is>
          <t>LS</t>
        </is>
      </c>
      <c r="E299" s="36" t="n">
        <v>30000</v>
      </c>
      <c r="F299" s="37">
        <f>C299*E299</f>
        <v/>
      </c>
      <c r="G299" s="16" t="inlineStr">
        <is>
          <t>Dev budget 203-7</t>
        </is>
      </c>
    </row>
    <row r="300" ht="13" customHeight="1">
      <c r="B300" s="5" t="inlineStr">
        <is>
          <t xml:space="preserve">      Lighting design</t>
        </is>
      </c>
      <c r="C300" s="34" t="n">
        <v>1</v>
      </c>
      <c r="D300" s="35" t="inlineStr">
        <is>
          <t>LS</t>
        </is>
      </c>
      <c r="E300" s="36" t="n">
        <v>51000</v>
      </c>
      <c r="F300" s="37">
        <f>C300*E300</f>
        <v/>
      </c>
      <c r="G300" s="16" t="inlineStr">
        <is>
          <t>Dev budget 203-8, Bandit</t>
        </is>
      </c>
    </row>
    <row r="301" ht="13" customHeight="1">
      <c r="B301" s="5" t="inlineStr">
        <is>
          <t xml:space="preserve">      LV / AV design</t>
        </is>
      </c>
      <c r="C301" s="34" t="n">
        <v>1</v>
      </c>
      <c r="D301" s="35" t="inlineStr">
        <is>
          <t>LS</t>
        </is>
      </c>
      <c r="E301" s="36" t="n">
        <v>35000</v>
      </c>
      <c r="F301" s="37">
        <f>C301*E301</f>
        <v/>
      </c>
      <c r="G301" s="16" t="inlineStr">
        <is>
          <t>Dev budget 203-10</t>
        </is>
      </c>
    </row>
    <row r="302" ht="13" customHeight="1">
      <c r="B302" s="5" t="inlineStr">
        <is>
          <t xml:space="preserve">      Signage &amp; wayfinding design</t>
        </is>
      </c>
      <c r="C302" s="34" t="n">
        <v>1</v>
      </c>
      <c r="D302" s="35" t="inlineStr">
        <is>
          <t>LS</t>
        </is>
      </c>
      <c r="E302" s="36" t="n">
        <v>75000</v>
      </c>
      <c r="F302" s="37">
        <f>C302*E302</f>
        <v/>
      </c>
      <c r="G302" s="16" t="inlineStr">
        <is>
          <t>Dev budget 203-11</t>
        </is>
      </c>
    </row>
    <row r="303" ht="13" customHeight="1">
      <c r="B303" s="5" t="inlineStr">
        <is>
          <t xml:space="preserve">      Renderings &amp; reimbursables</t>
        </is>
      </c>
      <c r="C303" s="34" t="n">
        <v>1</v>
      </c>
      <c r="D303" s="35" t="inlineStr">
        <is>
          <t>LS</t>
        </is>
      </c>
      <c r="E303" s="36" t="n">
        <v>80000</v>
      </c>
      <c r="F303" s="37">
        <f>C303*E303</f>
        <v/>
      </c>
      <c r="G303" s="16" t="inlineStr">
        <is>
          <t>Dev budget 203-12/13</t>
        </is>
      </c>
    </row>
    <row r="304" ht="13" customHeight="1">
      <c r="B304" s="5" t="inlineStr">
        <is>
          <t xml:space="preserve">      Acoustical engineering &amp; design</t>
        </is>
      </c>
      <c r="C304" s="34" t="n">
        <v>1</v>
      </c>
      <c r="D304" s="35" t="inlineStr">
        <is>
          <t>LS</t>
        </is>
      </c>
      <c r="E304" s="36" t="n">
        <v>200000</v>
      </c>
      <c r="F304" s="37">
        <f>C304*E304</f>
        <v/>
      </c>
      <c r="G304" s="16" t="inlineStr">
        <is>
          <t>Designing $2M of treatment. Dev budget carried $15,000 for testing only</t>
        </is>
      </c>
    </row>
    <row r="305" ht="13" customHeight="1">
      <c r="B305" s="5" t="inlineStr">
        <is>
          <t xml:space="preserve">      Structural engineering peer review</t>
        </is>
      </c>
      <c r="C305" s="34" t="n">
        <v>1</v>
      </c>
      <c r="D305" s="35" t="inlineStr">
        <is>
          <t>LS</t>
        </is>
      </c>
      <c r="E305" s="36" t="n">
        <v>65000</v>
      </c>
      <c r="F305" s="37">
        <f>C305*E305</f>
        <v/>
      </c>
      <c r="G305" s="16" t="inlineStr">
        <is>
          <t>A roof lift warrants an independent check</t>
        </is>
      </c>
    </row>
    <row r="306" ht="13" customHeight="1">
      <c r="B306" s="5" t="inlineStr">
        <is>
          <t xml:space="preserve">      Civil engineering</t>
        </is>
      </c>
      <c r="C306" s="34" t="n">
        <v>1</v>
      </c>
      <c r="D306" s="35" t="inlineStr">
        <is>
          <t>LS</t>
        </is>
      </c>
      <c r="E306" s="36" t="n">
        <v>10000</v>
      </c>
      <c r="F306" s="37">
        <f>C306*E306</f>
        <v/>
      </c>
      <c r="G306" s="16" t="inlineStr">
        <is>
          <t>Dev budget 204</t>
        </is>
      </c>
    </row>
    <row r="307" ht="13" customHeight="1">
      <c r="B307" s="5" t="inlineStr">
        <is>
          <t xml:space="preserve">      Traffic engineering</t>
        </is>
      </c>
      <c r="C307" s="34" t="n">
        <v>1</v>
      </c>
      <c r="D307" s="35" t="inlineStr">
        <is>
          <t>LS</t>
        </is>
      </c>
      <c r="E307" s="36" t="n">
        <v>25000</v>
      </c>
      <c r="F307" s="37">
        <f>C307*E307</f>
        <v/>
      </c>
      <c r="G307" s="16" t="inlineStr">
        <is>
          <t>Dev budget 205. MT G45: 'prob more'</t>
        </is>
      </c>
    </row>
    <row r="308">
      <c r="B308" s="32" t="inlineStr">
        <is>
          <t xml:space="preserve">   Investigation</t>
        </is>
      </c>
      <c r="C308" s="33" t="n"/>
      <c r="D308" s="33" t="n"/>
      <c r="E308" s="33" t="n"/>
      <c r="F308" s="33" t="n"/>
      <c r="G308" s="33" t="n"/>
    </row>
    <row r="309" ht="13" customHeight="1">
      <c r="B309" s="5" t="inlineStr">
        <is>
          <t xml:space="preserve">      Geotechnical — 13 borings 50ft deep</t>
        </is>
      </c>
      <c r="C309" s="34" t="n">
        <v>1</v>
      </c>
      <c r="D309" s="35" t="inlineStr">
        <is>
          <t>LS</t>
        </is>
      </c>
      <c r="E309" s="36" t="n">
        <v>150000</v>
      </c>
      <c r="F309" s="37">
        <f>C309*E309</f>
        <v/>
      </c>
      <c r="G309" s="16" t="inlineStr">
        <is>
          <t>Dev budget 207. Required for the structural (ST) permit</t>
        </is>
      </c>
    </row>
    <row r="310" ht="13" customHeight="1">
      <c r="B310" s="5" t="inlineStr">
        <is>
          <t xml:space="preserve">      Phase I environmental</t>
        </is>
      </c>
      <c r="C310" s="34" t="n">
        <v>1</v>
      </c>
      <c r="D310" s="35" t="inlineStr">
        <is>
          <t>LS</t>
        </is>
      </c>
      <c r="E310" s="36" t="n">
        <v>45000</v>
      </c>
      <c r="F310" s="37">
        <f>C310*E310</f>
        <v/>
      </c>
      <c r="G310" s="16" t="inlineStr">
        <is>
          <t>Dev budget carried $0</t>
        </is>
      </c>
    </row>
    <row r="311" ht="13" customHeight="1">
      <c r="B311" s="5" t="inlineStr">
        <is>
          <t xml:space="preserve">      Phase II environmental &amp; soil sampling</t>
        </is>
      </c>
      <c r="C311" s="34" t="n">
        <v>1</v>
      </c>
      <c r="D311" s="35" t="inlineStr">
        <is>
          <t>LS</t>
        </is>
      </c>
      <c r="E311" s="36" t="n">
        <v>105000</v>
      </c>
      <c r="F311" s="37">
        <f>C311*E311</f>
        <v/>
      </c>
      <c r="G311" s="16" t="inlineStr">
        <is>
          <t>1948 industrial site, countertop manufacturer</t>
        </is>
      </c>
    </row>
    <row r="312" ht="13" customHeight="1">
      <c r="B312" s="5" t="inlineStr">
        <is>
          <t xml:space="preserve">      Existing-conditions survey &amp; scan</t>
        </is>
      </c>
      <c r="C312" s="34" t="n">
        <v>1</v>
      </c>
      <c r="D312" s="35" t="inlineStr">
        <is>
          <t>LS</t>
        </is>
      </c>
      <c r="E312" s="36" t="n">
        <v>85000</v>
      </c>
      <c r="F312" s="37">
        <f>C312*E312</f>
        <v/>
      </c>
      <c r="G312" s="16" t="inlineStr">
        <is>
          <t>Required before a lift</t>
        </is>
      </c>
    </row>
    <row r="313" ht="21" customHeight="1">
      <c r="B313" s="5" t="inlineStr">
        <is>
          <t xml:space="preserve">      Rooflifters Stage 3 structural analysis</t>
        </is>
      </c>
      <c r="C313" s="34" t="n">
        <v>1</v>
      </c>
      <c r="D313" s="35" t="inlineStr">
        <is>
          <t>LS</t>
        </is>
      </c>
      <c r="E313" s="36" t="n">
        <v>50000</v>
      </c>
      <c r="F313" s="37">
        <f>C313*E313</f>
        <v/>
      </c>
      <c r="G313" s="16" t="inlineStr">
        <is>
          <t>Fee credited against the contract if awarded. WORTH $4.9M OF SCOPE CERTAINTY</t>
        </is>
      </c>
    </row>
    <row r="314">
      <c r="B314" s="32" t="inlineStr">
        <is>
          <t xml:space="preserve">   Permits &amp; approvals</t>
        </is>
      </c>
      <c r="C314" s="33" t="n"/>
      <c r="D314" s="33" t="n"/>
      <c r="E314" s="33" t="n"/>
      <c r="F314" s="33" t="n"/>
      <c r="G314" s="33" t="n"/>
    </row>
    <row r="315" ht="13" customHeight="1">
      <c r="B315" s="5" t="inlineStr">
        <is>
          <t xml:space="preserve">      DOB permit &amp; plan review fees</t>
        </is>
      </c>
      <c r="C315" s="34" t="n">
        <v>1</v>
      </c>
      <c r="D315" s="35" t="inlineStr">
        <is>
          <t>LS</t>
        </is>
      </c>
      <c r="E315" s="36" t="n">
        <v>90000</v>
      </c>
      <c r="F315" s="37">
        <f>C315*E315</f>
        <v/>
      </c>
      <c r="G315" s="16" t="inlineStr">
        <is>
          <t>Dev budget 209-1</t>
        </is>
      </c>
    </row>
    <row r="316" ht="13" customHeight="1">
      <c r="B316" s="5" t="inlineStr">
        <is>
          <t xml:space="preserve">      Special Projects Program</t>
        </is>
      </c>
      <c r="C316" s="34" t="n">
        <v>1</v>
      </c>
      <c r="D316" s="35" t="inlineStr">
        <is>
          <t>LS</t>
        </is>
      </c>
      <c r="E316" s="36" t="n">
        <v>50000</v>
      </c>
      <c r="F316" s="37">
        <f>C316*E316</f>
        <v/>
      </c>
      <c r="G316" s="16" t="inlineStr">
        <is>
          <t>Dev budget 209-2</t>
        </is>
      </c>
    </row>
    <row r="317" ht="13" customHeight="1">
      <c r="B317" s="5" t="inlineStr">
        <is>
          <t xml:space="preserve">      MEP &amp; misc permit fees</t>
        </is>
      </c>
      <c r="C317" s="34" t="n">
        <v>1</v>
      </c>
      <c r="D317" s="35" t="inlineStr">
        <is>
          <t>LS</t>
        </is>
      </c>
      <c r="E317" s="36" t="n">
        <v>10000</v>
      </c>
      <c r="F317" s="37">
        <f>C317*E317</f>
        <v/>
      </c>
      <c r="G317" s="16" t="inlineStr">
        <is>
          <t>Dev budget 209-2</t>
        </is>
      </c>
    </row>
    <row r="318" ht="13" customHeight="1">
      <c r="B318" s="5" t="inlineStr">
        <is>
          <t xml:space="preserve">      DOB structural (ST) permit filing &amp; expediting</t>
        </is>
      </c>
      <c r="C318" s="34" t="n">
        <v>1</v>
      </c>
      <c r="D318" s="35" t="inlineStr">
        <is>
          <t>LS</t>
        </is>
      </c>
      <c r="E318" s="36" t="n">
        <v>120000</v>
      </c>
      <c r="F318" s="37">
        <f>C318*E318</f>
        <v/>
      </c>
      <c r="G318" s="16" t="inlineStr">
        <is>
          <t>12-18 month approval — the other half of the moat</t>
        </is>
      </c>
    </row>
    <row r="319" ht="13" customHeight="1">
      <c r="B319" s="5" t="inlineStr">
        <is>
          <t xml:space="preserve">      FA consultant, filing &amp; inspection scheduling</t>
        </is>
      </c>
      <c r="C319" s="34" t="n">
        <v>1</v>
      </c>
      <c r="D319" s="35" t="inlineStr">
        <is>
          <t>LS</t>
        </is>
      </c>
      <c r="E319" s="36" t="n">
        <v>35000</v>
      </c>
      <c r="F319" s="37">
        <f>C319*E319</f>
        <v/>
      </c>
      <c r="G319" s="16" t="inlineStr">
        <is>
          <t>Dev budget 209-4</t>
        </is>
      </c>
    </row>
    <row r="320" ht="13" customHeight="1">
      <c r="B320" s="5" t="inlineStr">
        <is>
          <t xml:space="preserve">      Fire safety &amp; emergency action plan</t>
        </is>
      </c>
      <c r="C320" s="34" t="n">
        <v>1</v>
      </c>
      <c r="D320" s="35" t="inlineStr">
        <is>
          <t>LS</t>
        </is>
      </c>
      <c r="E320" s="36" t="n">
        <v>21500</v>
      </c>
      <c r="F320" s="37">
        <f>C320*E320</f>
        <v/>
      </c>
      <c r="G320" s="16" t="inlineStr">
        <is>
          <t>Dev budget 209-5</t>
        </is>
      </c>
    </row>
    <row r="321" ht="13" customHeight="1">
      <c r="B321" s="5" t="inlineStr">
        <is>
          <t xml:space="preserve">      Fire protection plan &amp; FDNY filing</t>
        </is>
      </c>
      <c r="C321" s="34" t="n">
        <v>1</v>
      </c>
      <c r="D321" s="35" t="inlineStr">
        <is>
          <t>LS</t>
        </is>
      </c>
      <c r="E321" s="36" t="n">
        <v>18500</v>
      </c>
      <c r="F321" s="37">
        <f>C321*E321</f>
        <v/>
      </c>
      <c r="G321" s="16" t="inlineStr">
        <is>
          <t>Dev budget 209-6</t>
        </is>
      </c>
    </row>
    <row r="322" ht="13" customHeight="1">
      <c r="B322" s="5" t="inlineStr">
        <is>
          <t xml:space="preserve">      Place of Assembly certificate</t>
        </is>
      </c>
      <c r="C322" s="34" t="n">
        <v>1</v>
      </c>
      <c r="D322" s="35" t="inlineStr">
        <is>
          <t>LS</t>
        </is>
      </c>
      <c r="E322" s="36" t="n">
        <v>25000</v>
      </c>
      <c r="F322" s="37">
        <f>C322*E322</f>
        <v/>
      </c>
      <c r="G322" s="16" t="inlineStr">
        <is>
          <t>CODE — required above a low occupant threshold</t>
        </is>
      </c>
    </row>
    <row r="323" ht="13" customHeight="1">
      <c r="B323" s="5" t="inlineStr">
        <is>
          <t xml:space="preserve">      Utility connection fees (Con Ed)</t>
        </is>
      </c>
      <c r="C323" s="34" t="n">
        <v>1</v>
      </c>
      <c r="D323" s="35" t="inlineStr">
        <is>
          <t>LS</t>
        </is>
      </c>
      <c r="E323" s="36" t="n">
        <v>50000</v>
      </c>
      <c r="F323" s="37">
        <f>C323*E323</f>
        <v/>
      </c>
      <c r="G323" s="16" t="inlineStr">
        <is>
          <t>Dev budget 210. The fee only</t>
        </is>
      </c>
    </row>
    <row r="324">
      <c r="B324" s="32" t="inlineStr">
        <is>
          <t xml:space="preserve">   Legal &amp; licensing</t>
        </is>
      </c>
      <c r="C324" s="33" t="n"/>
      <c r="D324" s="33" t="n"/>
      <c r="E324" s="33" t="n"/>
      <c r="F324" s="33" t="n"/>
      <c r="G324" s="33" t="n"/>
    </row>
    <row r="325" ht="13" customHeight="1">
      <c r="B325" s="5" t="inlineStr">
        <is>
          <t xml:space="preserve">      SLA liquor licence — application &amp; counsel</t>
        </is>
      </c>
      <c r="C325" s="34" t="n">
        <v>1</v>
      </c>
      <c r="D325" s="35" t="inlineStr">
        <is>
          <t>LS</t>
        </is>
      </c>
      <c r="E325" s="36" t="n">
        <v>120000</v>
      </c>
      <c r="F325" s="37">
        <f>C325*E325</f>
        <v/>
      </c>
      <c r="G325" s="16" t="inlineStr">
        <is>
          <t>FT's liquor licence came in at $250,000 against a ZERO budget</t>
        </is>
      </c>
    </row>
    <row r="326" ht="21" customHeight="1">
      <c r="B326" s="5" t="inlineStr">
        <is>
          <t xml:space="preserve">      Cabaret licence / current equivalent</t>
        </is>
      </c>
      <c r="C326" s="34" t="n">
        <v>1</v>
      </c>
      <c r="D326" s="35" t="inlineStr">
        <is>
          <t>LS</t>
        </is>
      </c>
      <c r="E326" s="36" t="n">
        <v>45000</v>
      </c>
      <c r="F326" s="37">
        <f>C326*E326</f>
        <v/>
      </c>
      <c r="G326" s="16" t="inlineStr">
        <is>
          <t>VERIFY — NYC repealed the cabaret law in 2017. Confirm what applies today</t>
        </is>
      </c>
    </row>
    <row r="327" ht="13" customHeight="1">
      <c r="B327" s="5" t="inlineStr">
        <is>
          <t xml:space="preserve">      Theater use-classification filing &amp; counsel</t>
        </is>
      </c>
      <c r="C327" s="34" t="n">
        <v>1</v>
      </c>
      <c r="D327" s="35" t="inlineStr">
        <is>
          <t>LS</t>
        </is>
      </c>
      <c r="E327" s="36" t="n">
        <v>55000</v>
      </c>
      <c r="F327" s="37">
        <f>C327*E327</f>
        <v/>
      </c>
      <c r="G327" s="16" t="inlineStr">
        <is>
          <t>Carries both licences. Must be established at DOB filing</t>
        </is>
      </c>
    </row>
    <row r="328" ht="13" customHeight="1">
      <c r="B328" s="5" t="inlineStr">
        <is>
          <t xml:space="preserve">      Land use / zoning determination</t>
        </is>
      </c>
      <c r="C328" s="34" t="n">
        <v>1</v>
      </c>
      <c r="D328" s="35" t="inlineStr">
        <is>
          <t>LS</t>
        </is>
      </c>
      <c r="E328" s="36" t="n">
        <v>30000</v>
      </c>
      <c r="F328" s="37">
        <f>C328*E328</f>
        <v/>
      </c>
      <c r="G328" s="16" t="inlineStr">
        <is>
          <t>The as-of-right claim needs a written determination</t>
        </is>
      </c>
    </row>
    <row r="329">
      <c r="B329" s="32" t="inlineStr">
        <is>
          <t xml:space="preserve">   Project management &amp; control</t>
        </is>
      </c>
      <c r="C329" s="33" t="n"/>
      <c r="D329" s="33" t="n"/>
      <c r="E329" s="33" t="n"/>
      <c r="F329" s="33" t="n"/>
      <c r="G329" s="33" t="n"/>
    </row>
    <row r="330" ht="84" customHeight="1">
      <c r="B330" s="5" t="inlineStr">
        <is>
          <t xml:space="preserve">      Project management — owner's team (Thomas + consultants)</t>
        </is>
      </c>
      <c r="C330" s="34" t="n">
        <v>1</v>
      </c>
      <c r="D330" s="35" t="inlineStr">
        <is>
          <t>LS</t>
        </is>
      </c>
      <c r="E330" s="36" t="n">
        <v>500000</v>
      </c>
      <c r="F330" s="37">
        <f>C330*E330</f>
        <v/>
      </c>
      <c r="G330" s="16" t="inlineStr">
        <is>
          <t>CUT TO $500,000 PER MT. WHO IT GOES TO: OUR OWN development team, not Live Nation. Carried against Thomas as project manager plus the outside consultants he runs. Live Nation is the programming / co-pro partner, NOT the developer — they do not staff this and they do not pay for it. At 1.1% of trade cost this is below the 2-4% norm, so it buys ONE full-time PM and a thin consultant bench, not an owner's-rep firm. Under-resourced owner PM is how change orders get approved unchallenged, so this is the line to watch, not the line to cut again</t>
        </is>
      </c>
    </row>
    <row r="331" ht="13" customHeight="1">
      <c r="B331" s="5" t="inlineStr">
        <is>
          <t xml:space="preserve">      Estimating services</t>
        </is>
      </c>
      <c r="C331" s="34" t="n">
        <v>1</v>
      </c>
      <c r="D331" s="35" t="inlineStr">
        <is>
          <t>LS</t>
        </is>
      </c>
      <c r="E331" s="36" t="n">
        <v>20000</v>
      </c>
      <c r="F331" s="37">
        <f>C331*E331</f>
        <v/>
      </c>
      <c r="G331" s="16" t="inlineStr">
        <is>
          <t>Dev budget 213-2</t>
        </is>
      </c>
    </row>
    <row r="332" ht="13" customHeight="1">
      <c r="B332" s="5" t="inlineStr">
        <is>
          <t xml:space="preserve">      Controlled &amp; special inspections</t>
        </is>
      </c>
      <c r="C332" s="34" t="n">
        <v>1</v>
      </c>
      <c r="D332" s="35" t="inlineStr">
        <is>
          <t>LS</t>
        </is>
      </c>
      <c r="E332" s="36" t="n">
        <v>140000</v>
      </c>
      <c r="F332" s="37">
        <f>C332*E332</f>
        <v/>
      </c>
      <c r="G332" s="16" t="inlineStr">
        <is>
          <t>Dev budget 212 carried $50,000</t>
        </is>
      </c>
    </row>
    <row r="333" ht="13" customHeight="1">
      <c r="B333" s="5" t="inlineStr">
        <is>
          <t xml:space="preserve">      Builder's risk &amp; GL insurance</t>
        </is>
      </c>
      <c r="C333" s="34" t="n">
        <v>1</v>
      </c>
      <c r="D333" s="35" t="inlineStr">
        <is>
          <t>LS</t>
        </is>
      </c>
      <c r="E333" s="36" t="n">
        <v>385000</v>
      </c>
      <c r="F333" s="37">
        <f>C333*E333</f>
        <v/>
      </c>
      <c r="G333" s="16" t="inlineStr">
        <is>
          <t>Not separately carried in the dev budget</t>
        </is>
      </c>
    </row>
    <row r="334">
      <c r="B334" s="32" t="inlineStr">
        <is>
          <t xml:space="preserve">   Committed</t>
        </is>
      </c>
      <c r="C334" s="33" t="n"/>
      <c r="D334" s="33" t="n"/>
      <c r="E334" s="33" t="n"/>
      <c r="F334" s="33" t="n"/>
      <c r="G334" s="33" t="n"/>
    </row>
    <row r="335" ht="13" customHeight="1">
      <c r="B335" s="5" t="inlineStr">
        <is>
          <t xml:space="preserve">      Feasibility &amp; due diligence (spent)</t>
        </is>
      </c>
      <c r="C335" s="34" t="n">
        <v>1</v>
      </c>
      <c r="D335" s="35" t="inlineStr">
        <is>
          <t>LS</t>
        </is>
      </c>
      <c r="E335" s="36" t="n">
        <v>342000</v>
      </c>
      <c r="F335" s="37">
        <f>C335*E335</f>
        <v/>
      </c>
      <c r="G335" s="16" t="inlineStr">
        <is>
          <t>Dev budget 202. Already committed</t>
        </is>
      </c>
    </row>
    <row r="336">
      <c r="B336" s="30" t="inlineStr">
        <is>
          <t>800   KITCHEN &amp; FOOD SERVICE — scope toggle at the top of the sheet</t>
        </is>
      </c>
      <c r="C336" s="31" t="n"/>
      <c r="D336" s="31" t="n"/>
      <c r="E336" s="31" t="n"/>
      <c r="F336" s="31" t="n"/>
      <c r="G336" s="31" t="n"/>
    </row>
    <row r="337">
      <c r="B337" s="32" t="inlineStr">
        <is>
          <t xml:space="preserve">   L0 · Base food service — you need this at ANY scope</t>
        </is>
      </c>
      <c r="C337" s="33" t="n"/>
      <c r="D337" s="33" t="n"/>
      <c r="E337" s="33" t="n"/>
      <c r="F337" s="33" t="n"/>
      <c r="G337" s="33" t="n"/>
    </row>
    <row r="338" ht="21" customHeight="1">
      <c r="B338" s="5" t="inlineStr">
        <is>
          <t xml:space="preserve">      Concession / grab-and-go service points, build-out</t>
        </is>
      </c>
      <c r="C338" s="34" t="n">
        <v>4</v>
      </c>
      <c r="D338" s="35" t="inlineStr">
        <is>
          <t>EA</t>
        </is>
      </c>
      <c r="E338" s="36" t="n">
        <v>22000</v>
      </c>
      <c r="F338" s="37">
        <f>C338*E338</f>
        <v/>
      </c>
      <c r="G338" s="16" t="inlineStr">
        <is>
          <t>Four service points off the lobby and the mezzanine. Needed even if you never cook anything on site</t>
        </is>
      </c>
    </row>
    <row r="339" ht="13" customHeight="1">
      <c r="B339" s="5" t="inlineStr">
        <is>
          <t xml:space="preserve">      Reach-in refrigeration at service points</t>
        </is>
      </c>
      <c r="C339" s="34" t="n">
        <v>8</v>
      </c>
      <c r="D339" s="35" t="inlineStr">
        <is>
          <t>EA</t>
        </is>
      </c>
      <c r="E339" s="36" t="n">
        <v>4200</v>
      </c>
      <c r="F339" s="37">
        <f>C339*E339</f>
        <v/>
      </c>
      <c r="G339" s="16" t="inlineStr"/>
    </row>
    <row r="340" ht="13" customHeight="1">
      <c r="B340" s="5" t="inlineStr">
        <is>
          <t xml:space="preserve">      Power &amp; water to service points</t>
        </is>
      </c>
      <c r="C340" s="34" t="n">
        <v>1</v>
      </c>
      <c r="D340" s="35" t="inlineStr">
        <is>
          <t>LS</t>
        </is>
      </c>
      <c r="E340" s="36" t="n">
        <v>38000</v>
      </c>
      <c r="F340" s="37">
        <f>C340*E340</f>
        <v/>
      </c>
      <c r="G340" s="16" t="inlineStr"/>
    </row>
    <row r="341" ht="21" customHeight="1">
      <c r="B341" s="5" t="inlineStr">
        <is>
          <t xml:space="preserve">      Hand sinks &amp; DOH compliance at service points</t>
        </is>
      </c>
      <c r="C341" s="34" t="n">
        <v>6</v>
      </c>
      <c r="D341" s="35" t="inlineStr">
        <is>
          <t>EA</t>
        </is>
      </c>
      <c r="E341" s="36" t="n">
        <v>3800</v>
      </c>
      <c r="F341" s="37">
        <f>C341*E341</f>
        <v/>
      </c>
      <c r="G341" s="16" t="inlineStr">
        <is>
          <t>CODE. DOH requires a hand sink within reach of every food-handling station, whatever the food is</t>
        </is>
      </c>
    </row>
    <row r="342">
      <c r="B342" s="32" t="inlineStr">
        <is>
          <t xml:space="preserve">   L1 · Warming / finishing kitchen — adds to L0</t>
        </is>
      </c>
      <c r="C342" s="33" t="n"/>
      <c r="D342" s="33" t="n"/>
      <c r="E342" s="33" t="n"/>
      <c r="F342" s="33" t="n"/>
      <c r="G342" s="33" t="n"/>
    </row>
    <row r="343" ht="21" customHeight="1">
      <c r="B343" s="5" t="inlineStr">
        <is>
          <t xml:space="preserve">      Quarry tile floor &amp; coved base</t>
        </is>
      </c>
      <c r="C343" s="34" t="n">
        <v>1400</v>
      </c>
      <c r="D343" s="35" t="inlineStr">
        <is>
          <t>SF</t>
        </is>
      </c>
      <c r="E343" s="36" t="n">
        <v>22</v>
      </c>
      <c r="F343" s="37">
        <f>C343*E343</f>
        <v/>
      </c>
      <c r="G343" s="16" t="inlineStr">
        <is>
          <t>CODE. DOH requires a hard, non-absorbent, coved floor in any food prep area</t>
        </is>
      </c>
    </row>
    <row r="344" ht="13" customHeight="1">
      <c r="B344" s="5" t="inlineStr">
        <is>
          <t xml:space="preserve">      FRP wall panels at prep areas</t>
        </is>
      </c>
      <c r="C344" s="34" t="n">
        <v>1200</v>
      </c>
      <c r="D344" s="35" t="inlineStr">
        <is>
          <t>SF</t>
        </is>
      </c>
      <c r="E344" s="36" t="n">
        <v>15</v>
      </c>
      <c r="F344" s="37">
        <f>C344*E344</f>
        <v/>
      </c>
      <c r="G344" s="16" t="inlineStr">
        <is>
          <t>Dev budget 092000-9 rate. MOVED HERE from division 400</t>
        </is>
      </c>
    </row>
    <row r="345" ht="13" customHeight="1">
      <c r="B345" s="5" t="inlineStr">
        <is>
          <t xml:space="preserve">      Washable ceiling</t>
        </is>
      </c>
      <c r="C345" s="34" t="n">
        <v>1400</v>
      </c>
      <c r="D345" s="35" t="inlineStr">
        <is>
          <t>SF</t>
        </is>
      </c>
      <c r="E345" s="36" t="n">
        <v>9</v>
      </c>
      <c r="F345" s="37">
        <f>C345*E345</f>
        <v/>
      </c>
      <c r="G345" s="16" t="inlineStr">
        <is>
          <t>CODE</t>
        </is>
      </c>
    </row>
    <row r="346" ht="21" customHeight="1">
      <c r="B346" s="5" t="inlineStr">
        <is>
          <t xml:space="preserve">      Type II exhaust hood, non-grease</t>
        </is>
      </c>
      <c r="C346" s="34" t="n">
        <v>20</v>
      </c>
      <c r="D346" s="35" t="inlineStr">
        <is>
          <t>LF</t>
        </is>
      </c>
      <c r="E346" s="36" t="n">
        <v>1400</v>
      </c>
      <c r="F346" s="37">
        <f>C346*E346</f>
        <v/>
      </c>
      <c r="G346" s="16" t="inlineStr">
        <is>
          <t>Type II is the cheap hood. It only works if you are NOT frying, grilling or char-broiling</t>
        </is>
      </c>
    </row>
    <row r="347" ht="21" customHeight="1">
      <c r="B347" s="5" t="inlineStr">
        <is>
          <t xml:space="preserve">      Make-up air unit</t>
        </is>
      </c>
      <c r="C347" s="34" t="n">
        <v>1</v>
      </c>
      <c r="D347" s="35" t="inlineStr">
        <is>
          <t>LS</t>
        </is>
      </c>
      <c r="E347" s="36" t="n">
        <v>42000</v>
      </c>
      <c r="F347" s="37">
        <f>C347*E347</f>
        <v/>
      </c>
      <c r="G347" s="16" t="inlineStr">
        <is>
          <t>A hood pulls air out of the room. You have to put it back or the room goes negative and the doors will not open</t>
        </is>
      </c>
    </row>
    <row r="348" ht="13" customHeight="1">
      <c r="B348" s="5" t="inlineStr">
        <is>
          <t xml:space="preserve">      Kitchen exhaust duct, shaft &amp; roof penetration</t>
        </is>
      </c>
      <c r="C348" s="34" t="n">
        <v>1</v>
      </c>
      <c r="D348" s="35" t="inlineStr">
        <is>
          <t>LS</t>
        </is>
      </c>
      <c r="E348" s="36" t="n">
        <v>70000</v>
      </c>
      <c r="F348" s="37">
        <f>C348*E348</f>
        <v/>
      </c>
      <c r="G348" s="16" t="inlineStr">
        <is>
          <t>MOVED HERE from division 500</t>
        </is>
      </c>
    </row>
    <row r="349" ht="21" customHeight="1">
      <c r="B349" s="5" t="inlineStr">
        <is>
          <t xml:space="preserve">      Kitchen plumbing rough-in</t>
        </is>
      </c>
      <c r="C349" s="34" t="n">
        <v>1</v>
      </c>
      <c r="D349" s="35" t="inlineStr">
        <is>
          <t>LS</t>
        </is>
      </c>
      <c r="E349" s="36" t="n">
        <v>78000</v>
      </c>
      <c r="F349" s="37">
        <f>C349*E349</f>
        <v/>
      </c>
      <c r="G349" s="16" t="inlineStr">
        <is>
          <t>Dev budget 220000-15 was $135,000 for a FULL kitchen at qty 0. Warming scope is less</t>
        </is>
      </c>
    </row>
    <row r="350" ht="13" customHeight="1">
      <c r="B350" s="5" t="inlineStr">
        <is>
          <t xml:space="preserve">      Dedicated power to equipment</t>
        </is>
      </c>
      <c r="C350" s="34" t="n">
        <v>1400</v>
      </c>
      <c r="D350" s="35" t="inlineStr">
        <is>
          <t>SF</t>
        </is>
      </c>
      <c r="E350" s="36" t="n">
        <v>35</v>
      </c>
      <c r="F350" s="37">
        <f>C350*E350</f>
        <v/>
      </c>
      <c r="G350" s="16" t="inlineStr">
        <is>
          <t>Dev budget 260000-8 rate, QTY 0</t>
        </is>
      </c>
    </row>
    <row r="351" ht="13" customHeight="1">
      <c r="B351" s="5" t="inlineStr">
        <is>
          <t xml:space="preserve">      Walk-in cooler, kitchen</t>
        </is>
      </c>
      <c r="C351" s="34" t="n">
        <v>1</v>
      </c>
      <c r="D351" s="35" t="inlineStr">
        <is>
          <t>EA</t>
        </is>
      </c>
      <c r="E351" s="36" t="n">
        <v>42000</v>
      </c>
      <c r="F351" s="37">
        <f>C351*E351</f>
        <v/>
      </c>
      <c r="G351" s="16" t="inlineStr">
        <is>
          <t>Separate from the two BAR walk-ins already carried in division 600</t>
        </is>
      </c>
    </row>
    <row r="352" ht="13" customHeight="1">
      <c r="B352" s="5" t="inlineStr">
        <is>
          <t xml:space="preserve">      Warming &amp; finishing equipment: combis, holding cabinets, prep</t>
        </is>
      </c>
      <c r="C352" s="34" t="n">
        <v>1</v>
      </c>
      <c r="D352" s="35" t="inlineStr">
        <is>
          <t>LS</t>
        </is>
      </c>
      <c r="E352" s="36" t="n">
        <v>165000</v>
      </c>
      <c r="F352" s="37">
        <f>C352*E352</f>
        <v/>
      </c>
      <c r="G352" s="16" t="inlineStr"/>
    </row>
    <row r="353" ht="13" customHeight="1">
      <c r="B353" s="5" t="inlineStr">
        <is>
          <t xml:space="preserve">      DOH &amp; DOB kitchen filings</t>
        </is>
      </c>
      <c r="C353" s="34" t="n">
        <v>1</v>
      </c>
      <c r="D353" s="35" t="inlineStr">
        <is>
          <t>LS</t>
        </is>
      </c>
      <c r="E353" s="36" t="n">
        <v>35000</v>
      </c>
      <c r="F353" s="37">
        <f>C353*E353</f>
        <v/>
      </c>
      <c r="G353" s="16" t="inlineStr">
        <is>
          <t>CODE. A food service establishment is its own permit track</t>
        </is>
      </c>
    </row>
    <row r="354">
      <c r="B354" s="32" t="inlineStr">
        <is>
          <t xml:space="preserve">   L2 · Full production kitchen — adds to L1</t>
        </is>
      </c>
      <c r="C354" s="33" t="n"/>
      <c r="D354" s="33" t="n"/>
      <c r="E354" s="33" t="n"/>
      <c r="F354" s="33" t="n"/>
      <c r="G354" s="33" t="n"/>
    </row>
    <row r="355" ht="13" customHeight="1">
      <c r="B355" s="5" t="inlineStr">
        <is>
          <t xml:space="preserve">      Floor, wall &amp; ceiling at the larger footprint</t>
        </is>
      </c>
      <c r="C355" s="34" t="n">
        <v>1600</v>
      </c>
      <c r="D355" s="35" t="inlineStr">
        <is>
          <t>SF</t>
        </is>
      </c>
      <c r="E355" s="36" t="n">
        <v>40</v>
      </c>
      <c r="F355" s="37">
        <f>C355*E355</f>
        <v/>
      </c>
      <c r="G355" s="16" t="inlineStr">
        <is>
          <t>A production kitchen is roughly 3,000 SF against 1,400 for warming</t>
        </is>
      </c>
    </row>
    <row r="356" ht="21" customHeight="1">
      <c r="B356" s="5" t="inlineStr">
        <is>
          <t xml:space="preserve">      Upgrade Type II to Type I grease hood incl. larger make-up air</t>
        </is>
      </c>
      <c r="C356" s="34" t="n">
        <v>1</v>
      </c>
      <c r="D356" s="35" t="inlineStr">
        <is>
          <t>LS</t>
        </is>
      </c>
      <c r="E356" s="36" t="n">
        <v>118000</v>
      </c>
      <c r="F356" s="37">
        <f>C356*E356</f>
        <v/>
      </c>
      <c r="G356" s="16" t="inlineStr">
        <is>
          <t>CODE. The moment you fry, grill or char-broil you need a Type I grease hood. This is the single decision that drives the whole cost</t>
        </is>
      </c>
    </row>
    <row r="357" ht="13" customHeight="1">
      <c r="B357" s="5" t="inlineStr">
        <is>
          <t xml:space="preserve">      Hood fire suppression, wet chemical</t>
        </is>
      </c>
      <c r="C357" s="34" t="n">
        <v>1</v>
      </c>
      <c r="D357" s="35" t="inlineStr">
        <is>
          <t>LS</t>
        </is>
      </c>
      <c r="E357" s="36" t="n">
        <v>34000</v>
      </c>
      <c r="F357" s="37">
        <f>C357*E357</f>
        <v/>
      </c>
      <c r="G357" s="16" t="inlineStr">
        <is>
          <t>CODE. Follows the Type I hood, no exceptions. 40 LF at $850</t>
        </is>
      </c>
    </row>
    <row r="358" ht="21" customHeight="1">
      <c r="B358" s="5" t="inlineStr">
        <is>
          <t xml:space="preserve">      Grease interceptor, 1,500 gal, cut into slab</t>
        </is>
      </c>
      <c r="C358" s="34" t="n">
        <v>1</v>
      </c>
      <c r="D358" s="35" t="inlineStr">
        <is>
          <t>LS</t>
        </is>
      </c>
      <c r="E358" s="36" t="n">
        <v>85000</v>
      </c>
      <c r="F358" s="37">
        <f>C358*E358</f>
        <v/>
      </c>
      <c r="G358" s="16" t="inlineStr">
        <is>
          <t>CODE. DEP requires it. Cutting it into an existing slab is the expensive part</t>
        </is>
      </c>
    </row>
    <row r="359" ht="31.5" customHeight="1">
      <c r="B359" s="5" t="inlineStr">
        <is>
          <t xml:space="preserve">      Gas service &amp; piping to equipment</t>
        </is>
      </c>
      <c r="C359" s="34" t="n">
        <v>1</v>
      </c>
      <c r="D359" s="35" t="inlineStr">
        <is>
          <t>LS</t>
        </is>
      </c>
      <c r="E359" s="36" t="n">
        <v>175000</v>
      </c>
      <c r="F359" s="37">
        <f>C359*E359</f>
        <v/>
      </c>
      <c r="G359" s="16" t="inlineStr">
        <is>
          <t>Dev budget 220000-18 carried $55,000 of piping at qty 0 and no gas SERVICE at all. If the building has no adequate gas service, National Grid is a separate application with its own lead time</t>
        </is>
      </c>
    </row>
    <row r="360" ht="13" customHeight="1">
      <c r="B360" s="5" t="inlineStr">
        <is>
          <t xml:space="preserve">      Additional dedicated power</t>
        </is>
      </c>
      <c r="C360" s="34" t="n">
        <v>1600</v>
      </c>
      <c r="D360" s="35" t="inlineStr">
        <is>
          <t>SF</t>
        </is>
      </c>
      <c r="E360" s="36" t="n">
        <v>35</v>
      </c>
      <c r="F360" s="37">
        <f>C360*E360</f>
        <v/>
      </c>
      <c r="G360" s="16" t="inlineStr"/>
    </row>
    <row r="361" ht="13" customHeight="1">
      <c r="B361" s="5" t="inlineStr">
        <is>
          <t xml:space="preserve">      Walk-in freezer</t>
        </is>
      </c>
      <c r="C361" s="34" t="n">
        <v>1</v>
      </c>
      <c r="D361" s="35" t="inlineStr">
        <is>
          <t>EA</t>
        </is>
      </c>
      <c r="E361" s="36" t="n">
        <v>43000</v>
      </c>
      <c r="F361" s="37">
        <f>C361*E361</f>
        <v/>
      </c>
      <c r="G361" s="16" t="inlineStr"/>
    </row>
    <row r="362" ht="13" customHeight="1">
      <c r="B362" s="5" t="inlineStr">
        <is>
          <t xml:space="preserve">      Production equipment: hot line, cold line, ovens, fryers, dish machine</t>
        </is>
      </c>
      <c r="C362" s="34" t="n">
        <v>1</v>
      </c>
      <c r="D362" s="35" t="inlineStr">
        <is>
          <t>LS</t>
        </is>
      </c>
      <c r="E362" s="36" t="n">
        <v>360000</v>
      </c>
      <c r="F362" s="37">
        <f>C362*E362</f>
        <v/>
      </c>
      <c r="G362" s="16" t="inlineStr">
        <is>
          <t>Dev budget 114000 listed this BY OWNER and never priced it</t>
        </is>
      </c>
    </row>
    <row r="363" ht="13" customHeight="1">
      <c r="B363" s="5" t="inlineStr">
        <is>
          <t xml:space="preserve">      Smallwares &amp; opening stock</t>
        </is>
      </c>
      <c r="C363" s="34" t="n">
        <v>1</v>
      </c>
      <c r="D363" s="35" t="inlineStr">
        <is>
          <t>LS</t>
        </is>
      </c>
      <c r="E363" s="36" t="n">
        <v>45000</v>
      </c>
      <c r="F363" s="37">
        <f>C363*E363</f>
        <v/>
      </c>
      <c r="G363" s="16" t="inlineStr"/>
    </row>
    <row r="364" ht="13" customHeight="1">
      <c r="B364" s="5" t="inlineStr">
        <is>
          <t xml:space="preserve">      Roof platform &amp; grease-duct cleaning access</t>
        </is>
      </c>
      <c r="C364" s="34" t="n">
        <v>1</v>
      </c>
      <c r="D364" s="35" t="inlineStr">
        <is>
          <t>LS</t>
        </is>
      </c>
      <c r="E364" s="36" t="n">
        <v>18000</v>
      </c>
      <c r="F364" s="37">
        <f>C364*E364</f>
        <v/>
      </c>
      <c r="G364" s="16" t="inlineStr">
        <is>
          <t>CODE. Grease ducts must be cleanable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32"/>
  <sheetViews>
    <sheetView showGridLines="0" workbookViewId="0">
      <pane ySplit="6" topLeftCell="A7" activePane="bottomLeft" state="frozen"/>
      <selection pane="bottomLeft" activeCell="A1" sqref="A1"/>
    </sheetView>
  </sheetViews>
  <sheetFormatPr baseColWidth="8" defaultRowHeight="15"/>
  <cols>
    <col width="3" customWidth="1" min="1" max="1"/>
    <col width="52" customWidth="1" min="2" max="2"/>
    <col width="17" customWidth="1" min="3" max="3"/>
    <col width="17" customWidth="1" min="4" max="4"/>
    <col width="17" customWidth="1" min="5" max="5"/>
    <col width="76" customWidth="1" min="6" max="6"/>
  </cols>
  <sheetData>
    <row r="2">
      <c r="B2" s="1" t="inlineStr">
        <is>
          <t>165 RANDOLPH STREET</t>
        </is>
      </c>
    </row>
    <row r="3">
      <c r="B3" s="2" t="inlineStr">
        <is>
          <t>WHERE WE LAND AGAINST HIM NOW</t>
        </is>
      </c>
    </row>
    <row r="4">
      <c r="B4" s="3" t="inlineStr">
        <is>
          <t>V3 — rebuilt on the measured structural takeoff · RFEM 6.15 export, model Rev 38, version VE1 · CONFIDENTIAL</t>
        </is>
      </c>
    </row>
    <row r="7">
      <c r="B7" s="7" t="inlineStr"/>
      <c r="C7" s="7" t="inlineStr">
        <is>
          <t>Our V3</t>
        </is>
      </c>
      <c r="D7" s="7" t="inlineStr">
        <is>
          <t>Thomas as sent</t>
        </is>
      </c>
      <c r="E7" s="7" t="inlineStr">
        <is>
          <t>Delta</t>
        </is>
      </c>
    </row>
    <row r="8">
      <c r="B8" s="8" t="inlineStr">
        <is>
          <t>Primary structure — measured</t>
        </is>
      </c>
      <c r="C8" s="9" t="n">
        <v>20072927.65</v>
      </c>
      <c r="D8" s="9" t="n">
        <v>0</v>
      </c>
      <c r="E8" s="9" t="n">
        <v>-20072927.65</v>
      </c>
      <c r="F8" s="16" t="inlineStr">
        <is>
          <t>His division 055100 is $0. All nineteen lines, zero quantity.</t>
        </is>
      </c>
    </row>
    <row r="9">
      <c r="B9" s="8" t="inlineStr">
        <is>
          <t>His "Trade Costs To Be Priced" plug</t>
        </is>
      </c>
      <c r="C9" s="9" t="n">
        <v>0</v>
      </c>
      <c r="D9" s="9" t="n">
        <v>12000000</v>
      </c>
      <c r="E9" s="9" t="n">
        <v>12000000</v>
      </c>
      <c r="F9" s="16" t="inlineStr">
        <is>
          <t>Covers our $16.7M of structure PLUS millwork, doors, glazing, tile, fireproofing and drywall.</t>
        </is>
      </c>
    </row>
    <row r="10">
      <c r="B10" s="8" t="inlineStr">
        <is>
          <t>Everything else, trade cost</t>
        </is>
      </c>
      <c r="C10" s="9" t="n">
        <v>28484950.5</v>
      </c>
      <c r="D10" s="9" t="n">
        <v>34851959.75</v>
      </c>
      <c r="E10" s="9" t="n">
        <v>6367009.25</v>
      </c>
      <c r="F10" s="16" t="inlineStr">
        <is>
          <t>His trade less general-conditions content and preconstruction.</t>
        </is>
      </c>
    </row>
    <row r="11">
      <c r="B11" s="10" t="inlineStr">
        <is>
          <t>TRADE COST</t>
        </is>
      </c>
      <c r="C11" s="11" t="n">
        <v>48557878.15</v>
      </c>
      <c r="D11" s="11" t="n">
        <v>46851959.75</v>
      </c>
      <c r="E11" s="11" t="n">
        <v>-1705918.399999999</v>
      </c>
      <c r="F11" s="16" t="inlineStr"/>
    </row>
    <row r="12">
      <c r="B12" s="8" t="inlineStr">
        <is>
          <t>General conditions</t>
        </is>
      </c>
      <c r="C12" s="9" t="n">
        <v>4127419.64275</v>
      </c>
      <c r="D12" s="9" t="n">
        <v>6175000</v>
      </c>
      <c r="E12" s="9" t="n">
        <v>2047580.35725</v>
      </c>
      <c r="F12" s="16" t="inlineStr">
        <is>
          <t>Ours 8.5%. His staffing chart + div 013000.</t>
        </is>
      </c>
    </row>
    <row r="13">
      <c r="B13" s="8" t="inlineStr">
        <is>
          <t>Escalation</t>
        </is>
      </c>
      <c r="C13" s="9" t="n">
        <v>4855787.815</v>
      </c>
      <c r="D13" s="9" t="n">
        <v>0</v>
      </c>
      <c r="E13" s="9" t="n">
        <v>-4855787.815</v>
      </c>
      <c r="F13" s="16" t="inlineStr">
        <is>
          <t>Blank in his file.</t>
        </is>
      </c>
    </row>
    <row r="14">
      <c r="B14" s="8" t="inlineStr">
        <is>
          <t>Overhead, profit &amp; insurance</t>
        </is>
      </c>
      <c r="C14" s="9" t="n">
        <v>4370209.0335</v>
      </c>
      <c r="D14" s="9" t="n">
        <v>4777826.38</v>
      </c>
      <c r="E14" s="9" t="n">
        <v>407617.3465</v>
      </c>
      <c r="F14" s="16" t="inlineStr"/>
    </row>
    <row r="15">
      <c r="B15" s="8" t="inlineStr">
        <is>
          <t>Contractor contingency</t>
        </is>
      </c>
      <c r="C15" s="9" t="n">
        <v>0</v>
      </c>
      <c r="D15" s="9" t="n">
        <v>5786478.61</v>
      </c>
      <c r="E15" s="9" t="n">
        <v>5786478.61</v>
      </c>
      <c r="F15" s="16" t="inlineStr">
        <is>
          <t>We hold one contingency, below.</t>
        </is>
      </c>
    </row>
    <row r="16">
      <c r="B16" s="8" t="inlineStr">
        <is>
          <t>Preconstruction</t>
        </is>
      </c>
      <c r="C16" s="9" t="n">
        <v>0</v>
      </c>
      <c r="D16" s="9" t="n">
        <v>60000</v>
      </c>
      <c r="E16" s="9" t="n">
        <v>60000</v>
      </c>
      <c r="F16" s="16" t="inlineStr"/>
    </row>
    <row r="17">
      <c r="B17" s="10" t="inlineStr">
        <is>
          <t>CONSTRUCTION COST</t>
        </is>
      </c>
      <c r="C17" s="11" t="n">
        <v>61911294.64125</v>
      </c>
      <c r="D17" s="11" t="n">
        <v>63651264.74</v>
      </c>
      <c r="E17" s="11" t="n">
        <v>1739970.098750003</v>
      </c>
      <c r="F17" s="16" t="inlineStr"/>
    </row>
    <row r="18">
      <c r="B18" s="8" t="inlineStr">
        <is>
          <t>Contingency</t>
        </is>
      </c>
      <c r="C18" s="9" t="n">
        <v>5000000</v>
      </c>
      <c r="D18" s="9" t="n">
        <v>8098599.22</v>
      </c>
      <c r="E18" s="9" t="n">
        <v>3098599.22</v>
      </c>
      <c r="F18" s="16" t="inlineStr">
        <is>
          <t>His computes on the whole project. Still stands.</t>
        </is>
      </c>
    </row>
    <row r="19">
      <c r="B19" s="8" t="inlineStr">
        <is>
          <t>Soft costs</t>
        </is>
      </c>
      <c r="C19" s="9" t="n">
        <v>5398000</v>
      </c>
      <c r="D19" s="9" t="n">
        <v>6784977.48</v>
      </c>
      <c r="E19" s="9" t="n">
        <v>1386977.48</v>
      </c>
      <c r="F19" s="16" t="inlineStr"/>
    </row>
    <row r="20">
      <c r="B20" s="10" t="inlineStr">
        <is>
          <t>FF&amp;E</t>
        </is>
      </c>
      <c r="C20" s="11" t="n">
        <v>5588260</v>
      </c>
      <c r="D20" s="11" t="n">
        <v>8292250</v>
      </c>
      <c r="E20" s="11" t="n">
        <v>2703990</v>
      </c>
      <c r="F20" s="16" t="inlineStr"/>
    </row>
    <row r="21">
      <c r="B21" s="8" t="inlineStr">
        <is>
          <t>Off-site parking garage</t>
        </is>
      </c>
      <c r="C21" s="9" t="n">
        <v>0</v>
      </c>
      <c r="D21" s="9" t="n">
        <v>2257500</v>
      </c>
      <c r="E21" s="9" t="n">
        <v>2257500</v>
      </c>
      <c r="F21" s="16" t="inlineStr">
        <is>
          <t>We carry none.</t>
        </is>
      </c>
    </row>
    <row r="22">
      <c r="B22" s="12" t="inlineStr">
        <is>
          <t>TOTAL</t>
        </is>
      </c>
      <c r="C22" s="13" t="n">
        <v>77897554.64125</v>
      </c>
      <c r="D22" s="13" t="n">
        <v>89084591.44</v>
      </c>
      <c r="E22" s="13" t="n">
        <v>11187036.79875</v>
      </c>
      <c r="F22" s="16" t="inlineStr"/>
    </row>
    <row r="25">
      <c r="B25" s="2" t="inlineStr">
        <is>
          <t>AND AFTER THE CORRECTIONS THAT SURVIVE THE TAKEOFF</t>
        </is>
      </c>
    </row>
    <row r="26">
      <c r="B26" s="8" t="inlineStr">
        <is>
          <t>Thomas as sent</t>
        </is>
      </c>
      <c r="C26" s="28" t="n">
        <v>89084591.44</v>
      </c>
    </row>
    <row r="27">
      <c r="B27" s="8" t="inlineStr">
        <is>
          <t>Corrections that still stand</t>
        </is>
      </c>
      <c r="C27" s="28" t="n">
        <v>-11836763</v>
      </c>
    </row>
    <row r="28">
      <c r="B28" s="8" t="inlineStr">
        <is>
          <t>Thomas, defensible</t>
        </is>
      </c>
      <c r="C28" s="28" t="n">
        <v>77247828.44</v>
      </c>
    </row>
    <row r="29">
      <c r="B29" s="8" t="inlineStr">
        <is>
          <t>Our V3, measured</t>
        </is>
      </c>
      <c r="C29" s="28" t="n">
        <v>77897554.64125</v>
      </c>
    </row>
    <row r="30">
      <c r="B30" s="39" t="inlineStr">
        <is>
          <t>GAP</t>
        </is>
      </c>
      <c r="C30" s="40" t="n">
        <v>-649726.2012500018</v>
      </c>
    </row>
    <row r="32">
      <c r="B32" s="41" t="inlineStr">
        <is>
          <t>0.8% apart. The two budgets were never really in disagreement about the building — only about how much of it had been measured.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165 Randolph V3 - Measured Takeoff</dc:title>
  <dcterms:created xsi:type="dcterms:W3CDTF">2026-09-16T20:45:18Z</dcterms:created>
  <dcterms:modified xsi:type="dcterms:W3CDTF">2026-09-16T20:45:18Z</dcterms:modified>
</cp:coreProperties>
</file>