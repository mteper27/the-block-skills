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Budget" sheetId="1" state="visible" r:id="rId1"/>
    <sheet name="Diligence Review" sheetId="2" state="visible" r:id="rId2"/>
    <sheet name="Markups Explained" sheetId="3" state="visible" r:id="rId3"/>
    <sheet name="Cut Analysis" sheetId="4" state="visible" r:id="rId4"/>
    <sheet name="Options" sheetId="5" state="visible" r:id="rId5"/>
    <sheet name="Questions to Ask" sheetId="6" state="visible" r:id="rId6"/>
    <sheet name="Thomas Reconciliation" sheetId="7" state="visible" r:id="rId7"/>
  </sheets>
  <definedNames>
    <definedName name="_xlnm._FilterDatabase" localSheetId="0" hidden="1">'Detailed Budget'!$B$12:$G$473</definedName>
    <definedName name="_xlnm._FilterDatabase" localSheetId="6" hidden="1">'Thomas Reconciliation'!$B$8:$I$238</definedName>
  </definedNames>
  <calcPr calcId="124519" fullCalcOnLoad="1"/>
</workbook>
</file>

<file path=xl/styles.xml><?xml version="1.0" encoding="utf-8"?>
<styleSheet xmlns="http://schemas.openxmlformats.org/spreadsheetml/2006/main">
  <numFmts count="5">
    <numFmt numFmtId="164" formatCode="$#,##0.00"/>
    <numFmt numFmtId="165" formatCode="$#,##0;($#,##0);&quot;-&quot;"/>
    <numFmt numFmtId="166" formatCode="0.0%"/>
    <numFmt numFmtId="167" formatCode="$#,##0"/>
    <numFmt numFmtId="168" formatCode="#,##0;;&quot;-&quot;"/>
  </numFmts>
  <fonts count="16">
    <font>
      <name val="Calibri"/>
      <family val="2"/>
      <color theme="1"/>
      <sz val="11"/>
      <scheme val="minor"/>
    </font>
    <font>
      <name val="Arial"/>
      <b val="1"/>
      <color rgb="001F3864"/>
      <sz val="18"/>
    </font>
    <font>
      <name val="Arial"/>
      <b val="1"/>
      <color rgb="001F3864"/>
      <sz val="11"/>
    </font>
    <font>
      <name val="Arial"/>
      <color rgb="00595959"/>
      <sz val="8"/>
    </font>
    <font>
      <name val="Arial"/>
      <sz val="9"/>
    </font>
    <font>
      <name val="Arial"/>
      <color rgb="000000FF"/>
      <sz val="9"/>
    </font>
    <font>
      <name val="Arial"/>
      <b val="1"/>
      <color rgb="00FFFFFF"/>
      <sz val="9"/>
    </font>
    <font>
      <name val="Arial"/>
      <b val="1"/>
      <color rgb="00FFFFFF"/>
      <sz val="11"/>
    </font>
    <font>
      <name val="Arial"/>
      <b val="1"/>
      <color rgb="001F3864"/>
      <sz val="9"/>
    </font>
    <font>
      <name val="Arial"/>
      <b val="1"/>
      <sz val="9"/>
    </font>
    <font>
      <name val="Arial"/>
      <b val="1"/>
      <color rgb="001F3864"/>
      <sz val="10"/>
    </font>
    <font>
      <name val="Arial"/>
      <b val="1"/>
      <color rgb="001F3864"/>
      <sz val="12"/>
    </font>
    <font>
      <name val="Arial"/>
      <b val="1"/>
      <color rgb="001F3864"/>
      <sz val="13"/>
    </font>
    <font>
      <name val="Arial"/>
      <b val="1"/>
      <color rgb="00008000"/>
      <sz val="9"/>
    </font>
    <font>
      <name val="Arial"/>
      <b val="1"/>
      <color rgb="00C00000"/>
      <sz val="9"/>
    </font>
    <font>
      <name val="Arial"/>
      <b val="1"/>
      <color rgb="008A5D00"/>
      <sz val="9"/>
    </font>
  </fonts>
  <fills count="8">
    <fill>
      <patternFill/>
    </fill>
    <fill>
      <patternFill patternType="gray125"/>
    </fill>
    <fill>
      <patternFill patternType="solid">
        <fgColor rgb="00FFFF00"/>
      </patternFill>
    </fill>
    <fill>
      <patternFill patternType="solid">
        <fgColor rgb="001F3864"/>
      </patternFill>
    </fill>
    <fill>
      <patternFill patternType="solid">
        <fgColor rgb="002E5C8A"/>
      </patternFill>
    </fill>
    <fill>
      <patternFill patternType="solid">
        <fgColor rgb="00D9E2F3"/>
      </patternFill>
    </fill>
    <fill>
      <patternFill patternType="solid">
        <fgColor rgb="00F2F2F2"/>
      </patternFill>
    </fill>
    <fill>
      <patternFill patternType="solid">
        <fgColor rgb="00E2EFDA"/>
      </patternFill>
    </fill>
  </fills>
  <borders count="3">
    <border>
      <left/>
      <right/>
      <top/>
      <bottom/>
      <diagonal/>
    </border>
    <border>
      <left style="thin">
        <color rgb="00D0D0D0"/>
      </left>
      <right style="thin">
        <color rgb="00D0D0D0"/>
      </right>
      <top style="thin">
        <color rgb="00D0D0D0"/>
      </top>
      <bottom style="thin">
        <color rgb="00D0D0D0"/>
      </bottom>
    </border>
    <border>
      <top style="medium">
        <color rgb="001F3864"/>
      </top>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3" fontId="5" fillId="2" borderId="1" pivotButton="0" quotePrefix="0" xfId="0"/>
    <xf numFmtId="0" fontId="3" fillId="0" borderId="0" applyAlignment="1" pivotButton="0" quotePrefix="0" xfId="0">
      <alignment vertical="top" wrapText="1"/>
    </xf>
    <xf numFmtId="0" fontId="6" fillId="3" borderId="0" applyAlignment="1" pivotButton="0" quotePrefix="0" xfId="0">
      <alignment horizontal="center" vertical="center" wrapText="1"/>
    </xf>
    <xf numFmtId="0" fontId="7" fillId="4" borderId="0" pivotButton="0" quotePrefix="0" xfId="0"/>
    <xf numFmtId="0" fontId="0" fillId="4" borderId="0" pivotButton="0" quotePrefix="0" xfId="0"/>
    <xf numFmtId="0" fontId="8" fillId="5" borderId="0" pivotButton="0" quotePrefix="0" xfId="0"/>
    <xf numFmtId="0" fontId="0" fillId="5" borderId="0" pivotButton="0" quotePrefix="0" xfId="0"/>
    <xf numFmtId="0" fontId="4" fillId="0" borderId="1" applyAlignment="1" pivotButton="0" quotePrefix="0" xfId="0">
      <alignment vertical="top" wrapText="1"/>
    </xf>
    <xf numFmtId="3" fontId="0" fillId="0" borderId="1" pivotButton="0" quotePrefix="0" xfId="0"/>
    <xf numFmtId="0" fontId="0" fillId="0" borderId="1" applyAlignment="1" pivotButton="0" quotePrefix="0" xfId="0">
      <alignment horizontal="center"/>
    </xf>
    <xf numFmtId="164" fontId="5" fillId="0" borderId="1" pivotButton="0" quotePrefix="0" xfId="0"/>
    <xf numFmtId="165" fontId="0" fillId="0" borderId="1" pivotButton="0" quotePrefix="0" xfId="0"/>
    <xf numFmtId="0" fontId="3" fillId="0" borderId="1" applyAlignment="1" pivotButton="0" quotePrefix="0" xfId="0">
      <alignment vertical="top" wrapText="1"/>
    </xf>
    <xf numFmtId="0" fontId="9" fillId="6" borderId="0" pivotButton="0" quotePrefix="0" xfId="0"/>
    <xf numFmtId="0" fontId="0" fillId="6" borderId="0" pivotButton="0" quotePrefix="0" xfId="0"/>
    <xf numFmtId="165" fontId="9" fillId="6" borderId="0" pivotButton="0" quotePrefix="0" xfId="0"/>
    <xf numFmtId="0" fontId="10" fillId="0" borderId="2" pivotButton="0" quotePrefix="0" xfId="0"/>
    <xf numFmtId="0" fontId="0" fillId="0" borderId="2" pivotButton="0" quotePrefix="0" xfId="0"/>
    <xf numFmtId="165" fontId="10" fillId="0" borderId="2" pivotButton="0" quotePrefix="0" xfId="0"/>
    <xf numFmtId="164" fontId="4" fillId="0" borderId="1" pivotButton="0" quotePrefix="0" xfId="0"/>
    <xf numFmtId="0" fontId="3" fillId="6" borderId="0" pivotButton="0" quotePrefix="0" xfId="0"/>
    <xf numFmtId="0" fontId="11" fillId="0" borderId="2" pivotButton="0" quotePrefix="0" xfId="0"/>
    <xf numFmtId="165" fontId="11" fillId="0" borderId="2" pivotButton="0" quotePrefix="0" xfId="0"/>
    <xf numFmtId="0" fontId="4" fillId="0" borderId="1" pivotButton="0" quotePrefix="0" xfId="0"/>
    <xf numFmtId="0" fontId="0" fillId="0" borderId="1" pivotButton="0" quotePrefix="0" xfId="0"/>
    <xf numFmtId="166" fontId="5" fillId="2" borderId="1" pivotButton="0" quotePrefix="0" xfId="0"/>
    <xf numFmtId="0" fontId="3" fillId="0" borderId="1" pivotButton="0" quotePrefix="0" xfId="0"/>
    <xf numFmtId="0" fontId="9" fillId="0" borderId="2" pivotButton="0" quotePrefix="0" xfId="0"/>
    <xf numFmtId="165" fontId="9" fillId="0" borderId="2" pivotButton="0" quotePrefix="0" xfId="0"/>
    <xf numFmtId="165" fontId="5" fillId="2" borderId="1" pivotButton="0" quotePrefix="0" xfId="0"/>
    <xf numFmtId="165" fontId="0" fillId="0" borderId="0" pivotButton="0" quotePrefix="0" xfId="0"/>
    <xf numFmtId="0" fontId="12" fillId="0" borderId="2" pivotButton="0" quotePrefix="0" xfId="0"/>
    <xf numFmtId="165" fontId="12" fillId="0" borderId="2" pivotButton="0" quotePrefix="0" xfId="0"/>
    <xf numFmtId="167" fontId="9" fillId="0" borderId="0" pivotButton="0" quotePrefix="0" xfId="0"/>
    <xf numFmtId="166" fontId="9" fillId="0" borderId="0" pivotButton="0" quotePrefix="0" xfId="0"/>
    <xf numFmtId="0" fontId="4" fillId="0" borderId="0" applyAlignment="1" pivotButton="0" quotePrefix="0" xfId="0">
      <alignment vertical="top" wrapText="1"/>
    </xf>
    <xf numFmtId="0" fontId="9" fillId="0" borderId="1" applyAlignment="1" pivotButton="0" quotePrefix="0" xfId="0">
      <alignment vertical="top" wrapText="1"/>
    </xf>
    <xf numFmtId="0" fontId="14" fillId="0" borderId="1" applyAlignment="1" pivotButton="0" quotePrefix="0" xfId="0">
      <alignment vertical="top" wrapText="1"/>
    </xf>
    <xf numFmtId="0" fontId="6" fillId="3" borderId="0" applyAlignment="1" pivotButton="0" quotePrefix="0" xfId="0">
      <alignment horizontal="center" wrapText="1"/>
    </xf>
    <xf numFmtId="165" fontId="5" fillId="0" borderId="1" pivotButton="0" quotePrefix="0" xfId="0"/>
    <xf numFmtId="0" fontId="9" fillId="6" borderId="1" pivotButton="0" quotePrefix="0" xfId="0"/>
    <xf numFmtId="165" fontId="9" fillId="6" borderId="1" pivotButton="0" quotePrefix="0" xfId="0"/>
    <xf numFmtId="164" fontId="9" fillId="6" borderId="1" pivotButton="0" quotePrefix="0" xfId="0"/>
    <xf numFmtId="0" fontId="9" fillId="0" borderId="1" pivotButton="0" quotePrefix="0" xfId="0"/>
    <xf numFmtId="0" fontId="5" fillId="0" borderId="1" applyAlignment="1" pivotButton="0" quotePrefix="0" xfId="0">
      <alignment horizontal="center"/>
    </xf>
    <xf numFmtId="0" fontId="14" fillId="0" borderId="0" pivotButton="0" quotePrefix="0" xfId="0"/>
    <xf numFmtId="0" fontId="6" fillId="3" borderId="0" applyAlignment="1" pivotButton="0" quotePrefix="0" xfId="0">
      <alignment horizontal="center"/>
    </xf>
    <xf numFmtId="0" fontId="9" fillId="0" borderId="1" applyAlignment="1" pivotButton="0" quotePrefix="0" xfId="0">
      <alignment horizontal="center"/>
    </xf>
    <xf numFmtId="0" fontId="3" fillId="0" borderId="1" applyAlignment="1" pivotButton="0" quotePrefix="0" xfId="0">
      <alignment horizontal="center"/>
    </xf>
    <xf numFmtId="0" fontId="9" fillId="0" borderId="0" pivotButton="0" quotePrefix="0" xfId="0"/>
    <xf numFmtId="165" fontId="9" fillId="0" borderId="0" pivotButton="0" quotePrefix="0" xfId="0"/>
    <xf numFmtId="165" fontId="4" fillId="0" borderId="0" pivotButton="0" quotePrefix="0" xfId="0"/>
    <xf numFmtId="0" fontId="2" fillId="5" borderId="0" pivotButton="0" quotePrefix="0" xfId="0"/>
    <xf numFmtId="0" fontId="4" fillId="0" borderId="1" applyAlignment="1" pivotButton="0" quotePrefix="0" xfId="0">
      <alignment horizontal="center"/>
    </xf>
    <xf numFmtId="165" fontId="9" fillId="0" borderId="1" pivotButton="0" quotePrefix="0" xfId="0"/>
    <xf numFmtId="0" fontId="13" fillId="0" borderId="1" applyAlignment="1" pivotButton="0" quotePrefix="0" xfId="0">
      <alignment horizontal="center"/>
    </xf>
    <xf numFmtId="0" fontId="14" fillId="0" borderId="1" applyAlignment="1" pivotButton="0" quotePrefix="0" xfId="0">
      <alignment horizontal="center"/>
    </xf>
    <xf numFmtId="0" fontId="15" fillId="0" borderId="1" applyAlignment="1" pivotButton="0" quotePrefix="0" xfId="0">
      <alignment horizontal="center"/>
    </xf>
    <xf numFmtId="166" fontId="5" fillId="0" borderId="1" pivotButton="0" quotePrefix="0" xfId="0"/>
    <xf numFmtId="167" fontId="0" fillId="0" borderId="1" pivotButton="0" quotePrefix="0" xfId="0"/>
    <xf numFmtId="0" fontId="9" fillId="7" borderId="1" pivotButton="0" quotePrefix="0" xfId="0"/>
    <xf numFmtId="165" fontId="9" fillId="7" borderId="1" pivotButton="0" quotePrefix="0" xfId="0"/>
    <xf numFmtId="167" fontId="0" fillId="7" borderId="1" pivotButton="0" quotePrefix="0" xfId="0"/>
    <xf numFmtId="165" fontId="0" fillId="7" borderId="1" pivotButton="0" quotePrefix="0" xfId="0"/>
    <xf numFmtId="0" fontId="3" fillId="7" borderId="1" applyAlignment="1" pivotButton="0" quotePrefix="0" xfId="0">
      <alignment vertical="top" wrapText="1"/>
    </xf>
    <xf numFmtId="0" fontId="14" fillId="0" borderId="0" applyAlignment="1" pivotButton="0" quotePrefix="0" xfId="0">
      <alignment vertical="top" wrapText="1"/>
    </xf>
    <xf numFmtId="0" fontId="9" fillId="0" borderId="1" applyAlignment="1" pivotButton="0" quotePrefix="0" xfId="0">
      <alignment horizontal="right" vertical="top"/>
    </xf>
    <xf numFmtId="168" fontId="0" fillId="0" borderId="1" pivotButton="0" quotePrefix="0" xfId="0"/>
    <xf numFmtId="0" fontId="5"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495"/>
  <sheetViews>
    <sheetView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58" customWidth="1" min="2" max="2"/>
    <col width="10" customWidth="1" min="3" max="3"/>
    <col width="7" customWidth="1" min="4" max="4"/>
    <col width="12" customWidth="1" min="5" max="5"/>
    <col width="14" customWidth="1" min="6" max="6"/>
    <col width="64" customWidth="1" min="7" max="7"/>
  </cols>
  <sheetData>
    <row r="2">
      <c r="B2" s="1" t="inlineStr">
        <is>
          <t>165 RANDOLPH STREET</t>
        </is>
      </c>
    </row>
    <row r="3">
      <c r="B3" s="2" t="inlineStr">
        <is>
          <t>DETAILED DEVELOPMENT BUDGET — V2, DILIGENCE REVIEWED</t>
        </is>
      </c>
    </row>
    <row r="4">
      <c r="B4" s="3" t="inlineStr">
        <is>
          <t>Brooklyn NY 11237 · Developer: owner’s team · Co-pro: Live Nation / Insomniac · Landlord: Eric Cohen · CONSTRUCTION CAPEX ONLY · CONFIDENTIAL</t>
        </is>
      </c>
    </row>
    <row r="6">
      <c r="B6" s="4" t="inlineStr">
        <is>
          <t>Building SF</t>
        </is>
      </c>
      <c r="E6" s="5" t="n">
        <v>74100</v>
      </c>
      <c r="G6" s="6" t="inlineStr">
        <is>
          <t>THE basis. Mezzanine adds capacity inside this envelope, not area. Alleys carry no cost.</t>
        </is>
      </c>
    </row>
    <row r="7">
      <c r="B7" s="4" t="inlineStr">
        <is>
          <t>Theatre seat rate ($/seat)</t>
        </is>
      </c>
      <c r="E7" s="5" t="n">
        <v>25</v>
      </c>
      <c r="G7" s="6" t="inlineStr">
        <is>
          <t>TOGGLE: 25 = MT sourcing, 125 = as filed in the dev budget. Drives the removable seating line in division 600.</t>
        </is>
      </c>
    </row>
    <row r="8">
      <c r="B8" s="4" t="inlineStr">
        <is>
          <t>Mezzanine SF</t>
        </is>
      </c>
      <c r="E8" s="5" t="n">
        <v>14000</v>
      </c>
      <c r="G8" s="6" t="inlineStr">
        <is>
          <t>Inside the 74,100. Derived from the Wake test-fit occupancy loads.</t>
        </is>
      </c>
    </row>
    <row r="9">
      <c r="B9" s="4" t="inlineStr">
        <is>
          <t>Perimeter LF</t>
        </is>
      </c>
      <c r="E9" s="5" t="n">
        <v>1089</v>
      </c>
      <c r="G9" s="6" t="inlineStr">
        <is>
          <t>Approximated as square. Replace with the survey.</t>
        </is>
      </c>
    </row>
    <row r="10">
      <c r="B10" s="4" t="inlineStr">
        <is>
          <t>New wall band SF</t>
        </is>
      </c>
      <c r="E10" s="5" t="n">
        <v>32670</v>
      </c>
      <c r="G10" s="6" t="inlineStr">
        <is>
          <t>1,089 LF perimeter x 30 ft lift.</t>
        </is>
      </c>
    </row>
    <row r="11">
      <c r="B11" s="4" t="inlineStr">
        <is>
          <t>Capacity</t>
        </is>
      </c>
      <c r="E11" s="5" t="n">
        <v>7440</v>
      </c>
      <c r="G11" s="6" t="inlineStr">
        <is>
          <t>Wake PD04 Rev 4.4.</t>
        </is>
      </c>
    </row>
    <row r="12">
      <c r="B12" s="4" t="inlineStr">
        <is>
          <t>General conditions basis</t>
        </is>
      </c>
      <c r="E12" s="5" t="n">
        <v>1</v>
      </c>
      <c r="G12" s="6" t="inlineStr">
        <is>
          <t>TOGGLE: 1 = the 11% percentage. 0 = Thomas’s own 013000 + 015800 line items ($1,696,000) instead. NEVER BOTH — they are the same site cost.</t>
        </is>
      </c>
    </row>
    <row r="13">
      <c r="B13" s="4" t="inlineStr">
        <is>
          <t>Kitchen scope (0 / 1 / 2)</t>
        </is>
      </c>
      <c r="E13" s="5" t="n">
        <v>1</v>
      </c>
      <c r="G13" s="6" t="inlineStr">
        <is>
          <t>TOGGLE for division 800. 0 = concessions only, no kitchen. 1 = warming / finishing kitchen. 2 = full production kitchen with a grease hood. Each level includes the one below it.</t>
        </is>
      </c>
    </row>
    <row r="15">
      <c r="B15" s="7" t="inlineStr">
        <is>
          <t>Item</t>
        </is>
      </c>
      <c r="C15" s="7" t="inlineStr">
        <is>
          <t>Qty</t>
        </is>
      </c>
      <c r="D15" s="7" t="inlineStr">
        <is>
          <t>Unit</t>
        </is>
      </c>
      <c r="E15" s="7" t="inlineStr">
        <is>
          <t>Rate</t>
        </is>
      </c>
      <c r="F15" s="7" t="inlineStr">
        <is>
          <t>Amount</t>
        </is>
      </c>
      <c r="G15" s="7" t="inlineStr">
        <is>
          <t>Rate source / basis</t>
        </is>
      </c>
    </row>
    <row r="16">
      <c r="B16" s="8" t="inlineStr">
        <is>
          <t>000   SITE &amp; ENABLING</t>
        </is>
      </c>
      <c r="C16" s="9" t="n"/>
      <c r="D16" s="9" t="n"/>
      <c r="E16" s="9" t="n"/>
      <c r="F16" s="9" t="n"/>
      <c r="G16" s="9" t="n"/>
    </row>
    <row r="17">
      <c r="B17" s="10" t="inlineStr">
        <is>
          <t xml:space="preserve">   Sidewalk shed / bridge</t>
        </is>
      </c>
      <c r="C17" s="11" t="n"/>
      <c r="D17" s="11" t="n"/>
      <c r="E17" s="11" t="n"/>
      <c r="F17" s="11" t="n"/>
      <c r="G17" s="11" t="n"/>
    </row>
    <row r="18">
      <c r="B18" s="12" t="inlineStr">
        <is>
          <t xml:space="preserve">      Sidewalk shed, erect &amp; dismantle</t>
        </is>
      </c>
      <c r="C18" s="13" t="n">
        <v>1089</v>
      </c>
      <c r="D18" s="14" t="inlineStr">
        <is>
          <t>LF</t>
        </is>
      </c>
      <c r="E18" s="15" t="n">
        <v>210</v>
      </c>
      <c r="F18" s="16">
        <f>C18*E18</f>
        <v/>
      </c>
      <c r="G18" s="17" t="inlineStr">
        <is>
          <t>NYC shed ~$180-240/LF erected</t>
        </is>
      </c>
    </row>
    <row r="19">
      <c r="B19" s="12" t="inlineStr">
        <is>
          <t xml:space="preserve">      Shed rental, 24 months</t>
        </is>
      </c>
      <c r="C19" s="13" t="n">
        <v>26136</v>
      </c>
      <c r="D19" s="14" t="inlineStr">
        <is>
          <t>LF-mo</t>
        </is>
      </c>
      <c r="E19" s="15" t="n">
        <v>22</v>
      </c>
      <c r="F19" s="16">
        <f>C19*E19</f>
        <v/>
      </c>
      <c r="G19" s="17" t="inlineStr">
        <is>
          <t>SCHEDULE-DRIVEN. Rented monthly — every month of programme costs $23,958. Reduced from 30 to 24 months; confirm against the real construction schedule</t>
        </is>
      </c>
    </row>
    <row r="20">
      <c r="B20" s="12" t="inlineStr">
        <is>
          <t xml:space="preserve">      DOT permit &amp; renewals</t>
        </is>
      </c>
      <c r="C20" s="13" t="n">
        <v>1</v>
      </c>
      <c r="D20" s="14" t="inlineStr">
        <is>
          <t>LS</t>
        </is>
      </c>
      <c r="E20" s="15" t="n">
        <v>45000</v>
      </c>
      <c r="F20" s="16">
        <f>C20*E20</f>
        <v/>
      </c>
      <c r="G20" s="17" t="inlineStr">
        <is>
          <t>Sidewalk shed permit, renewed periodically</t>
        </is>
      </c>
    </row>
    <row r="21">
      <c r="B21" s="12" t="inlineStr">
        <is>
          <t xml:space="preserve">      Lighting &amp; signage on shed</t>
        </is>
      </c>
      <c r="C21" s="13" t="n">
        <v>1089</v>
      </c>
      <c r="D21" s="14" t="inlineStr">
        <is>
          <t>LF</t>
        </is>
      </c>
      <c r="E21" s="15" t="n">
        <v>18</v>
      </c>
      <c r="F21" s="16">
        <f>C21*E21</f>
        <v/>
      </c>
      <c r="G21" s="17" t="inlineStr">
        <is>
          <t>Required by DOT</t>
        </is>
      </c>
    </row>
    <row r="22">
      <c r="B22" s="12" t="inlineStr">
        <is>
          <t xml:space="preserve">      Netting &amp; debris containment</t>
        </is>
      </c>
      <c r="C22" s="13" t="n">
        <v>32670</v>
      </c>
      <c r="D22" s="14" t="inlineStr">
        <is>
          <t>SF</t>
        </is>
      </c>
      <c r="E22" s="15" t="n">
        <v>1.1</v>
      </c>
      <c r="F22" s="16">
        <f>C22*E22</f>
        <v/>
      </c>
      <c r="G22" s="17" t="inlineStr">
        <is>
          <t>Facade protection during the lift</t>
        </is>
      </c>
    </row>
    <row r="23">
      <c r="B23" s="18" t="inlineStr">
        <is>
          <t xml:space="preserve">   Sidewalk shed / bridge — subtotal</t>
        </is>
      </c>
      <c r="C23" s="19" t="n"/>
      <c r="D23" s="19" t="n"/>
      <c r="E23" s="19" t="n"/>
      <c r="F23" s="20">
        <f>SUM(F18:F22)</f>
        <v/>
      </c>
      <c r="G23" s="19" t="n"/>
    </row>
    <row r="24">
      <c r="B24" s="10" t="inlineStr">
        <is>
          <t xml:space="preserve">   Interior protection &amp; containment</t>
        </is>
      </c>
      <c r="C24" s="11" t="n"/>
      <c r="D24" s="11" t="n"/>
      <c r="E24" s="11" t="n"/>
      <c r="F24" s="11" t="n"/>
      <c r="G24" s="11" t="n"/>
    </row>
    <row r="25">
      <c r="B25" s="12" t="inlineStr">
        <is>
          <t xml:space="preserve">      Slab protection, hardboard &amp; poly</t>
        </is>
      </c>
      <c r="C25" s="13" t="n">
        <v>74100</v>
      </c>
      <c r="D25" s="14" t="inlineStr">
        <is>
          <t>SF</t>
        </is>
      </c>
      <c r="E25" s="15" t="n">
        <v>1.35</v>
      </c>
      <c r="F25" s="16">
        <f>C25*E25</f>
        <v/>
      </c>
      <c r="G25" s="17" t="inlineStr">
        <is>
          <t>Protecting the existing slab</t>
        </is>
      </c>
    </row>
    <row r="26">
      <c r="B26" s="12" t="inlineStr">
        <is>
          <t xml:space="preserve">      Dust partitions &amp; negative air</t>
        </is>
      </c>
      <c r="C26" s="13" t="n">
        <v>1</v>
      </c>
      <c r="D26" s="14" t="inlineStr">
        <is>
          <t>LS</t>
        </is>
      </c>
      <c r="E26" s="15" t="n">
        <v>65000</v>
      </c>
      <c r="F26" s="16">
        <f>C26*E26</f>
        <v/>
      </c>
      <c r="G26" s="17" t="inlineStr">
        <is>
          <t>Containment during demo and abatement</t>
        </is>
      </c>
    </row>
    <row r="27">
      <c r="B27" s="12" t="inlineStr">
        <is>
          <t xml:space="preserve">      Protection of retained equipment</t>
        </is>
      </c>
      <c r="C27" s="13" t="n">
        <v>1</v>
      </c>
      <c r="D27" s="14" t="inlineStr">
        <is>
          <t>LS</t>
        </is>
      </c>
      <c r="E27" s="15" t="n">
        <v>22000</v>
      </c>
      <c r="F27" s="16">
        <f>C27*E27</f>
        <v/>
      </c>
      <c r="G27" s="17" t="inlineStr"/>
    </row>
    <row r="28">
      <c r="B28" s="18" t="inlineStr">
        <is>
          <t xml:space="preserve">   Interior protection &amp; containment — subtotal</t>
        </is>
      </c>
      <c r="C28" s="19" t="n"/>
      <c r="D28" s="19" t="n"/>
      <c r="E28" s="19" t="n"/>
      <c r="F28" s="20">
        <f>SUM(F25:F27)</f>
        <v/>
      </c>
      <c r="G28" s="19" t="n"/>
    </row>
    <row r="29">
      <c r="B29" s="10" t="inlineStr">
        <is>
          <t xml:space="preserve">   Temporary weather protection</t>
        </is>
      </c>
      <c r="C29" s="11" t="n"/>
      <c r="D29" s="11" t="n"/>
      <c r="E29" s="11" t="n"/>
      <c r="F29" s="11" t="n"/>
      <c r="G29" s="11" t="n"/>
    </row>
    <row r="30">
      <c r="B30" s="12" t="inlineStr">
        <is>
          <t xml:space="preserve">      Temporary roof membrane at open areas</t>
        </is>
      </c>
      <c r="C30" s="13" t="n">
        <v>18525</v>
      </c>
      <c r="D30" s="14" t="inlineStr">
        <is>
          <t>SF</t>
        </is>
      </c>
      <c r="E30" s="15" t="n">
        <v>8.5</v>
      </c>
      <c r="F30" s="16">
        <f>C30*E30</f>
        <v/>
      </c>
      <c r="G30" s="17" t="inlineStr">
        <is>
          <t>Only ~25% of roof open at any stage on a lift</t>
        </is>
      </c>
    </row>
    <row r="31">
      <c r="B31" s="12" t="inlineStr">
        <is>
          <t xml:space="preserve">      Perimeter tarping at the lift band</t>
        </is>
      </c>
      <c r="C31" s="13" t="n">
        <v>32670</v>
      </c>
      <c r="D31" s="14" t="inlineStr">
        <is>
          <t>SF</t>
        </is>
      </c>
      <c r="E31" s="15" t="n">
        <v>3.2</v>
      </c>
      <c r="F31" s="16">
        <f>C31*E31</f>
        <v/>
      </c>
      <c r="G31" s="17" t="inlineStr"/>
    </row>
    <row r="32">
      <c r="B32" s="12" t="inlineStr">
        <is>
          <t xml:space="preserve">      Temporary heat &amp; dehumidification</t>
        </is>
      </c>
      <c r="C32" s="13" t="n">
        <v>1</v>
      </c>
      <c r="D32" s="14" t="inlineStr">
        <is>
          <t>LS</t>
        </is>
      </c>
      <c r="E32" s="15" t="n">
        <v>85000</v>
      </c>
      <c r="F32" s="16">
        <f>C32*E32</f>
        <v/>
      </c>
      <c r="G32" s="17" t="inlineStr">
        <is>
          <t>Winter work</t>
        </is>
      </c>
    </row>
    <row r="33">
      <c r="B33" s="18" t="inlineStr">
        <is>
          <t xml:space="preserve">   Temporary weather protection — subtotal</t>
        </is>
      </c>
      <c r="C33" s="19" t="n"/>
      <c r="D33" s="19" t="n"/>
      <c r="E33" s="19" t="n"/>
      <c r="F33" s="20">
        <f>SUM(F30:F32)</f>
        <v/>
      </c>
      <c r="G33" s="19" t="n"/>
    </row>
    <row r="34">
      <c r="B34" s="10" t="inlineStr">
        <is>
          <t xml:space="preserve">   Asbestos / hazmat abatement</t>
        </is>
      </c>
      <c r="C34" s="11" t="n"/>
      <c r="D34" s="11" t="n"/>
      <c r="E34" s="11" t="n"/>
      <c r="F34" s="11" t="n"/>
      <c r="G34" s="11" t="n"/>
    </row>
    <row r="35">
      <c r="B35" s="12" t="inlineStr">
        <is>
          <t xml:space="preserve">      ACP-5 / ACP-7 filing &amp; asbestos investigator</t>
        </is>
      </c>
      <c r="C35" s="13" t="n">
        <v>1</v>
      </c>
      <c r="D35" s="14" t="inlineStr">
        <is>
          <t>LS</t>
        </is>
      </c>
      <c r="E35" s="15" t="n">
        <v>45000</v>
      </c>
      <c r="F35" s="16">
        <f>C35*E35</f>
        <v/>
      </c>
      <c r="G35" s="17" t="inlineStr">
        <is>
          <t>NYC required on a 1948 building</t>
        </is>
      </c>
    </row>
    <row r="36">
      <c r="B36" s="12" t="inlineStr">
        <is>
          <t xml:space="preserve">      Roofing felt &amp; mastic abatement</t>
        </is>
      </c>
      <c r="C36" s="13" t="n">
        <v>74100</v>
      </c>
      <c r="D36" s="14" t="inlineStr">
        <is>
          <t>SF</t>
        </is>
      </c>
      <c r="E36" s="15" t="n">
        <v>7.5</v>
      </c>
      <c r="F36" s="16">
        <f>C36*E36</f>
        <v/>
      </c>
      <c r="G36" s="17" t="inlineStr">
        <is>
          <t>SURVEY-DEPENDENT. PRESUMED ACM on a 1948 precast roof — nobody has sampled it. If the roof is clean this line goes to near zero. Get the ACP-5 survey done early; it is worth $555,750</t>
        </is>
      </c>
    </row>
    <row r="37">
      <c r="B37" s="12" t="inlineStr">
        <is>
          <t xml:space="preserve">      Pipe &amp; boiler insulation abatement</t>
        </is>
      </c>
      <c r="C37" s="13" t="n">
        <v>1</v>
      </c>
      <c r="D37" s="14" t="inlineStr">
        <is>
          <t>LS</t>
        </is>
      </c>
      <c r="E37" s="15" t="n">
        <v>120000</v>
      </c>
      <c r="F37" s="16">
        <f>C37*E37</f>
        <v/>
      </c>
      <c r="G37" s="17" t="inlineStr">
        <is>
          <t>Dev budget notes a 5,250 MBH boiler and steam piping</t>
        </is>
      </c>
    </row>
    <row r="38">
      <c r="B38" s="12" t="inlineStr">
        <is>
          <t xml:space="preserve">      Lead paint abatement at steel</t>
        </is>
      </c>
      <c r="C38" s="13" t="n">
        <v>1</v>
      </c>
      <c r="D38" s="14" t="inlineStr">
        <is>
          <t>LS</t>
        </is>
      </c>
      <c r="E38" s="15" t="n">
        <v>95000</v>
      </c>
      <c r="F38" s="16">
        <f>C38*E38</f>
        <v/>
      </c>
      <c r="G38" s="17" t="inlineStr"/>
    </row>
    <row r="39">
      <c r="B39" s="12" t="inlineStr">
        <is>
          <t xml:space="preserve">      Air monitoring &amp; clearance</t>
        </is>
      </c>
      <c r="C39" s="13" t="n">
        <v>1</v>
      </c>
      <c r="D39" s="14" t="inlineStr">
        <is>
          <t>LS</t>
        </is>
      </c>
      <c r="E39" s="15" t="n">
        <v>55000</v>
      </c>
      <c r="F39" s="16">
        <f>C39*E39</f>
        <v/>
      </c>
      <c r="G39" s="17" t="inlineStr"/>
    </row>
    <row r="40">
      <c r="B40" s="12" t="inlineStr">
        <is>
          <t xml:space="preserve">      Hazmat disposal &amp; manifesting</t>
        </is>
      </c>
      <c r="C40" s="13" t="n">
        <v>1</v>
      </c>
      <c r="D40" s="14" t="inlineStr">
        <is>
          <t>LS</t>
        </is>
      </c>
      <c r="E40" s="15" t="n">
        <v>130000</v>
      </c>
      <c r="F40" s="16">
        <f>C40*E40</f>
        <v/>
      </c>
      <c r="G40" s="17" t="inlineStr"/>
    </row>
    <row r="41">
      <c r="B41" s="18" t="inlineStr">
        <is>
          <t xml:space="preserve">   Asbestos / hazmat abatement — subtotal</t>
        </is>
      </c>
      <c r="C41" s="19" t="n"/>
      <c r="D41" s="19" t="n"/>
      <c r="E41" s="19" t="n"/>
      <c r="F41" s="20">
        <f>SUM(F35:F40)</f>
        <v/>
      </c>
      <c r="G41" s="19" t="n"/>
    </row>
    <row r="42">
      <c r="B42" s="10" t="inlineStr">
        <is>
          <t xml:space="preserve">   Demolition — interior</t>
        </is>
      </c>
      <c r="C42" s="11" t="n"/>
      <c r="D42" s="11" t="n"/>
      <c r="E42" s="11" t="n"/>
      <c r="F42" s="11" t="n"/>
      <c r="G42" s="11" t="n"/>
    </row>
    <row r="43">
      <c r="B43" s="12" t="inlineStr">
        <is>
          <t xml:space="preserve">      Demo masonry walls at new entry/lobby</t>
        </is>
      </c>
      <c r="C43" s="13" t="n">
        <v>2500</v>
      </c>
      <c r="D43" s="14" t="inlineStr">
        <is>
          <t>SF</t>
        </is>
      </c>
      <c r="E43" s="15" t="n">
        <v>12</v>
      </c>
      <c r="F43" s="16">
        <f>C43*E43</f>
        <v/>
      </c>
      <c r="G43" s="17" t="inlineStr">
        <is>
          <t>Dev budget 024100-1 rate &amp; qty</t>
        </is>
      </c>
    </row>
    <row r="44">
      <c r="B44" s="12" t="inlineStr">
        <is>
          <t xml:space="preserve">      Demo 8in CMU wall, 20ft tall</t>
        </is>
      </c>
      <c r="C44" s="13" t="n">
        <v>1975</v>
      </c>
      <c r="D44" s="14" t="inlineStr">
        <is>
          <t>SF</t>
        </is>
      </c>
      <c r="E44" s="15" t="n">
        <v>14</v>
      </c>
      <c r="F44" s="16">
        <f>C44*E44</f>
        <v/>
      </c>
      <c r="G44" s="17" t="inlineStr">
        <is>
          <t>Dev budget qty, unpriced</t>
        </is>
      </c>
    </row>
    <row r="45">
      <c r="B45" s="12" t="inlineStr">
        <is>
          <t xml:space="preserve">      Demo existing roll-up doors</t>
        </is>
      </c>
      <c r="C45" s="13" t="n">
        <v>8</v>
      </c>
      <c r="D45" s="14" t="inlineStr">
        <is>
          <t>EA</t>
        </is>
      </c>
      <c r="E45" s="15" t="n">
        <v>1850</v>
      </c>
      <c r="F45" s="16">
        <f>C45*E45</f>
        <v/>
      </c>
      <c r="G45" s="17" t="inlineStr">
        <is>
          <t>Dev budget qty</t>
        </is>
      </c>
    </row>
    <row r="46">
      <c r="B46" s="12" t="inlineStr">
        <is>
          <t xml:space="preserve">      Demo existing exterior doors</t>
        </is>
      </c>
      <c r="C46" s="13" t="n">
        <v>7</v>
      </c>
      <c r="D46" s="14" t="inlineStr">
        <is>
          <t>EA</t>
        </is>
      </c>
      <c r="E46" s="15" t="n">
        <v>650</v>
      </c>
      <c r="F46" s="16">
        <f>C46*E46</f>
        <v/>
      </c>
      <c r="G46" s="17" t="inlineStr">
        <is>
          <t>Dev budget qty</t>
        </is>
      </c>
    </row>
    <row r="47">
      <c r="B47" s="12" t="inlineStr">
        <is>
          <t xml:space="preserve">      Demo windows 1ft x 10ft</t>
        </is>
      </c>
      <c r="C47" s="13" t="n">
        <v>34</v>
      </c>
      <c r="D47" s="14" t="inlineStr">
        <is>
          <t>EA</t>
        </is>
      </c>
      <c r="E47" s="15" t="n">
        <v>12</v>
      </c>
      <c r="F47" s="16">
        <f>C47*E47</f>
        <v/>
      </c>
      <c r="G47" s="17" t="inlineStr">
        <is>
          <t>Dev budget 024100 rate &amp; qty</t>
        </is>
      </c>
    </row>
    <row r="48">
      <c r="B48" s="12" t="inlineStr">
        <is>
          <t xml:space="preserve">      Demo ceiling-mount steam heaters &amp; piping</t>
        </is>
      </c>
      <c r="C48" s="13" t="n">
        <v>28</v>
      </c>
      <c r="D48" s="14" t="inlineStr">
        <is>
          <t>EA</t>
        </is>
      </c>
      <c r="E48" s="15" t="n">
        <v>1400</v>
      </c>
      <c r="F48" s="16">
        <f>C48*E48</f>
        <v/>
      </c>
      <c r="G48" s="17" t="inlineStr">
        <is>
          <t>Dev budget qty</t>
        </is>
      </c>
    </row>
    <row r="49">
      <c r="B49" s="12" t="inlineStr">
        <is>
          <t xml:space="preserve">      Demo 5,250 MBH boiler &amp; piping (15x6x7, 13,000 lb)</t>
        </is>
      </c>
      <c r="C49" s="13" t="n">
        <v>2</v>
      </c>
      <c r="D49" s="14" t="inlineStr">
        <is>
          <t>EA</t>
        </is>
      </c>
      <c r="E49" s="15" t="n">
        <v>28000</v>
      </c>
      <c r="F49" s="16">
        <f>C49*E49</f>
        <v/>
      </c>
      <c r="G49" s="17" t="inlineStr">
        <is>
          <t>Dev budget qty. Rigging-out is the cost</t>
        </is>
      </c>
    </row>
    <row r="50">
      <c r="B50" s="12" t="inlineStr">
        <is>
          <t xml:space="preserve">      Demo (5) steel columns</t>
        </is>
      </c>
      <c r="C50" s="13" t="n">
        <v>5</v>
      </c>
      <c r="D50" s="14" t="inlineStr">
        <is>
          <t>EA</t>
        </is>
      </c>
      <c r="E50" s="15" t="n">
        <v>9500</v>
      </c>
      <c r="F50" s="16">
        <f>C50*E50</f>
        <v/>
      </c>
      <c r="G50" s="17" t="inlineStr">
        <is>
          <t>Dev budget qty</t>
        </is>
      </c>
    </row>
    <row r="51">
      <c r="B51" s="12" t="inlineStr">
        <is>
          <t xml:space="preserve">      Caesarstone plant equipment removal &amp; slurry pit remediation</t>
        </is>
      </c>
      <c r="C51" s="13" t="n">
        <v>1</v>
      </c>
      <c r="D51" s="14" t="inlineStr">
        <is>
          <t>LS</t>
        </is>
      </c>
      <c r="E51" s="15" t="n">
        <v>185000</v>
      </c>
      <c r="F51" s="16">
        <f>C51*E51</f>
        <v/>
      </c>
      <c r="G51" s="17" t="inlineStr">
        <is>
          <t>Countertop manufacturing leaves silica and resin residue</t>
        </is>
      </c>
    </row>
    <row r="52">
      <c r="B52" s="12" t="inlineStr">
        <is>
          <t xml:space="preserve">      Misc build-out demo, piping, CMU, partitions</t>
        </is>
      </c>
      <c r="C52" s="13" t="n">
        <v>25935</v>
      </c>
      <c r="D52" s="14" t="inlineStr">
        <is>
          <t>SF</t>
        </is>
      </c>
      <c r="E52" s="15" t="n">
        <v>2</v>
      </c>
      <c r="F52" s="16">
        <f>C52*E52</f>
        <v/>
      </c>
      <c r="G52" s="17" t="inlineStr">
        <is>
          <t>Dev budget 024100-2 rate</t>
        </is>
      </c>
    </row>
    <row r="53">
      <c r="B53" s="12" t="inlineStr">
        <is>
          <t xml:space="preserve">      Floor trenching for MEP</t>
        </is>
      </c>
      <c r="C53" s="13" t="n">
        <v>1</v>
      </c>
      <c r="D53" s="14" t="inlineStr">
        <is>
          <t>LS</t>
        </is>
      </c>
      <c r="E53" s="15" t="n">
        <v>50000</v>
      </c>
      <c r="F53" s="16">
        <f>C53*E53</f>
        <v/>
      </c>
      <c r="G53" s="17" t="inlineStr">
        <is>
          <t>Dev budget 024100-5</t>
        </is>
      </c>
    </row>
    <row r="54">
      <c r="B54" s="12" t="inlineStr">
        <is>
          <t xml:space="preserve">      Debris removal &amp; dumpsters</t>
        </is>
      </c>
      <c r="C54" s="13" t="n">
        <v>1</v>
      </c>
      <c r="D54" s="14" t="inlineStr">
        <is>
          <t>LS</t>
        </is>
      </c>
      <c r="E54" s="15" t="n">
        <v>95000</v>
      </c>
      <c r="F54" s="16">
        <f>C54*E54</f>
        <v/>
      </c>
      <c r="G54" s="17" t="inlineStr"/>
    </row>
    <row r="55">
      <c r="B55" s="18" t="inlineStr">
        <is>
          <t xml:space="preserve">   Demolition — interior — subtotal</t>
        </is>
      </c>
      <c r="C55" s="19" t="n"/>
      <c r="D55" s="19" t="n"/>
      <c r="E55" s="19" t="n"/>
      <c r="F55" s="20">
        <f>SUM(F43:F54)</f>
        <v/>
      </c>
      <c r="G55" s="19" t="n"/>
    </row>
    <row r="56">
      <c r="B56" s="10" t="inlineStr">
        <is>
          <t xml:space="preserve">   Sitework</t>
        </is>
      </c>
      <c r="C56" s="11" t="n"/>
      <c r="D56" s="11" t="n"/>
      <c r="E56" s="11" t="n"/>
      <c r="F56" s="11" t="n"/>
      <c r="G56" s="11" t="n"/>
    </row>
    <row r="57">
      <c r="B57" s="12" t="inlineStr">
        <is>
          <t xml:space="preserve">      New sidewalks around building</t>
        </is>
      </c>
      <c r="C57" s="13" t="n">
        <v>1</v>
      </c>
      <c r="D57" s="14" t="inlineStr">
        <is>
          <t>LS</t>
        </is>
      </c>
      <c r="E57" s="15" t="n">
        <v>40000</v>
      </c>
      <c r="F57" s="16">
        <f>C57*E57</f>
        <v/>
      </c>
      <c r="G57" s="17" t="inlineStr">
        <is>
          <t>Dev budget 320000-1</t>
        </is>
      </c>
    </row>
    <row r="58">
      <c r="B58" s="12" t="inlineStr">
        <is>
          <t xml:space="preserve">      Curb cuts &amp; DOT restoration</t>
        </is>
      </c>
      <c r="C58" s="13" t="n">
        <v>1</v>
      </c>
      <c r="D58" s="14" t="inlineStr">
        <is>
          <t>LS</t>
        </is>
      </c>
      <c r="E58" s="15" t="n">
        <v>35000</v>
      </c>
      <c r="F58" s="16">
        <f>C58*E58</f>
        <v/>
      </c>
      <c r="G58" s="17" t="inlineStr"/>
    </row>
    <row r="59">
      <c r="B59" s="12" t="inlineStr">
        <is>
          <t xml:space="preserve">      Site drainage tie-ins</t>
        </is>
      </c>
      <c r="C59" s="13" t="n">
        <v>1</v>
      </c>
      <c r="D59" s="14" t="inlineStr">
        <is>
          <t>LS</t>
        </is>
      </c>
      <c r="E59" s="15" t="n">
        <v>15000</v>
      </c>
      <c r="F59" s="16">
        <f>C59*E59</f>
        <v/>
      </c>
      <c r="G59" s="17" t="inlineStr"/>
    </row>
    <row r="60">
      <c r="B60" s="18" t="inlineStr">
        <is>
          <t xml:space="preserve">   Sitework — subtotal</t>
        </is>
      </c>
      <c r="C60" s="19" t="n"/>
      <c r="D60" s="19" t="n"/>
      <c r="E60" s="19" t="n"/>
      <c r="F60" s="20">
        <f>SUM(F57:F59)</f>
        <v/>
      </c>
      <c r="G60" s="19" t="n"/>
    </row>
    <row r="61">
      <c r="B61" s="21" t="inlineStr">
        <is>
          <t>000 — DIVISION TOTAL</t>
        </is>
      </c>
      <c r="C61" s="22" t="n"/>
      <c r="D61" s="22" t="n"/>
      <c r="E61" s="22" t="n"/>
      <c r="F61" s="23">
        <f>F23+F28+F33+F41+F55+F60</f>
        <v/>
      </c>
      <c r="G61" s="22" t="n"/>
    </row>
    <row r="63">
      <c r="B63" s="8" t="inlineStr">
        <is>
          <t>100   ROOF LIFT — mandatory, this is the moat</t>
        </is>
      </c>
      <c r="C63" s="9" t="n"/>
      <c r="D63" s="9" t="n"/>
      <c r="E63" s="9" t="n"/>
      <c r="F63" s="9" t="n"/>
      <c r="G63" s="9" t="n"/>
    </row>
    <row r="64">
      <c r="B64" s="10" t="inlineStr">
        <is>
          <t xml:space="preserve">   Roof lift contract — YOUR QUOTE</t>
        </is>
      </c>
      <c r="C64" s="11" t="n"/>
      <c r="D64" s="11" t="n"/>
      <c r="E64" s="11" t="n"/>
      <c r="F64" s="11" t="n"/>
      <c r="G64" s="11" t="n"/>
    </row>
    <row r="65">
      <c r="B65" s="12" t="inlineStr">
        <is>
          <t xml:space="preserve">      Separation of roof from perimeter walls</t>
        </is>
      </c>
      <c r="C65" s="13" t="n">
        <v>1089</v>
      </c>
      <c r="D65" s="14" t="inlineStr">
        <is>
          <t>LF</t>
        </is>
      </c>
      <c r="E65" s="15" t="n">
        <v>0</v>
      </c>
      <c r="F65" s="16">
        <f>C65*E65</f>
        <v/>
      </c>
      <c r="G65" s="17" t="inlineStr">
        <is>
          <t>IN the quote</t>
        </is>
      </c>
    </row>
    <row r="66">
      <c r="B66" s="12" t="inlineStr">
        <is>
          <t xml:space="preserve">      Hydraulic jacking: towers, sequencing, survey control</t>
        </is>
      </c>
      <c r="C66" s="13" t="n">
        <v>1</v>
      </c>
      <c r="D66" s="14" t="inlineStr">
        <is>
          <t>LS</t>
        </is>
      </c>
      <c r="E66" s="15" t="n">
        <v>0</v>
      </c>
      <c r="F66" s="16">
        <f>C66*E66</f>
        <v/>
      </c>
      <c r="G66" s="17" t="inlineStr">
        <is>
          <t>IN the quote</t>
        </is>
      </c>
    </row>
    <row r="67">
      <c r="B67" s="12" t="inlineStr">
        <is>
          <t xml:space="preserve">      Column extensions spliced to existing columns</t>
        </is>
      </c>
      <c r="C67" s="13" t="n">
        <v>1</v>
      </c>
      <c r="D67" s="14" t="inlineStr">
        <is>
          <t>LS</t>
        </is>
      </c>
      <c r="E67" s="15" t="n">
        <v>0</v>
      </c>
      <c r="F67" s="16">
        <f>C67*E67</f>
        <v/>
      </c>
      <c r="G67" s="17" t="inlineStr">
        <is>
          <t>IN the quote</t>
        </is>
      </c>
    </row>
    <row r="68">
      <c r="B68" s="12" t="inlineStr">
        <is>
          <t xml:space="preserve">      Permanent lateral bracing</t>
        </is>
      </c>
      <c r="C68" s="13" t="n">
        <v>1</v>
      </c>
      <c r="D68" s="14" t="inlineStr">
        <is>
          <t>LS</t>
        </is>
      </c>
      <c r="E68" s="15" t="n">
        <v>0</v>
      </c>
      <c r="F68" s="16">
        <f>C68*E68</f>
        <v/>
      </c>
      <c r="G68" s="17" t="inlineStr">
        <is>
          <t>IN the quote</t>
        </is>
      </c>
    </row>
    <row r="69">
      <c r="B69" s="12" t="inlineStr">
        <is>
          <t xml:space="preserve">      External metal siding enclosure at new band</t>
        </is>
      </c>
      <c r="C69" s="13" t="n">
        <v>32670</v>
      </c>
      <c r="D69" s="14" t="inlineStr">
        <is>
          <t>SF</t>
        </is>
      </c>
      <c r="E69" s="15" t="n">
        <v>0</v>
      </c>
      <c r="F69" s="16">
        <f>C69*E69</f>
        <v/>
      </c>
      <c r="G69" s="17" t="inlineStr">
        <is>
          <t>IN the quote</t>
        </is>
      </c>
    </row>
    <row r="70">
      <c r="B70" s="12" t="inlineStr">
        <is>
          <t xml:space="preserve">      Structural drawings &amp; GC coordination</t>
        </is>
      </c>
      <c r="C70" s="13" t="n">
        <v>1</v>
      </c>
      <c r="D70" s="14" t="inlineStr">
        <is>
          <t>LS</t>
        </is>
      </c>
      <c r="E70" s="15" t="n">
        <v>0</v>
      </c>
      <c r="F70" s="16">
        <f>C70*E70</f>
        <v/>
      </c>
      <c r="G70" s="17" t="inlineStr">
        <is>
          <t>IN the quote</t>
        </is>
      </c>
    </row>
    <row r="71">
      <c r="B71" s="12" t="inlineStr">
        <is>
          <t xml:space="preserve">      ROOF LIFT CONTRACT — lump</t>
        </is>
      </c>
      <c r="C71" s="13" t="n">
        <v>1</v>
      </c>
      <c r="D71" s="14" t="inlineStr">
        <is>
          <t>LS</t>
        </is>
      </c>
      <c r="E71" s="15" t="n">
        <v>3500000</v>
      </c>
      <c r="F71" s="16">
        <f>C71*E71</f>
        <v/>
      </c>
      <c r="G71" s="17" t="inlineStr">
        <is>
          <t>YOUR QUOTE (Eric), midpoint of $3-4M. Sub-lines above show what it buys</t>
        </is>
      </c>
    </row>
    <row r="72">
      <c r="B72" s="18" t="inlineStr">
        <is>
          <t xml:space="preserve">   Roof lift contract — YOUR QUOTE — subtotal</t>
        </is>
      </c>
      <c r="C72" s="19" t="n"/>
      <c r="D72" s="19" t="n"/>
      <c r="E72" s="19" t="n"/>
      <c r="F72" s="20">
        <f>SUM(F65:F71)</f>
        <v/>
      </c>
      <c r="G72" s="19" t="n"/>
    </row>
    <row r="73">
      <c r="B73" s="10" t="inlineStr">
        <is>
          <t xml:space="preserve">   Foundations for the new load path — ASK if in quote</t>
        </is>
      </c>
      <c r="C73" s="11" t="n"/>
      <c r="D73" s="11" t="n"/>
      <c r="E73" s="11" t="n"/>
      <c r="F73" s="11" t="n"/>
      <c r="G73" s="11" t="n"/>
    </row>
    <row r="74">
      <c r="B74" s="12" t="inlineStr">
        <is>
          <t xml:space="preserve">      New column footings</t>
        </is>
      </c>
      <c r="C74" s="13" t="n">
        <v>40</v>
      </c>
      <c r="D74" s="14" t="inlineStr">
        <is>
          <t>EA</t>
        </is>
      </c>
      <c r="E74" s="15" t="n">
        <v>7500</v>
      </c>
      <c r="F74" s="16">
        <f>C74*E74</f>
        <v/>
      </c>
      <c r="G74" s="17" t="inlineStr">
        <is>
          <t>Dev budget 033000-3, QTY 0</t>
        </is>
      </c>
    </row>
    <row r="75">
      <c r="B75" s="12" t="inlineStr">
        <is>
          <t xml:space="preserve">      Excavation at new columns</t>
        </is>
      </c>
      <c r="C75" s="13" t="n">
        <v>74100</v>
      </c>
      <c r="D75" s="14" t="inlineStr">
        <is>
          <t>SF</t>
        </is>
      </c>
      <c r="E75" s="15" t="n">
        <v>6.5</v>
      </c>
      <c r="F75" s="16">
        <f>C75*E75</f>
        <v/>
      </c>
      <c r="G75" s="17" t="inlineStr">
        <is>
          <t>Dev budget 033000-1, QTY 0</t>
        </is>
      </c>
    </row>
    <row r="76">
      <c r="B76" s="12" t="inlineStr">
        <is>
          <t xml:space="preserve">      Underpinning at existing footings</t>
        </is>
      </c>
      <c r="C76" s="13" t="n">
        <v>24</v>
      </c>
      <c r="D76" s="14" t="inlineStr">
        <is>
          <t>EA</t>
        </is>
      </c>
      <c r="E76" s="15" t="n">
        <v>9500</v>
      </c>
      <c r="F76" s="16">
        <f>C76*E76</f>
        <v/>
      </c>
      <c r="G76" s="17" t="inlineStr">
        <is>
          <t>Existing footings take added load from the taller columns</t>
        </is>
      </c>
    </row>
    <row r="77">
      <c r="B77" s="12" t="inlineStr">
        <is>
          <t xml:space="preserve">      Rebar &amp; dowelling into existing slab</t>
        </is>
      </c>
      <c r="C77" s="13" t="n">
        <v>1</v>
      </c>
      <c r="D77" s="14" t="inlineStr">
        <is>
          <t>LS</t>
        </is>
      </c>
      <c r="E77" s="15" t="n">
        <v>78000</v>
      </c>
      <c r="F77" s="16">
        <f>C77*E77</f>
        <v/>
      </c>
      <c r="G77" s="17" t="inlineStr"/>
    </row>
    <row r="78">
      <c r="B78" s="18" t="inlineStr">
        <is>
          <t xml:space="preserve">   Foundations for the new load path — ASK if in quote — subtotal</t>
        </is>
      </c>
      <c r="C78" s="19" t="n"/>
      <c r="D78" s="19" t="n"/>
      <c r="E78" s="19" t="n"/>
      <c r="F78" s="20">
        <f>SUM(F74:F77)</f>
        <v/>
      </c>
      <c r="G78" s="19" t="n"/>
    </row>
    <row r="79">
      <c r="B79" s="10" t="inlineStr">
        <is>
          <t xml:space="preserve">   Roof-to-wall closure — ASK if in quote</t>
        </is>
      </c>
      <c r="C79" s="11" t="n"/>
      <c r="D79" s="11" t="n"/>
      <c r="E79" s="11" t="n"/>
      <c r="F79" s="11" t="n"/>
      <c r="G79" s="11" t="n"/>
    </row>
    <row r="80">
      <c r="B80" s="12" t="inlineStr">
        <is>
          <t xml:space="preserve">      Closure flashing at new roof/wall joint</t>
        </is>
      </c>
      <c r="C80" s="13" t="n">
        <v>1089</v>
      </c>
      <c r="D80" s="14" t="inlineStr">
        <is>
          <t>LF</t>
        </is>
      </c>
      <c r="E80" s="15" t="n">
        <v>145</v>
      </c>
      <c r="F80" s="16">
        <f>C80*E80</f>
        <v/>
      </c>
      <c r="G80" s="17" t="inlineStr">
        <is>
          <t>The new joint the lift creates</t>
        </is>
      </c>
    </row>
    <row r="81">
      <c r="B81" s="12" t="inlineStr">
        <is>
          <t xml:space="preserve">      Air &amp; vapour barrier continuity</t>
        </is>
      </c>
      <c r="C81" s="13" t="n">
        <v>1089</v>
      </c>
      <c r="D81" s="14" t="inlineStr">
        <is>
          <t>LF</t>
        </is>
      </c>
      <c r="E81" s="15" t="n">
        <v>42</v>
      </c>
      <c r="F81" s="16">
        <f>C81*E81</f>
        <v/>
      </c>
      <c r="G81" s="17" t="inlineStr"/>
    </row>
    <row r="82">
      <c r="B82" s="12" t="inlineStr">
        <is>
          <t xml:space="preserve">      Sealants &amp; terminations</t>
        </is>
      </c>
      <c r="C82" s="13" t="n">
        <v>1</v>
      </c>
      <c r="D82" s="14" t="inlineStr">
        <is>
          <t>LS</t>
        </is>
      </c>
      <c r="E82" s="15" t="n">
        <v>38000</v>
      </c>
      <c r="F82" s="16">
        <f>C82*E82</f>
        <v/>
      </c>
      <c r="G82" s="17" t="inlineStr"/>
    </row>
    <row r="83">
      <c r="B83" s="18" t="inlineStr">
        <is>
          <t xml:space="preserve">   Roof-to-wall closure — ASK if in quote — subtotal</t>
        </is>
      </c>
      <c r="C83" s="19" t="n"/>
      <c r="D83" s="19" t="n"/>
      <c r="E83" s="19" t="n"/>
      <c r="F83" s="20">
        <f>SUM(F80:F82)</f>
        <v/>
      </c>
      <c r="G83" s="19" t="n"/>
    </row>
    <row r="84">
      <c r="B84" s="10" t="inlineStr">
        <is>
          <t xml:space="preserve">   Envelope completion at the new band</t>
        </is>
      </c>
      <c r="C84" s="11" t="n"/>
      <c r="D84" s="11" t="n"/>
      <c r="E84" s="11" t="n"/>
      <c r="F84" s="11" t="n"/>
      <c r="G84" s="11" t="n"/>
    </row>
    <row r="85">
      <c r="B85" s="12" t="inlineStr">
        <is>
          <t xml:space="preserve">      Insulation to energy code</t>
        </is>
      </c>
      <c r="C85" s="13" t="n">
        <v>32670</v>
      </c>
      <c r="D85" s="14" t="inlineStr">
        <is>
          <t>SF</t>
        </is>
      </c>
      <c r="E85" s="15" t="n">
        <v>8</v>
      </c>
      <c r="F85" s="16">
        <f>C85*E85</f>
        <v/>
      </c>
      <c r="G85" s="17" t="inlineStr">
        <is>
          <t>NYC energy code at the new wall area</t>
        </is>
      </c>
    </row>
    <row r="86">
      <c r="B86" s="12" t="inlineStr">
        <is>
          <t xml:space="preserve">      Girts &amp; secondary framing behind siding</t>
        </is>
      </c>
      <c r="C86" s="13" t="n">
        <v>32670</v>
      </c>
      <c r="D86" s="14" t="inlineStr">
        <is>
          <t>SF</t>
        </is>
      </c>
      <c r="E86" s="15" t="n">
        <v>4.5</v>
      </c>
      <c r="F86" s="16">
        <f>C86*E86</f>
        <v/>
      </c>
      <c r="G86" s="17" t="inlineStr">
        <is>
          <t>If not in the lifter's siding scope — ASK</t>
        </is>
      </c>
    </row>
    <row r="87">
      <c r="B87" s="12" t="inlineStr">
        <is>
          <t xml:space="preserve">      Interior liner panel / furring</t>
        </is>
      </c>
      <c r="C87" s="13" t="n">
        <v>32670</v>
      </c>
      <c r="D87" s="14" t="inlineStr">
        <is>
          <t>SF</t>
        </is>
      </c>
      <c r="E87" s="15" t="n">
        <v>6</v>
      </c>
      <c r="F87" s="16">
        <f>C87*E87</f>
        <v/>
      </c>
      <c r="G87" s="17" t="inlineStr"/>
    </row>
    <row r="88">
      <c r="B88" s="18" t="inlineStr">
        <is>
          <t xml:space="preserve">   Envelope completion at the new band — subtotal</t>
        </is>
      </c>
      <c r="C88" s="19" t="n"/>
      <c r="D88" s="19" t="n"/>
      <c r="E88" s="19" t="n"/>
      <c r="F88" s="20">
        <f>SUM(F85:F87)</f>
        <v/>
      </c>
      <c r="G88" s="19" t="n"/>
    </row>
    <row r="89">
      <c r="B89" s="10" t="inlineStr">
        <is>
          <t xml:space="preserve">   Roof reinstatement</t>
        </is>
      </c>
      <c r="C89" s="11" t="n"/>
      <c r="D89" s="11" t="n"/>
      <c r="E89" s="11" t="n"/>
      <c r="F89" s="11" t="n"/>
      <c r="G89" s="11" t="n"/>
    </row>
    <row r="90">
      <c r="B90" s="12" t="inlineStr">
        <is>
          <t xml:space="preserve">      Roof repair &amp; flashing where disturbed</t>
        </is>
      </c>
      <c r="C90" s="13" t="n">
        <v>74100</v>
      </c>
      <c r="D90" s="14" t="inlineStr">
        <is>
          <t>SF</t>
        </is>
      </c>
      <c r="E90" s="15" t="n">
        <v>6</v>
      </c>
      <c r="F90" s="16">
        <f>C90*E90</f>
        <v/>
      </c>
      <c r="G90" s="17" t="inlineStr">
        <is>
          <t>NOT a re-roof — the membrane rises with the roof</t>
        </is>
      </c>
    </row>
    <row r="91">
      <c r="B91" s="12" t="inlineStr">
        <is>
          <t xml:space="preserve">      New roof drains &amp; leaders at raised level</t>
        </is>
      </c>
      <c r="C91" s="13" t="n">
        <v>18</v>
      </c>
      <c r="D91" s="14" t="inlineStr">
        <is>
          <t>EA</t>
        </is>
      </c>
      <c r="E91" s="15" t="n">
        <v>8500</v>
      </c>
      <c r="F91" s="16">
        <f>C91*E91</f>
        <v/>
      </c>
      <c r="G91" s="17" t="inlineStr">
        <is>
          <t>Dev budget 220000-16 rate</t>
        </is>
      </c>
    </row>
    <row r="92">
      <c r="B92" s="12" t="inlineStr">
        <is>
          <t xml:space="preserve">      Roof dunnage for HVAC equipment</t>
        </is>
      </c>
      <c r="C92" s="13" t="n">
        <v>8</v>
      </c>
      <c r="D92" s="14" t="inlineStr">
        <is>
          <t>LOC</t>
        </is>
      </c>
      <c r="E92" s="15" t="n">
        <v>20000</v>
      </c>
      <c r="F92" s="16">
        <f>C92*E92</f>
        <v/>
      </c>
      <c r="G92" s="17" t="inlineStr">
        <is>
          <t>Dev budget 055100-8 rate, QTY 0</t>
        </is>
      </c>
    </row>
    <row r="93">
      <c r="B93" s="12" t="inlineStr">
        <is>
          <t xml:space="preserve">      Roof penetrations framing for exhaust</t>
        </is>
      </c>
      <c r="C93" s="13" t="n">
        <v>1</v>
      </c>
      <c r="D93" s="14" t="inlineStr">
        <is>
          <t>LS</t>
        </is>
      </c>
      <c r="E93" s="15" t="n">
        <v>25000</v>
      </c>
      <c r="F93" s="16">
        <f>C93*E93</f>
        <v/>
      </c>
      <c r="G93" s="17" t="inlineStr">
        <is>
          <t>Dev budget 055100-9, QTY 0</t>
        </is>
      </c>
    </row>
    <row r="94">
      <c r="B94" s="18" t="inlineStr">
        <is>
          <t xml:space="preserve">   Roof reinstatement — subtotal</t>
        </is>
      </c>
      <c r="C94" s="19" t="n"/>
      <c r="D94" s="19" t="n"/>
      <c r="E94" s="19" t="n"/>
      <c r="F94" s="20">
        <f>SUM(F90:F93)</f>
        <v/>
      </c>
      <c r="G94" s="19" t="n"/>
    </row>
    <row r="95">
      <c r="B95" s="10" t="inlineStr">
        <is>
          <t xml:space="preserve">   Fireproofing on new steel</t>
        </is>
      </c>
      <c r="C95" s="11" t="n"/>
      <c r="D95" s="11" t="n"/>
      <c r="E95" s="11" t="n"/>
      <c r="F95" s="11" t="n"/>
      <c r="G95" s="11" t="n"/>
    </row>
    <row r="96">
      <c r="B96" s="12" t="inlineStr">
        <is>
          <t xml:space="preserve">      Spray-applied fireproofing, new columns &amp; bracing</t>
        </is>
      </c>
      <c r="C96" s="13" t="n">
        <v>1</v>
      </c>
      <c r="D96" s="14" t="inlineStr">
        <is>
          <t>LS</t>
        </is>
      </c>
      <c r="E96" s="15" t="n">
        <v>180000</v>
      </c>
      <c r="F96" s="16">
        <f>C96*E96</f>
        <v/>
      </c>
      <c r="G96" s="17" t="inlineStr">
        <is>
          <t>NYC-required in assembly occupancy. New steel only</t>
        </is>
      </c>
    </row>
    <row r="97">
      <c r="B97" s="18" t="inlineStr">
        <is>
          <t xml:space="preserve">   Fireproofing on new steel — subtotal</t>
        </is>
      </c>
      <c r="C97" s="19" t="n"/>
      <c r="D97" s="19" t="n"/>
      <c r="E97" s="19" t="n"/>
      <c r="F97" s="20">
        <f>SUM(F96:F96)</f>
        <v/>
      </c>
      <c r="G97" s="19" t="n"/>
    </row>
    <row r="98">
      <c r="B98" s="10" t="inlineStr">
        <is>
          <t xml:space="preserve">   MEP disconnect &amp; reinstatement</t>
        </is>
      </c>
      <c r="C98" s="11" t="n"/>
      <c r="D98" s="11" t="n"/>
      <c r="E98" s="11" t="n"/>
      <c r="F98" s="11" t="n"/>
      <c r="G98" s="11" t="n"/>
    </row>
    <row r="99">
      <c r="B99" s="12" t="inlineStr">
        <is>
          <t xml:space="preserve">      Disconnect electrical, mechanical, sprinkler at roof line</t>
        </is>
      </c>
      <c r="C99" s="13" t="n">
        <v>1</v>
      </c>
      <c r="D99" s="14" t="inlineStr">
        <is>
          <t>LS</t>
        </is>
      </c>
      <c r="E99" s="15" t="n">
        <v>200000</v>
      </c>
      <c r="F99" s="16">
        <f>C99*E99</f>
        <v/>
      </c>
      <c r="G99" s="17" t="inlineStr">
        <is>
          <t>EXCLUDED by the lifter</t>
        </is>
      </c>
    </row>
    <row r="100">
      <c r="B100" s="12" t="inlineStr">
        <is>
          <t xml:space="preserve">      Reconnect &amp; extend electrical risers to new height</t>
        </is>
      </c>
      <c r="C100" s="13" t="n">
        <v>1</v>
      </c>
      <c r="D100" s="14" t="inlineStr">
        <is>
          <t>LS</t>
        </is>
      </c>
      <c r="E100" s="15" t="n">
        <v>165000</v>
      </c>
      <c r="F100" s="16">
        <f>C100*E100</f>
        <v/>
      </c>
      <c r="G100" s="17" t="inlineStr">
        <is>
          <t>EXCLUDED by the lifter</t>
        </is>
      </c>
    </row>
    <row r="101">
      <c r="B101" s="12" t="inlineStr">
        <is>
          <t xml:space="preserve">      Extend sprinkler mains &amp; drops to new height</t>
        </is>
      </c>
      <c r="C101" s="13" t="n">
        <v>1</v>
      </c>
      <c r="D101" s="14" t="inlineStr">
        <is>
          <t>LS</t>
        </is>
      </c>
      <c r="E101" s="15" t="n">
        <v>125000</v>
      </c>
      <c r="F101" s="16">
        <f>C101*E101</f>
        <v/>
      </c>
      <c r="G101" s="17" t="inlineStr"/>
    </row>
    <row r="102">
      <c r="B102" s="12" t="inlineStr">
        <is>
          <t xml:space="preserve">      Extend mechanical ductwork &amp; piping</t>
        </is>
      </c>
      <c r="C102" s="13" t="n">
        <v>1</v>
      </c>
      <c r="D102" s="14" t="inlineStr">
        <is>
          <t>LS</t>
        </is>
      </c>
      <c r="E102" s="15" t="n">
        <v>60000</v>
      </c>
      <c r="F102" s="16">
        <f>C102*E102</f>
        <v/>
      </c>
      <c r="G102" s="17" t="inlineStr"/>
    </row>
    <row r="103">
      <c r="B103" s="18" t="inlineStr">
        <is>
          <t xml:space="preserve">   MEP disconnect &amp; reinstatement — subtotal</t>
        </is>
      </c>
      <c r="C103" s="19" t="n"/>
      <c r="D103" s="19" t="n"/>
      <c r="E103" s="19" t="n"/>
      <c r="F103" s="20">
        <f>SUM(F99:F102)</f>
        <v/>
      </c>
      <c r="G103" s="19" t="n"/>
    </row>
    <row r="104">
      <c r="B104" s="10" t="inlineStr">
        <is>
          <t xml:space="preserve">   Fire separation</t>
        </is>
      </c>
      <c r="C104" s="11" t="n"/>
      <c r="D104" s="11" t="n"/>
      <c r="E104" s="11" t="n"/>
      <c r="F104" s="11" t="n"/>
      <c r="G104" s="11" t="n"/>
    </row>
    <row r="105">
      <c r="B105" s="12" t="inlineStr">
        <is>
          <t xml:space="preserve">      Rated separation between zones, if required</t>
        </is>
      </c>
      <c r="C105" s="13" t="n">
        <v>1</v>
      </c>
      <c r="D105" s="14" t="inlineStr">
        <is>
          <t>LS</t>
        </is>
      </c>
      <c r="E105" s="15" t="n">
        <v>200000</v>
      </c>
      <c r="F105" s="16">
        <f>C105*E105</f>
        <v/>
      </c>
      <c r="G105" s="17" t="inlineStr">
        <is>
          <t>EXCLUDED by the lifter, 'if required'</t>
        </is>
      </c>
    </row>
    <row r="106">
      <c r="B106" s="18" t="inlineStr">
        <is>
          <t xml:space="preserve">   Fire separation — subtotal</t>
        </is>
      </c>
      <c r="C106" s="19" t="n"/>
      <c r="D106" s="19" t="n"/>
      <c r="E106" s="19" t="n"/>
      <c r="F106" s="20">
        <f>SUM(F105:F105)</f>
        <v/>
      </c>
      <c r="G106" s="19" t="n"/>
    </row>
    <row r="107">
      <c r="B107" s="21" t="inlineStr">
        <is>
          <t>100 — DIVISION TOTAL</t>
        </is>
      </c>
      <c r="C107" s="22" t="n"/>
      <c r="D107" s="22" t="n"/>
      <c r="E107" s="22" t="n"/>
      <c r="F107" s="23">
        <f>F72+F78+F83+F88+F94+F97+F103+F106</f>
        <v/>
      </c>
      <c r="G107" s="22" t="n"/>
    </row>
    <row r="109">
      <c r="B109" s="8" t="inlineStr">
        <is>
          <t>200   STAGE — ground-supported, Factory Town method</t>
        </is>
      </c>
      <c r="C109" s="9" t="n"/>
      <c r="D109" s="9" t="n"/>
      <c r="E109" s="9" t="n"/>
      <c r="F109" s="9" t="n"/>
      <c r="G109" s="9" t="n"/>
    </row>
    <row r="110">
      <c r="B110" s="10" t="inlineStr">
        <is>
          <t xml:space="preserve">   Stage foundations</t>
        </is>
      </c>
      <c r="C110" s="11" t="n"/>
      <c r="D110" s="11" t="n"/>
      <c r="E110" s="11" t="n"/>
      <c r="F110" s="11" t="n"/>
      <c r="G110" s="11" t="n"/>
    </row>
    <row r="111">
      <c r="B111" s="12" t="inlineStr">
        <is>
          <t xml:space="preserve">      Footings poured into slab</t>
        </is>
      </c>
      <c r="C111" s="13" t="n">
        <v>12</v>
      </c>
      <c r="D111" s="14" t="inlineStr">
        <is>
          <t>EA</t>
        </is>
      </c>
      <c r="E111" s="15" t="n">
        <v>7500</v>
      </c>
      <c r="F111" s="16">
        <f>C111*E111</f>
        <v/>
      </c>
      <c r="G111" s="17" t="inlineStr">
        <is>
          <t>No hurricane scope — interior, zero wind load. FT Infinity footers were $826,986 open-air Miami-Dade</t>
        </is>
      </c>
    </row>
    <row r="112">
      <c r="B112" s="12" t="inlineStr">
        <is>
          <t xml:space="preserve">      Slab cutting &amp; patching at footings</t>
        </is>
      </c>
      <c r="C112" s="13" t="n">
        <v>12</v>
      </c>
      <c r="D112" s="14" t="inlineStr">
        <is>
          <t>EA</t>
        </is>
      </c>
      <c r="E112" s="15" t="n">
        <v>2400</v>
      </c>
      <c r="F112" s="16">
        <f>C112*E112</f>
        <v/>
      </c>
      <c r="G112" s="17" t="inlineStr"/>
    </row>
    <row r="113">
      <c r="B113" s="12" t="inlineStr">
        <is>
          <t xml:space="preserve">      Anchor bolts &amp; embeds</t>
        </is>
      </c>
      <c r="C113" s="13" t="n">
        <v>12</v>
      </c>
      <c r="D113" s="14" t="inlineStr">
        <is>
          <t>EA</t>
        </is>
      </c>
      <c r="E113" s="15" t="n">
        <v>1850</v>
      </c>
      <c r="F113" s="16">
        <f>C113*E113</f>
        <v/>
      </c>
      <c r="G113" s="17" t="inlineStr"/>
    </row>
    <row r="114">
      <c r="B114" s="18" t="inlineStr">
        <is>
          <t xml:space="preserve">   Stage foundations — subtotal</t>
        </is>
      </c>
      <c r="C114" s="19" t="n"/>
      <c r="D114" s="19" t="n"/>
      <c r="E114" s="19" t="n"/>
      <c r="F114" s="20">
        <f>SUM(F111:F113)</f>
        <v/>
      </c>
      <c r="G114" s="19" t="n"/>
    </row>
    <row r="115">
      <c r="B115" s="10" t="inlineStr">
        <is>
          <t xml:space="preserve">   Stage structure &amp; deck</t>
        </is>
      </c>
      <c r="C115" s="11" t="n"/>
      <c r="D115" s="11" t="n"/>
      <c r="E115" s="11" t="n"/>
      <c r="F115" s="11" t="n"/>
      <c r="G115" s="11" t="n"/>
    </row>
    <row r="116">
      <c r="B116" s="12" t="inlineStr">
        <is>
          <t xml:space="preserve">      Stage structure design &amp; fabrication</t>
        </is>
      </c>
      <c r="C116" s="13" t="n">
        <v>1</v>
      </c>
      <c r="D116" s="14" t="inlineStr">
        <is>
          <t>LS</t>
        </is>
      </c>
      <c r="E116" s="15" t="n">
        <v>720000</v>
      </c>
      <c r="F116" s="16">
        <f>C116*E116</f>
        <v/>
      </c>
      <c r="G116" s="17" t="inlineStr">
        <is>
          <t>FT Infinity actual $2,163,275 (Mountain Production) INCLUDED an open-air roof and crowd weather cover this building does not need</t>
        </is>
      </c>
    </row>
    <row r="117">
      <c r="B117" s="12" t="inlineStr">
        <is>
          <t xml:space="preserve">      Structural steel erection</t>
        </is>
      </c>
      <c r="C117" s="13" t="n">
        <v>1</v>
      </c>
      <c r="D117" s="14" t="inlineStr">
        <is>
          <t>LS</t>
        </is>
      </c>
      <c r="E117" s="15" t="n">
        <v>180000</v>
      </c>
      <c r="F117" s="16">
        <f>C117*E117</f>
        <v/>
      </c>
      <c r="G117" s="17" t="inlineStr"/>
    </row>
    <row r="118">
      <c r="B118" s="12" t="inlineStr">
        <is>
          <t xml:space="preserve">      Stage deck framing &amp; metal deck</t>
        </is>
      </c>
      <c r="C118" s="13" t="n">
        <v>3500</v>
      </c>
      <c r="D118" s="14" t="inlineStr">
        <is>
          <t>SF</t>
        </is>
      </c>
      <c r="E118" s="15" t="n">
        <v>22</v>
      </c>
      <c r="F118" s="16">
        <f>C118*E118</f>
        <v/>
      </c>
      <c r="G118" s="17" t="inlineStr"/>
    </row>
    <row r="119">
      <c r="B119" s="12" t="inlineStr">
        <is>
          <t xml:space="preserve">      Stage T&amp;G wood floor</t>
        </is>
      </c>
      <c r="C119" s="13" t="n">
        <v>3500</v>
      </c>
      <c r="D119" s="14" t="inlineStr">
        <is>
          <t>SF</t>
        </is>
      </c>
      <c r="E119" s="15" t="n">
        <v>35</v>
      </c>
      <c r="F119" s="16">
        <f>C119*E119</f>
        <v/>
      </c>
      <c r="G119" s="17" t="inlineStr">
        <is>
          <t>Dev budget 096400-1, QTY 0</t>
        </is>
      </c>
    </row>
    <row r="120">
      <c r="B120" s="12" t="inlineStr">
        <is>
          <t xml:space="preserve">      Stage stairs &amp; access</t>
        </is>
      </c>
      <c r="C120" s="13" t="n">
        <v>4</v>
      </c>
      <c r="D120" s="14" t="inlineStr">
        <is>
          <t>EA</t>
        </is>
      </c>
      <c r="E120" s="15" t="n">
        <v>13000</v>
      </c>
      <c r="F120" s="16">
        <f>C120*E120</f>
        <v/>
      </c>
      <c r="G120" s="17" t="inlineStr">
        <is>
          <t>Dev budget 055100-7 rate</t>
        </is>
      </c>
    </row>
    <row r="121">
      <c r="B121" s="18" t="inlineStr">
        <is>
          <t xml:space="preserve">   Stage structure &amp; deck — subtotal</t>
        </is>
      </c>
      <c r="C121" s="19" t="n"/>
      <c r="D121" s="19" t="n"/>
      <c r="E121" s="19" t="n"/>
      <c r="F121" s="20">
        <f>SUM(F116:F120)</f>
        <v/>
      </c>
      <c r="G121" s="19" t="n"/>
    </row>
    <row r="122">
      <c r="B122" s="10" t="inlineStr">
        <is>
          <t xml:space="preserve">   Production towers &amp; mounting structure</t>
        </is>
      </c>
      <c r="C122" s="11" t="n"/>
      <c r="D122" s="11" t="n"/>
      <c r="E122" s="11" t="n"/>
      <c r="F122" s="11" t="n"/>
      <c r="G122" s="11" t="n"/>
    </row>
    <row r="123">
      <c r="B123" s="12" t="inlineStr">
        <is>
          <t xml:space="preserve">      Black steel mounting structure — YOUR QUOTE</t>
        </is>
      </c>
      <c r="C123" s="13" t="n">
        <v>1</v>
      </c>
      <c r="D123" s="14" t="inlineStr">
        <is>
          <t>LS</t>
        </is>
      </c>
      <c r="E123" s="15" t="n">
        <v>1000000</v>
      </c>
      <c r="F123" s="16">
        <f>C123*E123</f>
        <v/>
      </c>
      <c r="G123" s="17" t="inlineStr">
        <is>
          <t>Ground-supported so nothing hangs from the building. This is what lets the roof stay at 15 lb/SF</t>
        </is>
      </c>
    </row>
    <row r="124">
      <c r="B124" s="12" t="inlineStr">
        <is>
          <t xml:space="preserve">      Access ladders &amp; unistrut at overhead grid</t>
        </is>
      </c>
      <c r="C124" s="13" t="n">
        <v>1</v>
      </c>
      <c r="D124" s="14" t="inlineStr">
        <is>
          <t>LS</t>
        </is>
      </c>
      <c r="E124" s="15" t="n">
        <v>15000</v>
      </c>
      <c r="F124" s="16">
        <f>C124*E124</f>
        <v/>
      </c>
      <c r="G124" s="17" t="inlineStr">
        <is>
          <t>Dev budget 055100-15 / 055100-11, QTY 0</t>
        </is>
      </c>
    </row>
    <row r="125">
      <c r="B125" s="18" t="inlineStr">
        <is>
          <t xml:space="preserve">   Production towers &amp; mounting structure — subtotal</t>
        </is>
      </c>
      <c r="C125" s="19" t="n"/>
      <c r="D125" s="19" t="n"/>
      <c r="E125" s="19" t="n"/>
      <c r="F125" s="20">
        <f>SUM(F123:F124)</f>
        <v/>
      </c>
      <c r="G125" s="19" t="n"/>
    </row>
    <row r="126">
      <c r="B126" s="10" t="inlineStr">
        <is>
          <t xml:space="preserve">   Rigging grid over the crowd — ground-supported lighting towers + spanning steel</t>
        </is>
      </c>
      <c r="C126" s="11" t="n"/>
      <c r="D126" s="11" t="n"/>
      <c r="E126" s="11" t="n"/>
      <c r="F126" s="11" t="n"/>
      <c r="G126" s="11" t="n"/>
    </row>
    <row r="127">
      <c r="B127" s="12" t="inlineStr">
        <is>
          <t xml:space="preserve">      Tower footings poured into slab</t>
        </is>
      </c>
      <c r="C127" s="13" t="n">
        <v>8</v>
      </c>
      <c r="D127" s="14" t="inlineStr">
        <is>
          <t>EA</t>
        </is>
      </c>
      <c r="E127" s="15" t="n">
        <v>8500</v>
      </c>
      <c r="F127" s="16">
        <f>C127*E127</f>
        <v/>
      </c>
      <c r="G127" s="17" t="inlineStr">
        <is>
          <t>Same detail as the stage footings. Interior, zero wind load — these carry gravity and the grid's own lateral bracing, not a hurricane case</t>
        </is>
      </c>
    </row>
    <row r="128">
      <c r="B128" s="12" t="inlineStr">
        <is>
          <t xml:space="preserve">      Slab cutting &amp; patching at tower bases</t>
        </is>
      </c>
      <c r="C128" s="13" t="n">
        <v>8</v>
      </c>
      <c r="D128" s="14" t="inlineStr">
        <is>
          <t>EA</t>
        </is>
      </c>
      <c r="E128" s="15" t="n">
        <v>2400</v>
      </c>
      <c r="F128" s="16">
        <f>C128*E128</f>
        <v/>
      </c>
      <c r="G128" s="17" t="inlineStr"/>
    </row>
    <row r="129">
      <c r="B129" s="12" t="inlineStr">
        <is>
          <t xml:space="preserve">      Anchor bolts, embeds &amp; base plates</t>
        </is>
      </c>
      <c r="C129" s="13" t="n">
        <v>8</v>
      </c>
      <c r="D129" s="14" t="inlineStr">
        <is>
          <t>EA</t>
        </is>
      </c>
      <c r="E129" s="15" t="n">
        <v>1850</v>
      </c>
      <c r="F129" s="16">
        <f>C129*E129</f>
        <v/>
      </c>
      <c r="G129" s="17" t="inlineStr"/>
    </row>
    <row r="130">
      <c r="B130" s="12" t="inlineStr">
        <is>
          <t xml:space="preserve">      Lighting / support towers, 45ft lattice, fabricate &amp; deliver</t>
        </is>
      </c>
      <c r="C130" s="13" t="n">
        <v>8</v>
      </c>
      <c r="D130" s="14" t="inlineStr">
        <is>
          <t>EA</t>
        </is>
      </c>
      <c r="E130" s="15" t="n">
        <v>34000</v>
      </c>
      <c r="F130" s="16">
        <f>C130*E130</f>
        <v/>
      </c>
      <c r="G130" s="17" t="inlineStr">
        <is>
          <t>FT Infinity lighting towers were $92,020 for the lot (Mountain Production). These are dearer per tower because they carry a 150ft spanning grid, not just fixtures. 4 per side at 50ft on centre</t>
        </is>
      </c>
    </row>
    <row r="131">
      <c r="B131" s="12" t="inlineStr">
        <is>
          <t xml:space="preserve">      Cross-span trussed girders over the crowd, 150ft clear span</t>
        </is>
      </c>
      <c r="C131" s="13" t="n">
        <v>1050</v>
      </c>
      <c r="D131" s="14" t="inlineStr">
        <is>
          <t>LF</t>
        </is>
      </c>
      <c r="E131" s="15" t="n">
        <v>310</v>
      </c>
      <c r="F131" s="16">
        <f>C131*E131</f>
        <v/>
      </c>
      <c r="G131" s="17" t="inlineStr">
        <is>
          <t>THE ANSWER TO THE USER'S ASK. 7 girders at 25ft on centre spanning the full 150ft crowd width. ~6.5 tons each at $6,000/ton fabricated and erected, plus connections, camber, shop drawings and finish</t>
        </is>
      </c>
    </row>
    <row r="132">
      <c r="B132" s="12" t="inlineStr">
        <is>
          <t xml:space="preserve">      Longitudinal header trusses on the tower lines</t>
        </is>
      </c>
      <c r="C132" s="13" t="n">
        <v>350</v>
      </c>
      <c r="D132" s="14" t="inlineStr">
        <is>
          <t>LF</t>
        </is>
      </c>
      <c r="E132" s="15" t="n">
        <v>240</v>
      </c>
      <c r="F132" s="16">
        <f>C132*E132</f>
        <v/>
      </c>
      <c r="G132" s="17" t="inlineStr">
        <is>
          <t>Two header runs, one per side, 175ft each. They spread the cross-girder reactions to the towers at 50ft o.c. so no girder lands mid-span</t>
        </is>
      </c>
    </row>
    <row r="133">
      <c r="B133" s="12" t="inlineStr">
        <is>
          <t xml:space="preserve">      Grid erection: crane, riggers, lifts</t>
        </is>
      </c>
      <c r="C133" s="13" t="n">
        <v>1</v>
      </c>
      <c r="D133" s="14" t="inlineStr">
        <is>
          <t>LS</t>
        </is>
      </c>
      <c r="E133" s="15" t="n">
        <v>185000</v>
      </c>
      <c r="F133" s="16">
        <f>C133*E133</f>
        <v/>
      </c>
      <c r="G133" s="17" t="inlineStr">
        <is>
          <t>SCHEDULE. Erect this WHILE THE ROOF IS OFF during the lift window and you pick it straight down through the opening. Erect it after the roof closes and you are assembling 74 tons of steel by chain hoist inside a finished room</t>
        </is>
      </c>
    </row>
    <row r="134">
      <c r="B134" s="12" t="inlineStr">
        <is>
          <t xml:space="preserve">      Chain hoists, 1-ton, at grid pick points</t>
        </is>
      </c>
      <c r="C134" s="13" t="n">
        <v>32</v>
      </c>
      <c r="D134" s="14" t="inlineStr">
        <is>
          <t>EA</t>
        </is>
      </c>
      <c r="E134" s="15" t="n">
        <v>2850</v>
      </c>
      <c r="F134" s="16">
        <f>C134*E134</f>
        <v/>
      </c>
      <c r="G134" s="17" t="inlineStr">
        <is>
          <t>32 points on a 150ft x 175ft grid is roughly one every 25ft x 25ft</t>
        </is>
      </c>
    </row>
    <row r="135">
      <c r="B135" s="12" t="inlineStr">
        <is>
          <t xml:space="preserve">      Motor control, distro &amp; festoon</t>
        </is>
      </c>
      <c r="C135" s="13" t="n">
        <v>1</v>
      </c>
      <c r="D135" s="14" t="inlineStr">
        <is>
          <t>LS</t>
        </is>
      </c>
      <c r="E135" s="15" t="n">
        <v>48000</v>
      </c>
      <c r="F135" s="16">
        <f>C135*E135</f>
        <v/>
      </c>
      <c r="G135" s="17" t="inlineStr"/>
    </row>
    <row r="136">
      <c r="B136" s="12" t="inlineStr">
        <is>
          <t xml:space="preserve">      Load cells &amp; live load monitoring</t>
        </is>
      </c>
      <c r="C136" s="13" t="n">
        <v>1</v>
      </c>
      <c r="D136" s="14" t="inlineStr">
        <is>
          <t>LS</t>
        </is>
      </c>
      <c r="E136" s="15" t="n">
        <v>36000</v>
      </c>
      <c r="F136" s="16">
        <f>C136*E136</f>
        <v/>
      </c>
      <c r="G136" s="17" t="inlineStr">
        <is>
          <t>CODE. Rigging over an assembly occupancy — DOB and your insurer will both want the grid instrumented</t>
        </is>
      </c>
    </row>
    <row r="137">
      <c r="B137" s="12" t="inlineStr">
        <is>
          <t xml:space="preserve">      Rigging steel, shackles, span sets, bridles &amp; secondaries</t>
        </is>
      </c>
      <c r="C137" s="13" t="n">
        <v>1</v>
      </c>
      <c r="D137" s="14" t="inlineStr">
        <is>
          <t>LS</t>
        </is>
      </c>
      <c r="E137" s="15" t="n">
        <v>42000</v>
      </c>
      <c r="F137" s="16">
        <f>C137*E137</f>
        <v/>
      </c>
      <c r="G137" s="17" t="inlineStr"/>
    </row>
    <row r="138">
      <c r="B138" s="12" t="inlineStr">
        <is>
          <t xml:space="preserve">      PE-stamped structural design &amp; DOB filing for the grid</t>
        </is>
      </c>
      <c r="C138" s="13" t="n">
        <v>1</v>
      </c>
      <c r="D138" s="14" t="inlineStr">
        <is>
          <t>LS</t>
        </is>
      </c>
      <c r="E138" s="15" t="n">
        <v>85000</v>
      </c>
      <c r="F138" s="16">
        <f>C138*E138</f>
        <v/>
      </c>
      <c r="G138" s="17" t="inlineStr">
        <is>
          <t>CODE. This is a permanent structure carrying live load over the public. It gets filed, not just built</t>
        </is>
      </c>
    </row>
    <row r="139">
      <c r="B139" s="12" t="inlineStr">
        <is>
          <t xml:space="preserve">      Load test &amp; certification</t>
        </is>
      </c>
      <c r="C139" s="13" t="n">
        <v>1</v>
      </c>
      <c r="D139" s="14" t="inlineStr">
        <is>
          <t>LS</t>
        </is>
      </c>
      <c r="E139" s="15" t="n">
        <v>28000</v>
      </c>
      <c r="F139" s="16">
        <f>C139*E139</f>
        <v/>
      </c>
      <c r="G139" s="17" t="inlineStr">
        <is>
          <t>CODE</t>
        </is>
      </c>
    </row>
    <row r="140">
      <c r="B140" s="12" t="inlineStr">
        <is>
          <t xml:space="preserve">      Access catwalk on the header lines</t>
        </is>
      </c>
      <c r="C140" s="13" t="n">
        <v>350</v>
      </c>
      <c r="D140" s="14" t="inlineStr">
        <is>
          <t>LF</t>
        </is>
      </c>
      <c r="E140" s="15" t="n">
        <v>185</v>
      </c>
      <c r="F140" s="16">
        <f>C140*E140</f>
        <v/>
      </c>
      <c r="G140" s="17" t="inlineStr">
        <is>
          <t>CUTTABLE. Lets you focus and service the grid without a lift on the floor. Drop it and you focus from a genie between load-ins</t>
        </is>
      </c>
    </row>
    <row r="141">
      <c r="B141" s="18" t="inlineStr">
        <is>
          <t xml:space="preserve">   Rigging grid over the crowd — ground-supported lighting towers + spanning steel — subtotal</t>
        </is>
      </c>
      <c r="C141" s="19" t="n"/>
      <c r="D141" s="19" t="n"/>
      <c r="E141" s="19" t="n"/>
      <c r="F141" s="20">
        <f>SUM(F127:F140)</f>
        <v/>
      </c>
      <c r="G141" s="19" t="n"/>
    </row>
    <row r="142">
      <c r="B142" s="10" t="inlineStr">
        <is>
          <t xml:space="preserve">   Platforms &amp; FOH</t>
        </is>
      </c>
      <c r="C142" s="11" t="n"/>
      <c r="D142" s="11" t="n"/>
      <c r="E142" s="11" t="n"/>
      <c r="F142" s="11" t="n"/>
      <c r="G142" s="11" t="n"/>
    </row>
    <row r="143">
      <c r="B143" s="12" t="inlineStr">
        <is>
          <t xml:space="preserve">      VIP platforms &amp; decking fabrication</t>
        </is>
      </c>
      <c r="C143" s="13" t="n">
        <v>1</v>
      </c>
      <c r="D143" s="14" t="inlineStr">
        <is>
          <t>LS</t>
        </is>
      </c>
      <c r="E143" s="15" t="n">
        <v>136000</v>
      </c>
      <c r="F143" s="16">
        <f>C143*E143</f>
        <v/>
      </c>
      <c r="G143" s="17" t="inlineStr">
        <is>
          <t>FT actual, Mountain Production</t>
        </is>
      </c>
    </row>
    <row r="144">
      <c r="B144" s="12" t="inlineStr">
        <is>
          <t xml:space="preserve">      FOH platform / control position</t>
        </is>
      </c>
      <c r="C144" s="13" t="n">
        <v>1</v>
      </c>
      <c r="D144" s="14" t="inlineStr">
        <is>
          <t>LS</t>
        </is>
      </c>
      <c r="E144" s="15" t="n">
        <v>55000</v>
      </c>
      <c r="F144" s="16">
        <f>C144*E144</f>
        <v/>
      </c>
      <c r="G144" s="17" t="inlineStr">
        <is>
          <t>CORRECTED. This line previously carried $92,020, which is actually FT's LIGHTING TOWERS lot (Mountain Production), not a FOH platform. That figure now sits against the towers below where it belongs. A ~600 SF decked and railed control position with cable management is ~$55,000</t>
        </is>
      </c>
    </row>
    <row r="145">
      <c r="B145" s="12" t="inlineStr">
        <is>
          <t xml:space="preserve">      Stage decking</t>
        </is>
      </c>
      <c r="C145" s="13" t="n">
        <v>1</v>
      </c>
      <c r="D145" s="14" t="inlineStr">
        <is>
          <t>LS</t>
        </is>
      </c>
      <c r="E145" s="15" t="n">
        <v>50468</v>
      </c>
      <c r="F145" s="16">
        <f>C145*E145</f>
        <v/>
      </c>
      <c r="G145" s="17" t="inlineStr">
        <is>
          <t>FT actual, Kamilla Productions</t>
        </is>
      </c>
    </row>
    <row r="146">
      <c r="B146" s="18" t="inlineStr">
        <is>
          <t xml:space="preserve">   Platforms &amp; FOH — subtotal</t>
        </is>
      </c>
      <c r="C146" s="19" t="n"/>
      <c r="D146" s="19" t="n"/>
      <c r="E146" s="19" t="n"/>
      <c r="F146" s="20">
        <f>SUM(F143:F145)</f>
        <v/>
      </c>
      <c r="G146" s="19" t="n"/>
    </row>
    <row r="147">
      <c r="B147" s="10" t="inlineStr">
        <is>
          <t xml:space="preserve">   Erection labour &amp; equipment</t>
        </is>
      </c>
      <c r="C147" s="11" t="n"/>
      <c r="D147" s="11" t="n"/>
      <c r="E147" s="11" t="n"/>
      <c r="F147" s="11" t="n"/>
      <c r="G147" s="11" t="n"/>
    </row>
    <row r="148">
      <c r="B148" s="12" t="inlineStr">
        <is>
          <t xml:space="preserve">      Stage build labour</t>
        </is>
      </c>
      <c r="C148" s="13" t="n">
        <v>1</v>
      </c>
      <c r="D148" s="14" t="inlineStr">
        <is>
          <t>LS</t>
        </is>
      </c>
      <c r="E148" s="15" t="n">
        <v>122716</v>
      </c>
      <c r="F148" s="16">
        <f>C148*E148</f>
        <v/>
      </c>
      <c r="G148" s="17" t="inlineStr">
        <is>
          <t>FT actual, Island Productions</t>
        </is>
      </c>
    </row>
    <row r="149">
      <c r="B149" s="12" t="inlineStr">
        <is>
          <t xml:space="preserve">      Crane &amp; rigging for erection</t>
        </is>
      </c>
      <c r="C149" s="13" t="n">
        <v>1</v>
      </c>
      <c r="D149" s="14" t="inlineStr">
        <is>
          <t>LS</t>
        </is>
      </c>
      <c r="E149" s="15" t="n">
        <v>45000</v>
      </c>
      <c r="F149" s="16">
        <f>C149*E149</f>
        <v/>
      </c>
      <c r="G149" s="17" t="inlineStr">
        <is>
          <t>FT actual, George's Crane</t>
        </is>
      </c>
    </row>
    <row r="150">
      <c r="B150" s="12" t="inlineStr">
        <is>
          <t xml:space="preserve">      Heavy equipment &amp; lifts</t>
        </is>
      </c>
      <c r="C150" s="13" t="n">
        <v>1</v>
      </c>
      <c r="D150" s="14" t="inlineStr">
        <is>
          <t>LS</t>
        </is>
      </c>
      <c r="E150" s="15" t="n">
        <v>24390</v>
      </c>
      <c r="F150" s="16">
        <f>C150*E150</f>
        <v/>
      </c>
      <c r="G150" s="17" t="inlineStr">
        <is>
          <t>FT actual, HERC Rentals</t>
        </is>
      </c>
    </row>
    <row r="151">
      <c r="B151" s="18" t="inlineStr">
        <is>
          <t xml:space="preserve">   Erection labour &amp; equipment — subtotal</t>
        </is>
      </c>
      <c r="C151" s="19" t="n"/>
      <c r="D151" s="19" t="n"/>
      <c r="E151" s="19" t="n"/>
      <c r="F151" s="20">
        <f>SUM(F148:F150)</f>
        <v/>
      </c>
      <c r="G151" s="19" t="n"/>
    </row>
    <row r="152">
      <c r="B152" s="21" t="inlineStr">
        <is>
          <t>200 — DIVISION TOTAL</t>
        </is>
      </c>
      <c r="C152" s="22" t="n"/>
      <c r="D152" s="22" t="n"/>
      <c r="E152" s="22" t="n"/>
      <c r="F152" s="23">
        <f>F114+F121+F125+F141+F146+F151</f>
        <v/>
      </c>
      <c r="G152" s="22" t="n"/>
    </row>
    <row r="154">
      <c r="B154" s="8" t="inlineStr">
        <is>
          <t>300   MEZZANINE — ground-up, inside the existing envelope</t>
        </is>
      </c>
      <c r="C154" s="9" t="n"/>
      <c r="D154" s="9" t="n"/>
      <c r="E154" s="9" t="n"/>
      <c r="F154" s="9" t="n"/>
      <c r="G154" s="9" t="n"/>
    </row>
    <row r="155">
      <c r="B155" s="10" t="inlineStr">
        <is>
          <t xml:space="preserve">   Mezzanine foundations</t>
        </is>
      </c>
      <c r="C155" s="11" t="n"/>
      <c r="D155" s="11" t="n"/>
      <c r="E155" s="11" t="n"/>
      <c r="F155" s="11" t="n"/>
      <c r="G155" s="11" t="n"/>
    </row>
    <row r="156">
      <c r="B156" s="12" t="inlineStr">
        <is>
          <t xml:space="preserve">      Column footings poured into slab</t>
        </is>
      </c>
      <c r="C156" s="13" t="n">
        <v>24</v>
      </c>
      <c r="D156" s="14" t="inlineStr">
        <is>
          <t>EA</t>
        </is>
      </c>
      <c r="E156" s="15" t="n">
        <v>7500</v>
      </c>
      <c r="F156" s="16">
        <f>C156*E156</f>
        <v/>
      </c>
      <c r="G156" s="17" t="inlineStr">
        <is>
          <t>Dev budget 033000-3, QTY 0</t>
        </is>
      </c>
    </row>
    <row r="157">
      <c r="B157" s="12" t="inlineStr">
        <is>
          <t xml:space="preserve">      Slab cutting &amp; patching</t>
        </is>
      </c>
      <c r="C157" s="13" t="n">
        <v>24</v>
      </c>
      <c r="D157" s="14" t="inlineStr">
        <is>
          <t>EA</t>
        </is>
      </c>
      <c r="E157" s="15" t="n">
        <v>2200</v>
      </c>
      <c r="F157" s="16">
        <f>C157*E157</f>
        <v/>
      </c>
      <c r="G157" s="17" t="inlineStr"/>
    </row>
    <row r="158">
      <c r="B158" s="12" t="inlineStr">
        <is>
          <t xml:space="preserve">      Base plate grouting</t>
        </is>
      </c>
      <c r="C158" s="13" t="n">
        <v>1</v>
      </c>
      <c r="D158" s="14" t="inlineStr">
        <is>
          <t>LS</t>
        </is>
      </c>
      <c r="E158" s="15" t="n">
        <v>15000</v>
      </c>
      <c r="F158" s="16">
        <f>C158*E158</f>
        <v/>
      </c>
      <c r="G158" s="17" t="inlineStr">
        <is>
          <t>Dev budget 033000-11, QTY 0</t>
        </is>
      </c>
    </row>
    <row r="159">
      <c r="B159" s="18" t="inlineStr">
        <is>
          <t xml:space="preserve">   Mezzanine foundations — subtotal</t>
        </is>
      </c>
      <c r="C159" s="19" t="n"/>
      <c r="D159" s="19" t="n"/>
      <c r="E159" s="19" t="n"/>
      <c r="F159" s="20">
        <f>SUM(F156:F158)</f>
        <v/>
      </c>
      <c r="G159" s="19" t="n"/>
    </row>
    <row r="160">
      <c r="B160" s="10" t="inlineStr">
        <is>
          <t xml:space="preserve">   Mezzanine structure</t>
        </is>
      </c>
      <c r="C160" s="11" t="n"/>
      <c r="D160" s="11" t="n"/>
      <c r="E160" s="11" t="n"/>
      <c r="F160" s="11" t="n"/>
      <c r="G160" s="11" t="n"/>
    </row>
    <row r="161">
      <c r="B161" s="12" t="inlineStr">
        <is>
          <t xml:space="preserve">      Structural steel framing incl. elevated standing &amp; box seating</t>
        </is>
      </c>
      <c r="C161" s="13" t="n">
        <v>140</v>
      </c>
      <c r="D161" s="14" t="inlineStr">
        <is>
          <t>TON</t>
        </is>
      </c>
      <c r="E161" s="15" t="n">
        <v>6000</v>
      </c>
      <c r="F161" s="16">
        <f>C161*E161</f>
        <v/>
      </c>
      <c r="G161" s="17" t="inlineStr">
        <is>
          <t>14,000 SF at 20 lb/SF. Dev budget 055100-4 rate, QTY 0</t>
        </is>
      </c>
    </row>
    <row r="162">
      <c r="B162" s="12" t="inlineStr">
        <is>
          <t xml:space="preserve">      Metal deck</t>
        </is>
      </c>
      <c r="C162" s="13" t="n">
        <v>14000</v>
      </c>
      <c r="D162" s="14" t="inlineStr">
        <is>
          <t>SF</t>
        </is>
      </c>
      <c r="E162" s="15" t="n">
        <v>4</v>
      </c>
      <c r="F162" s="16">
        <f>C162*E162</f>
        <v/>
      </c>
      <c r="G162" s="17" t="inlineStr">
        <is>
          <t>Dev budget 055100-3 rate</t>
        </is>
      </c>
    </row>
    <row r="163">
      <c r="B163" s="12" t="inlineStr">
        <is>
          <t xml:space="preserve">      Concrete deck poured on metal deck</t>
        </is>
      </c>
      <c r="C163" s="13" t="n">
        <v>14000</v>
      </c>
      <c r="D163" s="14" t="inlineStr">
        <is>
          <t>SF</t>
        </is>
      </c>
      <c r="E163" s="15" t="n">
        <v>25</v>
      </c>
      <c r="F163" s="16">
        <f>C163*E163</f>
        <v/>
      </c>
      <c r="G163" s="17" t="inlineStr">
        <is>
          <t>Dev budget 033000-9, QTY 0. Poured for acoustic separation and dense standing load</t>
        </is>
      </c>
    </row>
    <row r="164">
      <c r="B164" s="12" t="inlineStr">
        <is>
          <t xml:space="preserve">      Fireproofing on mezzanine steel</t>
        </is>
      </c>
      <c r="C164" s="13" t="n">
        <v>14000</v>
      </c>
      <c r="D164" s="14" t="inlineStr">
        <is>
          <t>SF</t>
        </is>
      </c>
      <c r="E164" s="15" t="n">
        <v>5</v>
      </c>
      <c r="F164" s="16">
        <f>C164*E164</f>
        <v/>
      </c>
      <c r="G164" s="17" t="inlineStr">
        <is>
          <t>Dev budget 078100-2, QTY 0</t>
        </is>
      </c>
    </row>
    <row r="165">
      <c r="B165" s="18" t="inlineStr">
        <is>
          <t xml:space="preserve">   Mezzanine structure — subtotal</t>
        </is>
      </c>
      <c r="C165" s="19" t="n"/>
      <c r="D165" s="19" t="n"/>
      <c r="E165" s="19" t="n"/>
      <c r="F165" s="20">
        <f>SUM(F161:F164)</f>
        <v/>
      </c>
      <c r="G165" s="19" t="n"/>
    </row>
    <row r="166">
      <c r="B166" s="10" t="inlineStr">
        <is>
          <t xml:space="preserve">   Raised premium tier — replaces built boxes</t>
        </is>
      </c>
      <c r="C166" s="11" t="n"/>
      <c r="D166" s="11" t="n"/>
      <c r="E166" s="11" t="n"/>
      <c r="F166" s="11" t="n"/>
      <c r="G166" s="11" t="n"/>
    </row>
    <row r="167">
      <c r="B167" s="12" t="inlineStr">
        <is>
          <t xml:space="preserve">      Raised deck platform framing, 18in step</t>
        </is>
      </c>
      <c r="C167" s="13" t="n">
        <v>5600</v>
      </c>
      <c r="D167" s="14" t="inlineStr">
        <is>
          <t>SF</t>
        </is>
      </c>
      <c r="E167" s="15" t="n">
        <v>16</v>
      </c>
      <c r="F167" s="16">
        <f>C167*E167</f>
        <v/>
      </c>
      <c r="G167" s="17" t="inlineStr">
        <is>
          <t>REPLACES BUILT BOXES. An 18in step is enough to see over a standing row in front — which is what the boxes were buying</t>
        </is>
      </c>
    </row>
    <row r="168">
      <c r="B168" s="12" t="inlineStr">
        <is>
          <t xml:space="preserve">      Deck surface at the raised tier</t>
        </is>
      </c>
      <c r="C168" s="13" t="n">
        <v>5600</v>
      </c>
      <c r="D168" s="14" t="inlineStr">
        <is>
          <t>SF</t>
        </is>
      </c>
      <c r="E168" s="15" t="n">
        <v>14</v>
      </c>
      <c r="F168" s="16">
        <f>C168*E168</f>
        <v/>
      </c>
      <c r="G168" s="17" t="inlineStr"/>
    </row>
    <row r="169">
      <c r="B169" s="12" t="inlineStr">
        <is>
          <t xml:space="preserve">      Edge guard rail at the tier</t>
        </is>
      </c>
      <c r="C169" s="13" t="n">
        <v>200</v>
      </c>
      <c r="D169" s="14" t="inlineStr">
        <is>
          <t>LF</t>
        </is>
      </c>
      <c r="E169" s="15" t="n">
        <v>275</v>
      </c>
      <c r="F169" s="16">
        <f>C169*E169</f>
        <v/>
      </c>
      <c r="G169" s="17" t="inlineStr">
        <is>
          <t>CODE — guard at any change in level over 30in; rail here regardless for safety</t>
        </is>
      </c>
    </row>
    <row r="170">
      <c r="B170" s="12" t="inlineStr">
        <is>
          <t xml:space="preserve">      Two shallow steps up plus ADA ramp at one end</t>
        </is>
      </c>
      <c r="C170" s="13" t="n">
        <v>1</v>
      </c>
      <c r="D170" s="14" t="inlineStr">
        <is>
          <t>LS</t>
        </is>
      </c>
      <c r="E170" s="15" t="n">
        <v>38000</v>
      </c>
      <c r="F170" s="16">
        <f>C170*E170</f>
        <v/>
      </c>
      <c r="G170" s="17" t="inlineStr">
        <is>
          <t>CODE — accessible route onto the raised tier</t>
        </is>
      </c>
    </row>
    <row r="171">
      <c r="B171" s="18" t="inlineStr">
        <is>
          <t xml:space="preserve">   Raised premium tier — replaces built boxes — subtotal</t>
        </is>
      </c>
      <c r="C171" s="19" t="n"/>
      <c r="D171" s="19" t="n"/>
      <c r="E171" s="19" t="n"/>
      <c r="F171" s="20">
        <f>SUM(F167:F170)</f>
        <v/>
      </c>
      <c r="G171" s="19" t="n"/>
    </row>
    <row r="172">
      <c r="B172" s="10" t="inlineStr">
        <is>
          <t xml:space="preserve">   Egress &amp; guarding</t>
        </is>
      </c>
      <c r="C172" s="11" t="n"/>
      <c r="D172" s="11" t="n"/>
      <c r="E172" s="11" t="n"/>
      <c r="F172" s="11" t="n"/>
      <c r="G172" s="11" t="n"/>
    </row>
    <row r="173">
      <c r="B173" s="12" t="inlineStr">
        <is>
          <t xml:space="preserve">      Egress stairs</t>
        </is>
      </c>
      <c r="C173" s="13" t="n">
        <v>3</v>
      </c>
      <c r="D173" s="14" t="inlineStr">
        <is>
          <t>FL</t>
        </is>
      </c>
      <c r="E173" s="15" t="n">
        <v>30000</v>
      </c>
      <c r="F173" s="16">
        <f>C173*E173</f>
        <v/>
      </c>
      <c r="G173" s="17" t="inlineStr">
        <is>
          <t>CODE — count set by the egress calculation, not preference</t>
        </is>
      </c>
    </row>
    <row r="174">
      <c r="B174" s="12" t="inlineStr">
        <is>
          <t xml:space="preserve">      Concrete in-fill on pan stairs</t>
        </is>
      </c>
      <c r="C174" s="13" t="n">
        <v>4</v>
      </c>
      <c r="D174" s="14" t="inlineStr">
        <is>
          <t>EA</t>
        </is>
      </c>
      <c r="E174" s="15" t="n">
        <v>4000</v>
      </c>
      <c r="F174" s="16">
        <f>C174*E174</f>
        <v/>
      </c>
      <c r="G174" s="17" t="inlineStr">
        <is>
          <t>Dev budget 033000-10, QTY 0</t>
        </is>
      </c>
    </row>
    <row r="175">
      <c r="B175" s="12" t="inlineStr">
        <is>
          <t xml:space="preserve">      Guard rail at mezzanine edge</t>
        </is>
      </c>
      <c r="C175" s="13" t="n">
        <v>588.0600000000001</v>
      </c>
      <c r="D175" s="14" t="inlineStr">
        <is>
          <t>LF</t>
        </is>
      </c>
      <c r="E175" s="15" t="n">
        <v>275</v>
      </c>
      <c r="F175" s="16">
        <f>C175*E175</f>
        <v/>
      </c>
      <c r="G175" s="17" t="inlineStr">
        <is>
          <t>CODE — height and load prescribed. Dev budget 055100-13 rate</t>
        </is>
      </c>
    </row>
    <row r="176">
      <c r="B176" s="12" t="inlineStr">
        <is>
          <t xml:space="preserve">      Handrails at stairs</t>
        </is>
      </c>
      <c r="C176" s="13" t="n">
        <v>3</v>
      </c>
      <c r="D176" s="14" t="inlineStr">
        <is>
          <t>FL</t>
        </is>
      </c>
      <c r="E176" s="15" t="n">
        <v>6500</v>
      </c>
      <c r="F176" s="16">
        <f>C176*E176</f>
        <v/>
      </c>
      <c r="G176" s="17" t="inlineStr"/>
    </row>
    <row r="177">
      <c r="B177" s="18" t="inlineStr">
        <is>
          <t xml:space="preserve">   Egress &amp; guarding — subtotal</t>
        </is>
      </c>
      <c r="C177" s="19" t="n"/>
      <c r="D177" s="19" t="n"/>
      <c r="E177" s="19" t="n"/>
      <c r="F177" s="20">
        <f>SUM(F173:F176)</f>
        <v/>
      </c>
      <c r="G177" s="19" t="n"/>
    </row>
    <row r="178">
      <c r="B178" s="21" t="inlineStr">
        <is>
          <t>300 — DIVISION TOTAL</t>
        </is>
      </c>
      <c r="C178" s="22" t="n"/>
      <c r="D178" s="22" t="n"/>
      <c r="E178" s="22" t="n"/>
      <c r="F178" s="23">
        <f>F159+F165+F171+F177</f>
        <v/>
      </c>
      <c r="G178" s="22" t="n"/>
    </row>
    <row r="180">
      <c r="B180" s="8" t="inlineStr">
        <is>
          <t>400   ENVELOPE &amp; INTERIORS</t>
        </is>
      </c>
      <c r="C180" s="9" t="n"/>
      <c r="D180" s="9" t="n"/>
      <c r="E180" s="9" t="n"/>
      <c r="F180" s="9" t="n"/>
      <c r="G180" s="9" t="n"/>
    </row>
    <row r="181">
      <c r="B181" s="10" t="inlineStr">
        <is>
          <t xml:space="preserve">   Masonry</t>
        </is>
      </c>
      <c r="C181" s="11" t="n"/>
      <c r="D181" s="11" t="n"/>
      <c r="E181" s="11" t="n"/>
      <c r="F181" s="11" t="n"/>
      <c r="G181" s="11" t="n"/>
    </row>
    <row r="182">
      <c r="B182" s="12" t="inlineStr">
        <is>
          <t xml:space="preserve">      Patch &amp; repair existing masonry wall</t>
        </is>
      </c>
      <c r="C182" s="13" t="n">
        <v>9972</v>
      </c>
      <c r="D182" s="14" t="inlineStr">
        <is>
          <t>SF</t>
        </is>
      </c>
      <c r="E182" s="15" t="n">
        <v>10</v>
      </c>
      <c r="F182" s="16">
        <f>C182*E182</f>
        <v/>
      </c>
      <c r="G182" s="17" t="inlineStr">
        <is>
          <t>Dev budget 042000-1 rate &amp; qty</t>
        </is>
      </c>
    </row>
    <row r="183">
      <c r="B183" s="12" t="inlineStr">
        <is>
          <t xml:space="preserve">      New masonry wall at entry lobby</t>
        </is>
      </c>
      <c r="C183" s="13" t="n">
        <v>2022</v>
      </c>
      <c r="D183" s="14" t="inlineStr">
        <is>
          <t>SF</t>
        </is>
      </c>
      <c r="E183" s="15" t="n">
        <v>28</v>
      </c>
      <c r="F183" s="16">
        <f>C183*E183</f>
        <v/>
      </c>
      <c r="G183" s="17" t="inlineStr">
        <is>
          <t>Dev budget qty</t>
        </is>
      </c>
    </row>
    <row r="184">
      <c r="B184" s="12" t="inlineStr">
        <is>
          <t xml:space="preserve">      CMU &amp; brick infill at removed windows/doors/grilles</t>
        </is>
      </c>
      <c r="C184" s="13" t="n">
        <v>1</v>
      </c>
      <c r="D184" s="14" t="inlineStr">
        <is>
          <t>LS</t>
        </is>
      </c>
      <c r="E184" s="15" t="n">
        <v>68000</v>
      </c>
      <c r="F184" s="16">
        <f>C184*E184</f>
        <v/>
      </c>
      <c r="G184" s="17" t="inlineStr">
        <is>
          <t>Dev budget 042000-3, QTY 0</t>
        </is>
      </c>
    </row>
    <row r="185">
      <c r="B185" s="12" t="inlineStr">
        <is>
          <t xml:space="preserve">      CMU elevator tower at entrance</t>
        </is>
      </c>
      <c r="C185" s="13" t="n">
        <v>3220</v>
      </c>
      <c r="D185" s="14" t="inlineStr">
        <is>
          <t>SF</t>
        </is>
      </c>
      <c r="E185" s="15" t="n">
        <v>35</v>
      </c>
      <c r="F185" s="16">
        <f>C185*E185</f>
        <v/>
      </c>
      <c r="G185" s="17" t="inlineStr">
        <is>
          <t>Dev budget 042000 rate &amp; qty</t>
        </is>
      </c>
    </row>
    <row r="186">
      <c r="B186" s="12" t="inlineStr">
        <is>
          <t xml:space="preserve">      CMU elevator tower at stage</t>
        </is>
      </c>
      <c r="C186" s="13" t="n">
        <v>2977</v>
      </c>
      <c r="D186" s="14" t="inlineStr">
        <is>
          <t>SF</t>
        </is>
      </c>
      <c r="E186" s="15" t="n">
        <v>35</v>
      </c>
      <c r="F186" s="16">
        <f>C186*E186</f>
        <v/>
      </c>
      <c r="G186" s="17" t="inlineStr">
        <is>
          <t>Dev budget rate &amp; qty</t>
        </is>
      </c>
    </row>
    <row r="187">
      <c r="B187" s="12" t="inlineStr">
        <is>
          <t xml:space="preserve">      CMU at back wall of music hall</t>
        </is>
      </c>
      <c r="C187" s="13" t="n">
        <v>6097</v>
      </c>
      <c r="D187" s="14" t="inlineStr">
        <is>
          <t>SF</t>
        </is>
      </c>
      <c r="E187" s="15" t="n">
        <v>35</v>
      </c>
      <c r="F187" s="16">
        <f>C187*E187</f>
        <v/>
      </c>
      <c r="G187" s="17" t="inlineStr">
        <is>
          <t>Dev budget rate &amp; qty</t>
        </is>
      </c>
    </row>
    <row r="188">
      <c r="B188" s="12" t="inlineStr">
        <is>
          <t xml:space="preserve">      Repointing &amp; cleaning existing facade</t>
        </is>
      </c>
      <c r="C188" s="13" t="n">
        <v>1</v>
      </c>
      <c r="D188" s="14" t="inlineStr">
        <is>
          <t>LS</t>
        </is>
      </c>
      <c r="E188" s="15" t="n">
        <v>85000</v>
      </c>
      <c r="F188" s="16">
        <f>C188*E188</f>
        <v/>
      </c>
      <c r="G188" s="17" t="inlineStr">
        <is>
          <t>Dev budget 042000-4, QTY 0</t>
        </is>
      </c>
    </row>
    <row r="189">
      <c r="B189" s="18" t="inlineStr">
        <is>
          <t xml:space="preserve">   Masonry — subtotal</t>
        </is>
      </c>
      <c r="C189" s="19" t="n"/>
      <c r="D189" s="19" t="n"/>
      <c r="E189" s="19" t="n"/>
      <c r="F189" s="20">
        <f>SUM(F182:F188)</f>
        <v/>
      </c>
      <c r="G189" s="19" t="n"/>
    </row>
    <row r="190">
      <c r="B190" s="10" t="inlineStr">
        <is>
          <t xml:space="preserve">   Doors, frames &amp; hardware</t>
        </is>
      </c>
      <c r="C190" s="11" t="n"/>
      <c r="D190" s="11" t="n"/>
      <c r="E190" s="11" t="n"/>
      <c r="F190" s="11" t="n"/>
      <c r="G190" s="11" t="n"/>
    </row>
    <row r="191">
      <c r="B191" s="12" t="inlineStr">
        <is>
          <t xml:space="preserve">      Single hollow metal doors, non-acoustic</t>
        </is>
      </c>
      <c r="C191" s="13" t="n">
        <v>64</v>
      </c>
      <c r="D191" s="14" t="inlineStr">
        <is>
          <t>EA</t>
        </is>
      </c>
      <c r="E191" s="15" t="n">
        <v>1800</v>
      </c>
      <c r="F191" s="16">
        <f>C191*E191</f>
        <v/>
      </c>
      <c r="G191" s="17" t="inlineStr">
        <is>
          <t>Dev budget 081000-1 rate, QTY 0</t>
        </is>
      </c>
    </row>
    <row r="192">
      <c r="B192" s="12" t="inlineStr">
        <is>
          <t xml:space="preserve">      Double hollow metal doors, non-acoustic</t>
        </is>
      </c>
      <c r="C192" s="13" t="n">
        <v>22</v>
      </c>
      <c r="D192" s="14" t="inlineStr">
        <is>
          <t>PAIR</t>
        </is>
      </c>
      <c r="E192" s="15" t="n">
        <v>2500</v>
      </c>
      <c r="F192" s="16">
        <f>C192*E192</f>
        <v/>
      </c>
      <c r="G192" s="17" t="inlineStr">
        <is>
          <t>Dev budget 081000-2 rate</t>
        </is>
      </c>
    </row>
    <row r="193">
      <c r="B193" s="12" t="inlineStr">
        <is>
          <t xml:space="preserve">      Acoustic doors at music hall</t>
        </is>
      </c>
      <c r="C193" s="13" t="n">
        <v>18</v>
      </c>
      <c r="D193" s="14" t="inlineStr">
        <is>
          <t>EA</t>
        </is>
      </c>
      <c r="E193" s="15" t="n">
        <v>6500</v>
      </c>
      <c r="F193" s="16">
        <f>C193*E193</f>
        <v/>
      </c>
      <c r="G193" s="17" t="inlineStr">
        <is>
          <t>Dev budget 081000-3 rate. Sound lock at every hall opening</t>
        </is>
      </c>
    </row>
    <row r="194">
      <c r="B194" s="12" t="inlineStr">
        <is>
          <t xml:space="preserve">      Acoustic double doors at music hall</t>
        </is>
      </c>
      <c r="C194" s="13" t="n">
        <v>10</v>
      </c>
      <c r="D194" s="14" t="inlineStr">
        <is>
          <t>PAIR</t>
        </is>
      </c>
      <c r="E194" s="15" t="n">
        <v>10000</v>
      </c>
      <c r="F194" s="16">
        <f>C194*E194</f>
        <v/>
      </c>
      <c r="G194" s="17" t="inlineStr">
        <is>
          <t>Dev budget 081000-4 rate</t>
        </is>
      </c>
    </row>
    <row r="195">
      <c r="B195" s="12" t="inlineStr">
        <is>
          <t xml:space="preserve">      Special doors (Eliason)</t>
        </is>
      </c>
      <c r="C195" s="13" t="n">
        <v>2</v>
      </c>
      <c r="D195" s="14" t="inlineStr">
        <is>
          <t>EA</t>
        </is>
      </c>
      <c r="E195" s="15" t="n">
        <v>3000</v>
      </c>
      <c r="F195" s="16">
        <f>C195*E195</f>
        <v/>
      </c>
      <c r="G195" s="17" t="inlineStr">
        <is>
          <t>Dev budget 083000-1, priced in file</t>
        </is>
      </c>
    </row>
    <row r="196">
      <c r="B196" s="12" t="inlineStr">
        <is>
          <t xml:space="preserve">      Door hardware, closers, panic devices</t>
        </is>
      </c>
      <c r="C196" s="13" t="n">
        <v>96</v>
      </c>
      <c r="D196" s="14" t="inlineStr">
        <is>
          <t>EA</t>
        </is>
      </c>
      <c r="E196" s="15" t="n">
        <v>950</v>
      </c>
      <c r="F196" s="16">
        <f>C196*E196</f>
        <v/>
      </c>
      <c r="G196" s="17" t="inlineStr">
        <is>
          <t>CODE — panic hardware on egress doors</t>
        </is>
      </c>
    </row>
    <row r="197">
      <c r="B197" s="12" t="inlineStr">
        <is>
          <t xml:space="preserve">      Install doors/frames/hardware</t>
        </is>
      </c>
      <c r="C197" s="13" t="n">
        <v>96</v>
      </c>
      <c r="D197" s="14" t="inlineStr">
        <is>
          <t>EA</t>
        </is>
      </c>
      <c r="E197" s="15" t="n">
        <v>650</v>
      </c>
      <c r="F197" s="16">
        <f>C197*E197</f>
        <v/>
      </c>
      <c r="G197" s="17" t="inlineStr">
        <is>
          <t>Dev budget 092000-7 rate</t>
        </is>
      </c>
    </row>
    <row r="198">
      <c r="B198" s="18" t="inlineStr">
        <is>
          <t xml:space="preserve">   Doors, frames &amp; hardware — subtotal</t>
        </is>
      </c>
      <c r="C198" s="19" t="n"/>
      <c r="D198" s="19" t="n"/>
      <c r="E198" s="19" t="n"/>
      <c r="F198" s="20">
        <f>SUM(F191:F197)</f>
        <v/>
      </c>
      <c r="G198" s="19" t="n"/>
    </row>
    <row r="199">
      <c r="B199" s="10" t="inlineStr">
        <is>
          <t xml:space="preserve">   Storefront &amp; glazing</t>
        </is>
      </c>
      <c r="C199" s="11" t="n"/>
      <c r="D199" s="11" t="n"/>
      <c r="E199" s="11" t="n"/>
      <c r="F199" s="11" t="n"/>
      <c r="G199" s="11" t="n"/>
    </row>
    <row r="200">
      <c r="B200" s="12" t="inlineStr">
        <is>
          <t xml:space="preserve">      New storefront with doors at entry</t>
        </is>
      </c>
      <c r="C200" s="13" t="n">
        <v>900</v>
      </c>
      <c r="D200" s="14" t="inlineStr">
        <is>
          <t>SF</t>
        </is>
      </c>
      <c r="E200" s="15" t="n">
        <v>250</v>
      </c>
      <c r="F200" s="16">
        <f>C200*E200</f>
        <v/>
      </c>
      <c r="G200" s="17" t="inlineStr">
        <is>
          <t>Dev budget 084100-1 rate, QTY 0</t>
        </is>
      </c>
    </row>
    <row r="201">
      <c r="B201" s="12" t="inlineStr">
        <is>
          <t xml:space="preserve">      Ballistic box office window</t>
        </is>
      </c>
      <c r="C201" s="13" t="n">
        <v>1</v>
      </c>
      <c r="D201" s="14" t="inlineStr">
        <is>
          <t>LOT</t>
        </is>
      </c>
      <c r="E201" s="15" t="n">
        <v>10000</v>
      </c>
      <c r="F201" s="16">
        <f>C201*E201</f>
        <v/>
      </c>
      <c r="G201" s="17" t="inlineStr">
        <is>
          <t>Dev budget 088000-5</t>
        </is>
      </c>
    </row>
    <row r="202">
      <c r="B202" s="12" t="inlineStr">
        <is>
          <t xml:space="preserve">      Mirrors at public restrooms &amp; green rooms</t>
        </is>
      </c>
      <c r="C202" s="13" t="n">
        <v>1</v>
      </c>
      <c r="D202" s="14" t="inlineStr">
        <is>
          <t>LOT</t>
        </is>
      </c>
      <c r="E202" s="15" t="n">
        <v>22000</v>
      </c>
      <c r="F202" s="16">
        <f>C202*E202</f>
        <v/>
      </c>
      <c r="G202" s="17" t="inlineStr">
        <is>
          <t>Dev budget 088000-2/3</t>
        </is>
      </c>
    </row>
    <row r="203">
      <c r="B203" s="12" t="inlineStr">
        <is>
          <t xml:space="preserve">      Mirror behind bars</t>
        </is>
      </c>
      <c r="C203" s="13" t="n">
        <v>1</v>
      </c>
      <c r="D203" s="14" t="inlineStr">
        <is>
          <t>LOT</t>
        </is>
      </c>
      <c r="E203" s="15" t="n">
        <v>35000</v>
      </c>
      <c r="F203" s="16">
        <f>C203*E203</f>
        <v/>
      </c>
      <c r="G203" s="17" t="inlineStr">
        <is>
          <t>Dev budget 088000-4</t>
        </is>
      </c>
    </row>
    <row r="204">
      <c r="B204" s="18" t="inlineStr">
        <is>
          <t xml:space="preserve">   Storefront &amp; glazing — subtotal</t>
        </is>
      </c>
      <c r="C204" s="19" t="n"/>
      <c r="D204" s="19" t="n"/>
      <c r="E204" s="19" t="n"/>
      <c r="F204" s="20">
        <f>SUM(F200:F203)</f>
        <v/>
      </c>
      <c r="G204" s="19" t="n"/>
    </row>
    <row r="205">
      <c r="B205" s="10" t="inlineStr">
        <is>
          <t xml:space="preserve">   Drywall &amp; partitions</t>
        </is>
      </c>
      <c r="C205" s="11" t="n"/>
      <c r="D205" s="11" t="n"/>
      <c r="E205" s="11" t="n"/>
      <c r="F205" s="11" t="n"/>
      <c r="G205" s="11" t="n"/>
    </row>
    <row r="206">
      <c r="B206" s="12" t="inlineStr">
        <is>
          <t xml:space="preserve">      Perimeter wall partition at existing exterior wall</t>
        </is>
      </c>
      <c r="C206" s="13" t="n">
        <v>9972</v>
      </c>
      <c r="D206" s="14" t="inlineStr">
        <is>
          <t>SF</t>
        </is>
      </c>
      <c r="E206" s="15" t="n">
        <v>12</v>
      </c>
      <c r="F206" s="16">
        <f>C206*E206</f>
        <v/>
      </c>
      <c r="G206" s="17" t="inlineStr">
        <is>
          <t>Dev budget 092000-1 rate &amp; qty</t>
        </is>
      </c>
    </row>
    <row r="207">
      <c r="B207" s="12" t="inlineStr">
        <is>
          <t xml:space="preserve">      Perimeter partition at new exterior wall</t>
        </is>
      </c>
      <c r="C207" s="13" t="n">
        <v>2022</v>
      </c>
      <c r="D207" s="14" t="inlineStr">
        <is>
          <t>SF</t>
        </is>
      </c>
      <c r="E207" s="15" t="n">
        <v>12</v>
      </c>
      <c r="F207" s="16">
        <f>C207*E207</f>
        <v/>
      </c>
      <c r="G207" s="17" t="inlineStr">
        <is>
          <t>Dev budget qty</t>
        </is>
      </c>
    </row>
    <row r="208">
      <c r="B208" s="12" t="inlineStr">
        <is>
          <t xml:space="preserve">      2HR fire-rated wall rear of stage, 20ft high</t>
        </is>
      </c>
      <c r="C208" s="13" t="n">
        <v>5565</v>
      </c>
      <c r="D208" s="14" t="inlineStr">
        <is>
          <t>SF</t>
        </is>
      </c>
      <c r="E208" s="15" t="n">
        <v>20</v>
      </c>
      <c r="F208" s="16">
        <f>C208*E208</f>
        <v/>
      </c>
      <c r="G208" s="17" t="inlineStr">
        <is>
          <t>Dev budget qty. CODE</t>
        </is>
      </c>
    </row>
    <row r="209">
      <c r="B209" s="12" t="inlineStr">
        <is>
          <t xml:space="preserve">      2HR fire-rated wall rear of music hall, 20ft high</t>
        </is>
      </c>
      <c r="C209" s="13" t="n">
        <v>2857</v>
      </c>
      <c r="D209" s="14" t="inlineStr">
        <is>
          <t>SF</t>
        </is>
      </c>
      <c r="E209" s="15" t="n">
        <v>20</v>
      </c>
      <c r="F209" s="16">
        <f>C209*E209</f>
        <v/>
      </c>
      <c r="G209" s="17" t="inlineStr">
        <is>
          <t>Dev budget qty. CODE</t>
        </is>
      </c>
    </row>
    <row r="210">
      <c r="B210" s="12" t="inlineStr">
        <is>
          <t xml:space="preserve">      Plywood 8ft AFF at stage walls</t>
        </is>
      </c>
      <c r="C210" s="13" t="n">
        <v>1672</v>
      </c>
      <c r="D210" s="14" t="inlineStr">
        <is>
          <t>SF</t>
        </is>
      </c>
      <c r="E210" s="15" t="n">
        <v>9</v>
      </c>
      <c r="F210" s="16">
        <f>C210*E210</f>
        <v/>
      </c>
      <c r="G210" s="17" t="inlineStr">
        <is>
          <t>Dev budget qty</t>
        </is>
      </c>
    </row>
    <row r="211">
      <c r="B211" s="12" t="inlineStr">
        <is>
          <t xml:space="preserve">      2in insulation above 8ft AFF to 38ft AFF</t>
        </is>
      </c>
      <c r="C211" s="13" t="n">
        <v>6932</v>
      </c>
      <c r="D211" s="14" t="inlineStr">
        <is>
          <t>SF</t>
        </is>
      </c>
      <c r="E211" s="15" t="n">
        <v>6</v>
      </c>
      <c r="F211" s="16">
        <f>C211*E211</f>
        <v/>
      </c>
      <c r="G211" s="17" t="inlineStr">
        <is>
          <t>Dev budget qty</t>
        </is>
      </c>
    </row>
    <row r="212">
      <c r="B212" s="12" t="inlineStr">
        <is>
          <t xml:space="preserve">      Proscenium wall</t>
        </is>
      </c>
      <c r="C212" s="13" t="n">
        <v>4194</v>
      </c>
      <c r="D212" s="14" t="inlineStr">
        <is>
          <t>SF</t>
        </is>
      </c>
      <c r="E212" s="15" t="n">
        <v>22</v>
      </c>
      <c r="F212" s="16">
        <f>C212*E212</f>
        <v/>
      </c>
      <c r="G212" s="17" t="inlineStr">
        <is>
          <t>Dev budget qty</t>
        </is>
      </c>
    </row>
    <row r="213">
      <c r="B213" s="12" t="inlineStr">
        <is>
          <t xml:space="preserve">      Interior sound/fire rated walls at stairs &amp; shafts</t>
        </is>
      </c>
      <c r="C213" s="13" t="n">
        <v>18000</v>
      </c>
      <c r="D213" s="14" t="inlineStr">
        <is>
          <t>SF</t>
        </is>
      </c>
      <c r="E213" s="15" t="n">
        <v>20</v>
      </c>
      <c r="F213" s="16">
        <f>C213*E213</f>
        <v/>
      </c>
      <c r="G213" s="17" t="inlineStr">
        <is>
          <t>Dev budget 092000-3 rate, QTY 0</t>
        </is>
      </c>
    </row>
    <row r="214">
      <c r="B214" s="12" t="inlineStr">
        <is>
          <t xml:space="preserve">      Interior non-rated partitions, BOH &amp; offices</t>
        </is>
      </c>
      <c r="C214" s="13" t="n">
        <v>14000</v>
      </c>
      <c r="D214" s="14" t="inlineStr">
        <is>
          <t>SF</t>
        </is>
      </c>
      <c r="E214" s="15" t="n">
        <v>12</v>
      </c>
      <c r="F214" s="16">
        <f>C214*E214</f>
        <v/>
      </c>
      <c r="G214" s="17" t="inlineStr">
        <is>
          <t>Dev budget 092000-4 rate, QTY 0</t>
        </is>
      </c>
    </row>
    <row r="215">
      <c r="B215" s="12" t="inlineStr">
        <is>
          <t xml:space="preserve">      Blocking</t>
        </is>
      </c>
      <c r="C215" s="13" t="n">
        <v>1</v>
      </c>
      <c r="D215" s="14" t="inlineStr">
        <is>
          <t>LS</t>
        </is>
      </c>
      <c r="E215" s="15" t="n">
        <v>30000</v>
      </c>
      <c r="F215" s="16">
        <f>C215*E215</f>
        <v/>
      </c>
      <c r="G215" s="17" t="inlineStr">
        <is>
          <t>Dev budget 092000-8</t>
        </is>
      </c>
    </row>
    <row r="216">
      <c r="B216" s="18" t="inlineStr">
        <is>
          <t xml:space="preserve">   Drywall &amp; partitions — subtotal</t>
        </is>
      </c>
      <c r="C216" s="19" t="n"/>
      <c r="D216" s="19" t="n"/>
      <c r="E216" s="19" t="n"/>
      <c r="F216" s="20">
        <f>SUM(F206:F215)</f>
        <v/>
      </c>
      <c r="G216" s="19" t="n"/>
    </row>
    <row r="217">
      <c r="B217" s="10" t="inlineStr">
        <is>
          <t xml:space="preserve">   Acoustic treatment — licence to operate</t>
        </is>
      </c>
      <c r="C217" s="11" t="n"/>
      <c r="D217" s="11" t="n"/>
      <c r="E217" s="11" t="n"/>
      <c r="F217" s="11" t="n"/>
      <c r="G217" s="11" t="n"/>
    </row>
    <row r="218">
      <c r="B218" s="12" t="inlineStr">
        <is>
          <t xml:space="preserve">      Acoustic panels at music hall walls</t>
        </is>
      </c>
      <c r="C218" s="13" t="n">
        <v>28000</v>
      </c>
      <c r="D218" s="14" t="inlineStr">
        <is>
          <t>SF</t>
        </is>
      </c>
      <c r="E218" s="15" t="n">
        <v>40</v>
      </c>
      <c r="F218" s="16">
        <f>C218*E218</f>
        <v/>
      </c>
      <c r="G218" s="17" t="inlineStr">
        <is>
          <t>Dev budget 100500-1 rate, QTY 0. The comparable venue died partly of noise</t>
        </is>
      </c>
    </row>
    <row r="219">
      <c r="B219" s="12" t="inlineStr">
        <is>
          <t xml:space="preserve">      K13 at underside of mezzanine &amp; hall ceilings</t>
        </is>
      </c>
      <c r="C219" s="13" t="n">
        <v>42000</v>
      </c>
      <c r="D219" s="14" t="inlineStr">
        <is>
          <t>SF</t>
        </is>
      </c>
      <c r="E219" s="15" t="n">
        <v>12</v>
      </c>
      <c r="F219" s="16">
        <f>C219*E219</f>
        <v/>
      </c>
      <c r="G219" s="17" t="inlineStr">
        <is>
          <t>Dev budget 100500-2 rate, QTY 0</t>
        </is>
      </c>
    </row>
    <row r="220">
      <c r="B220" s="12" t="inlineStr">
        <is>
          <t xml:space="preserve">      Isolation hangers &amp; resilient mounts</t>
        </is>
      </c>
      <c r="C220" s="13" t="n">
        <v>1</v>
      </c>
      <c r="D220" s="14" t="inlineStr">
        <is>
          <t>LS</t>
        </is>
      </c>
      <c r="E220" s="15" t="n">
        <v>145000</v>
      </c>
      <c r="F220" s="16">
        <f>C220*E220</f>
        <v/>
      </c>
      <c r="G220" s="17" t="inlineStr">
        <is>
          <t>Structure-borne isolation</t>
        </is>
      </c>
    </row>
    <row r="221">
      <c r="B221" s="12" t="inlineStr">
        <is>
          <t xml:space="preserve">      Acoustic sealant &amp; flanking control</t>
        </is>
      </c>
      <c r="C221" s="13" t="n">
        <v>1</v>
      </c>
      <c r="D221" s="14" t="inlineStr">
        <is>
          <t>LS</t>
        </is>
      </c>
      <c r="E221" s="15" t="n">
        <v>95000</v>
      </c>
      <c r="F221" s="16">
        <f>C221*E221</f>
        <v/>
      </c>
      <c r="G221" s="17" t="inlineStr"/>
    </row>
    <row r="222">
      <c r="B222" s="18" t="inlineStr">
        <is>
          <t xml:space="preserve">   Acoustic treatment — licence to operate — subtotal</t>
        </is>
      </c>
      <c r="C222" s="19" t="n"/>
      <c r="D222" s="19" t="n"/>
      <c r="E222" s="19" t="n"/>
      <c r="F222" s="20">
        <f>SUM(F218:F221)</f>
        <v/>
      </c>
      <c r="G222" s="19" t="n"/>
    </row>
    <row r="223">
      <c r="B223" s="10" t="inlineStr">
        <is>
          <t xml:space="preserve">   Finishes</t>
        </is>
      </c>
      <c r="C223" s="11" t="n"/>
      <c r="D223" s="11" t="n"/>
      <c r="E223" s="11" t="n"/>
      <c r="F223" s="11" t="n"/>
      <c r="G223" s="11" t="n"/>
    </row>
    <row r="224">
      <c r="B224" s="12" t="inlineStr">
        <is>
          <t xml:space="preserve">      Tile at restroom floors &amp; walls</t>
        </is>
      </c>
      <c r="C224" s="13" t="n">
        <v>6200</v>
      </c>
      <c r="D224" s="14" t="inlineStr">
        <is>
          <t>SF</t>
        </is>
      </c>
      <c r="E224" s="15" t="n">
        <v>30</v>
      </c>
      <c r="F224" s="16">
        <f>C224*E224</f>
        <v/>
      </c>
      <c r="G224" s="17" t="inlineStr">
        <is>
          <t>Dev budget 092300-1/2 rate, QTY 0</t>
        </is>
      </c>
    </row>
    <row r="225">
      <c r="B225" s="12" t="inlineStr">
        <is>
          <t xml:space="preserve">      Sealed &amp; polished concrete elsewhere</t>
        </is>
      </c>
      <c r="C225" s="13" t="n">
        <v>52000</v>
      </c>
      <c r="D225" s="14" t="inlineStr">
        <is>
          <t>SF</t>
        </is>
      </c>
      <c r="E225" s="15" t="n">
        <v>8</v>
      </c>
      <c r="F225" s="16">
        <f>C225*E225</f>
        <v/>
      </c>
      <c r="G225" s="17" t="inlineStr">
        <is>
          <t>Dev budget 033000-12 rate. The Infinity aesthetic</t>
        </is>
      </c>
    </row>
    <row r="226">
      <c r="B226" s="12" t="inlineStr">
        <is>
          <t xml:space="preserve">      LVT at green rooms &amp; dressing rooms</t>
        </is>
      </c>
      <c r="C226" s="13" t="n">
        <v>3200</v>
      </c>
      <c r="D226" s="14" t="inlineStr">
        <is>
          <t>SF</t>
        </is>
      </c>
      <c r="E226" s="15" t="n">
        <v>10</v>
      </c>
      <c r="F226" s="16">
        <f>C226*E226</f>
        <v/>
      </c>
      <c r="G226" s="17" t="inlineStr">
        <is>
          <t>Dev budget 096000-2 rate</t>
        </is>
      </c>
    </row>
    <row r="227">
      <c r="B227" s="12" t="inlineStr">
        <is>
          <t xml:space="preserve">      Paint walls, doors, ceilings, exposed structure</t>
        </is>
      </c>
      <c r="C227" s="13" t="n">
        <v>80000</v>
      </c>
      <c r="D227" s="14" t="inlineStr">
        <is>
          <t>SF</t>
        </is>
      </c>
      <c r="E227" s="15" t="n">
        <v>2.5</v>
      </c>
      <c r="F227" s="16">
        <f>C227*E227</f>
        <v/>
      </c>
      <c r="G227" s="17" t="inlineStr">
        <is>
          <t>Dev budget 099000-1 rate, QTY 0</t>
        </is>
      </c>
    </row>
    <row r="228">
      <c r="B228" s="12" t="inlineStr">
        <is>
          <t xml:space="preserve">      Entry mats &amp; stair treads</t>
        </is>
      </c>
      <c r="C228" s="13" t="n">
        <v>1</v>
      </c>
      <c r="D228" s="14" t="inlineStr">
        <is>
          <t>LS</t>
        </is>
      </c>
      <c r="E228" s="15" t="n">
        <v>32500</v>
      </c>
      <c r="F228" s="16">
        <f>C228*E228</f>
        <v/>
      </c>
      <c r="G228" s="17" t="inlineStr">
        <is>
          <t>Dev budget 096000-6/7</t>
        </is>
      </c>
    </row>
    <row r="229">
      <c r="B229" s="18" t="inlineStr">
        <is>
          <t xml:space="preserve">   Finishes — subtotal</t>
        </is>
      </c>
      <c r="C229" s="19" t="n"/>
      <c r="D229" s="19" t="n"/>
      <c r="E229" s="19" t="n"/>
      <c r="F229" s="20">
        <f>SUM(F224:F228)</f>
        <v/>
      </c>
      <c r="G229" s="19" t="n"/>
    </row>
    <row r="230">
      <c r="B230" s="10" t="inlineStr">
        <is>
          <t xml:space="preserve">   Specialties</t>
        </is>
      </c>
      <c r="C230" s="11" t="n"/>
      <c r="D230" s="11" t="n"/>
      <c r="E230" s="11" t="n"/>
      <c r="F230" s="11" t="n"/>
      <c r="G230" s="11" t="n"/>
    </row>
    <row r="231">
      <c r="B231" s="12" t="inlineStr">
        <is>
          <t xml:space="preserve">      Toilet partitions</t>
        </is>
      </c>
      <c r="C231" s="13" t="n">
        <v>60</v>
      </c>
      <c r="D231" s="14" t="inlineStr">
        <is>
          <t>EA</t>
        </is>
      </c>
      <c r="E231" s="15" t="n">
        <v>1500</v>
      </c>
      <c r="F231" s="16">
        <f>C231*E231</f>
        <v/>
      </c>
      <c r="G231" s="17" t="inlineStr">
        <is>
          <t>Dev budget 100000-3 rate, QTY 0</t>
        </is>
      </c>
    </row>
    <row r="232">
      <c r="B232" s="12" t="inlineStr">
        <is>
          <t xml:space="preserve">      Toilet accessories</t>
        </is>
      </c>
      <c r="C232" s="13" t="n">
        <v>30</v>
      </c>
      <c r="D232" s="14" t="inlineStr">
        <is>
          <t>SET</t>
        </is>
      </c>
      <c r="E232" s="15" t="n">
        <v>7500</v>
      </c>
      <c r="F232" s="16">
        <f>C232*E232</f>
        <v/>
      </c>
      <c r="G232" s="17" t="inlineStr">
        <is>
          <t>Dev budget 100000-2 rate</t>
        </is>
      </c>
    </row>
    <row r="233">
      <c r="B233" s="12" t="inlineStr">
        <is>
          <t xml:space="preserve">      Fire extinguishers &amp; cabinets</t>
        </is>
      </c>
      <c r="C233" s="13" t="n">
        <v>45</v>
      </c>
      <c r="D233" s="14" t="inlineStr">
        <is>
          <t>EA</t>
        </is>
      </c>
      <c r="E233" s="15" t="n">
        <v>350</v>
      </c>
      <c r="F233" s="16">
        <f>C233*E233</f>
        <v/>
      </c>
      <c r="G233" s="17" t="inlineStr">
        <is>
          <t>Dev budget 100000-1 rate. CODE</t>
        </is>
      </c>
    </row>
    <row r="234">
      <c r="B234" s="18" t="inlineStr">
        <is>
          <t xml:space="preserve">   Specialties — subtotal</t>
        </is>
      </c>
      <c r="C234" s="19" t="n"/>
      <c r="D234" s="19" t="n"/>
      <c r="E234" s="19" t="n"/>
      <c r="F234" s="20">
        <f>SUM(F231:F233)</f>
        <v/>
      </c>
      <c r="G234" s="19" t="n"/>
    </row>
    <row r="235">
      <c r="B235" s="10" t="inlineStr">
        <is>
          <t xml:space="preserve">   Millwork</t>
        </is>
      </c>
      <c r="C235" s="11" t="n"/>
      <c r="D235" s="11" t="n"/>
      <c r="E235" s="11" t="n"/>
      <c r="F235" s="11" t="n"/>
      <c r="G235" s="11" t="n"/>
    </row>
    <row r="236">
      <c r="B236" s="12" t="inlineStr">
        <is>
          <t xml:space="preserve">      Bar &amp; back bar, six bars</t>
        </is>
      </c>
      <c r="C236" s="13" t="n">
        <v>380</v>
      </c>
      <c r="D236" s="14" t="inlineStr">
        <is>
          <t>LF</t>
        </is>
      </c>
      <c r="E236" s="15" t="n">
        <v>900</v>
      </c>
      <c r="F236" s="16">
        <f>C236*E236</f>
        <v/>
      </c>
      <c r="G236" s="17" t="inlineStr">
        <is>
          <t>Dev budget 064000 rate, QTY 0</t>
        </is>
      </c>
    </row>
    <row r="237">
      <c r="B237" s="12" t="inlineStr">
        <is>
          <t xml:space="preserve">      Decorative feature above each back bar</t>
        </is>
      </c>
      <c r="C237" s="13" t="n">
        <v>6</v>
      </c>
      <c r="D237" s="14" t="inlineStr">
        <is>
          <t>EA</t>
        </is>
      </c>
      <c r="E237" s="15" t="n">
        <v>10000</v>
      </c>
      <c r="F237" s="16">
        <f>C237*E237</f>
        <v/>
      </c>
      <c r="G237" s="17" t="inlineStr">
        <is>
          <t>Dev budget 064000-9</t>
        </is>
      </c>
    </row>
    <row r="238">
      <c r="B238" s="12" t="inlineStr">
        <is>
          <t xml:space="preserve">      Box office millwork</t>
        </is>
      </c>
      <c r="C238" s="13" t="n">
        <v>40</v>
      </c>
      <c r="D238" s="14" t="inlineStr">
        <is>
          <t>LF</t>
        </is>
      </c>
      <c r="E238" s="15" t="n">
        <v>500</v>
      </c>
      <c r="F238" s="16">
        <f>C238*E238</f>
        <v/>
      </c>
      <c r="G238" s="17" t="inlineStr">
        <is>
          <t>Dev budget 064000-18 rate</t>
        </is>
      </c>
    </row>
    <row r="239">
      <c r="B239" s="12" t="inlineStr">
        <is>
          <t xml:space="preserve">      Merchandise millwork</t>
        </is>
      </c>
      <c r="C239" s="13" t="n">
        <v>1</v>
      </c>
      <c r="D239" s="14" t="inlineStr">
        <is>
          <t>LS</t>
        </is>
      </c>
      <c r="E239" s="15" t="n">
        <v>12000</v>
      </c>
      <c r="F239" s="16">
        <f>C239*E239</f>
        <v/>
      </c>
      <c r="G239" s="17" t="inlineStr">
        <is>
          <t>Dev budget 064000-12</t>
        </is>
      </c>
    </row>
    <row r="240">
      <c r="B240" s="12" t="inlineStr">
        <is>
          <t xml:space="preserve">      Public restroom countertops</t>
        </is>
      </c>
      <c r="C240" s="13" t="n">
        <v>120</v>
      </c>
      <c r="D240" s="14" t="inlineStr">
        <is>
          <t>LF</t>
        </is>
      </c>
      <c r="E240" s="15" t="n">
        <v>400</v>
      </c>
      <c r="F240" s="16">
        <f>C240*E240</f>
        <v/>
      </c>
      <c r="G240" s="17" t="inlineStr">
        <is>
          <t>Dev budget 064000-11 rate</t>
        </is>
      </c>
    </row>
    <row r="241">
      <c r="B241" s="12" t="inlineStr">
        <is>
          <t xml:space="preserve">      Green room bathrooms &amp; countertops</t>
        </is>
      </c>
      <c r="C241" s="13" t="n">
        <v>60</v>
      </c>
      <c r="D241" s="14" t="inlineStr">
        <is>
          <t>LF</t>
        </is>
      </c>
      <c r="E241" s="15" t="n">
        <v>350</v>
      </c>
      <c r="F241" s="16">
        <f>C241*E241</f>
        <v/>
      </c>
      <c r="G241" s="17" t="inlineStr">
        <is>
          <t>Dev budget 064000-10 rate</t>
        </is>
      </c>
    </row>
    <row r="242">
      <c r="B242" s="12" t="inlineStr">
        <is>
          <t xml:space="preserve">      Coat check shelf &amp; pole</t>
        </is>
      </c>
      <c r="C242" s="13" t="n">
        <v>50</v>
      </c>
      <c r="D242" s="14" t="inlineStr">
        <is>
          <t>LF</t>
        </is>
      </c>
      <c r="E242" s="15" t="n">
        <v>150</v>
      </c>
      <c r="F242" s="16">
        <f>C242*E242</f>
        <v/>
      </c>
      <c r="G242" s="17" t="inlineStr">
        <is>
          <t>Dev budget 064000-14 rate</t>
        </is>
      </c>
    </row>
    <row r="243">
      <c r="B243" s="18" t="inlineStr">
        <is>
          <t xml:space="preserve">   Millwork — subtotal</t>
        </is>
      </c>
      <c r="C243" s="19" t="n"/>
      <c r="D243" s="19" t="n"/>
      <c r="E243" s="19" t="n"/>
      <c r="F243" s="20">
        <f>SUM(F236:F242)</f>
        <v/>
      </c>
      <c r="G243" s="19" t="n"/>
    </row>
    <row r="244">
      <c r="B244" s="10" t="inlineStr">
        <is>
          <t xml:space="preserve">   Signage &amp; wayfinding</t>
        </is>
      </c>
      <c r="C244" s="11" t="n"/>
      <c r="D244" s="11" t="n"/>
      <c r="E244" s="11" t="n"/>
      <c r="F244" s="11" t="n"/>
      <c r="G244" s="11" t="n"/>
    </row>
    <row r="245">
      <c r="B245" s="12" t="inlineStr">
        <is>
          <t xml:space="preserve">      Interior wayfinding &amp; ADA signage</t>
        </is>
      </c>
      <c r="C245" s="13" t="n">
        <v>1</v>
      </c>
      <c r="D245" s="14" t="inlineStr">
        <is>
          <t>LS</t>
        </is>
      </c>
      <c r="E245" s="15" t="n">
        <v>100000</v>
      </c>
      <c r="F245" s="16">
        <f>C245*E245</f>
        <v/>
      </c>
      <c r="G245" s="17" t="inlineStr">
        <is>
          <t>CODE — egress and ADA portions</t>
        </is>
      </c>
    </row>
    <row r="246">
      <c r="B246" s="12" t="inlineStr">
        <is>
          <t xml:space="preserve">      Interior door signs &amp; directional</t>
        </is>
      </c>
      <c r="C246" s="13" t="n">
        <v>1</v>
      </c>
      <c r="D246" s="14" t="inlineStr">
        <is>
          <t>LOT</t>
        </is>
      </c>
      <c r="E246" s="15" t="n">
        <v>25000</v>
      </c>
      <c r="F246" s="16">
        <f>C246*E246</f>
        <v/>
      </c>
      <c r="G246" s="17" t="inlineStr">
        <is>
          <t>Dev budget 101400</t>
        </is>
      </c>
    </row>
    <row r="247">
      <c r="B247" s="18" t="inlineStr">
        <is>
          <t xml:space="preserve">   Signage &amp; wayfinding — subtotal</t>
        </is>
      </c>
      <c r="C247" s="19" t="n"/>
      <c r="D247" s="19" t="n"/>
      <c r="E247" s="19" t="n"/>
      <c r="F247" s="20">
        <f>SUM(F245:F246)</f>
        <v/>
      </c>
      <c r="G247" s="19" t="n"/>
    </row>
    <row r="248">
      <c r="B248" s="10" t="inlineStr">
        <is>
          <t xml:space="preserve">   Rough carpentry &amp; protection</t>
        </is>
      </c>
      <c r="C248" s="11" t="n"/>
      <c r="D248" s="11" t="n"/>
      <c r="E248" s="11" t="n"/>
      <c r="F248" s="11" t="n"/>
      <c r="G248" s="11" t="n"/>
    </row>
    <row r="249">
      <c r="B249" s="12" t="inlineStr">
        <is>
          <t xml:space="preserve">      Safety protection at roof cut-out</t>
        </is>
      </c>
      <c r="C249" s="13" t="n">
        <v>1</v>
      </c>
      <c r="D249" s="14" t="inlineStr">
        <is>
          <t>LS</t>
        </is>
      </c>
      <c r="E249" s="15" t="n">
        <v>35000</v>
      </c>
      <c r="F249" s="16">
        <f>C249*E249</f>
        <v/>
      </c>
      <c r="G249" s="17" t="inlineStr">
        <is>
          <t>Dev budget 062000-1</t>
        </is>
      </c>
    </row>
    <row r="250">
      <c r="B250" s="12" t="inlineStr">
        <is>
          <t xml:space="preserve">      Safety protection at footing trenches</t>
        </is>
      </c>
      <c r="C250" s="13" t="n">
        <v>1</v>
      </c>
      <c r="D250" s="14" t="inlineStr">
        <is>
          <t>LS</t>
        </is>
      </c>
      <c r="E250" s="15" t="n">
        <v>30000</v>
      </c>
      <c r="F250" s="16">
        <f>C250*E250</f>
        <v/>
      </c>
      <c r="G250" s="17" t="inlineStr">
        <is>
          <t>Dev budget 062000-2</t>
        </is>
      </c>
    </row>
    <row r="251">
      <c r="B251" s="12" t="inlineStr">
        <is>
          <t xml:space="preserve">      Safety at new mezzanine build-outs</t>
        </is>
      </c>
      <c r="C251" s="13" t="n">
        <v>14000</v>
      </c>
      <c r="D251" s="14" t="inlineStr">
        <is>
          <t>SF</t>
        </is>
      </c>
      <c r="E251" s="15" t="n">
        <v>2</v>
      </c>
      <c r="F251" s="16">
        <f>C251*E251</f>
        <v/>
      </c>
      <c r="G251" s="17" t="inlineStr">
        <is>
          <t>Dev budget 062000-4 rate</t>
        </is>
      </c>
    </row>
    <row r="252">
      <c r="B252" s="12" t="inlineStr">
        <is>
          <t xml:space="preserve">      Rough carpentry at stage area</t>
        </is>
      </c>
      <c r="C252" s="13" t="n">
        <v>3500</v>
      </c>
      <c r="D252" s="14" t="inlineStr">
        <is>
          <t>SF</t>
        </is>
      </c>
      <c r="E252" s="15" t="n">
        <v>5</v>
      </c>
      <c r="F252" s="16">
        <f>C252*E252</f>
        <v/>
      </c>
      <c r="G252" s="17" t="inlineStr">
        <is>
          <t>Dev budget 062000-5 rate</t>
        </is>
      </c>
    </row>
    <row r="253">
      <c r="B253" s="12" t="inlineStr">
        <is>
          <t xml:space="preserve">      Diamond plate at loading dock walls</t>
        </is>
      </c>
      <c r="C253" s="13" t="n">
        <v>1</v>
      </c>
      <c r="D253" s="14" t="inlineStr">
        <is>
          <t>LS</t>
        </is>
      </c>
      <c r="E253" s="15" t="n">
        <v>18000</v>
      </c>
      <c r="F253" s="16">
        <f>C253*E253</f>
        <v/>
      </c>
      <c r="G253" s="17" t="inlineStr">
        <is>
          <t>Dev budget 092000-10</t>
        </is>
      </c>
    </row>
    <row r="254">
      <c r="B254" s="18" t="inlineStr">
        <is>
          <t xml:space="preserve">   Rough carpentry &amp; protection — subtotal</t>
        </is>
      </c>
      <c r="C254" s="19" t="n"/>
      <c r="D254" s="19" t="n"/>
      <c r="E254" s="19" t="n"/>
      <c r="F254" s="20">
        <f>SUM(F249:F253)</f>
        <v/>
      </c>
      <c r="G254" s="19" t="n"/>
    </row>
    <row r="255">
      <c r="B255" s="21" t="inlineStr">
        <is>
          <t>400 — DIVISION TOTAL</t>
        </is>
      </c>
      <c r="C255" s="22" t="n"/>
      <c r="D255" s="22" t="n"/>
      <c r="E255" s="22" t="n"/>
      <c r="F255" s="23">
        <f>F189+F198+F204+F216+F222+F229+F234+F243+F247+F254</f>
        <v/>
      </c>
      <c r="G255" s="22" t="n"/>
    </row>
    <row r="257">
      <c r="B257" s="8" t="inlineStr">
        <is>
          <t>500   MEP</t>
        </is>
      </c>
      <c r="C257" s="9" t="n"/>
      <c r="D257" s="9" t="n"/>
      <c r="E257" s="9" t="n"/>
      <c r="F257" s="9" t="n"/>
      <c r="G257" s="9" t="n"/>
    </row>
    <row r="258">
      <c r="B258" s="10" t="inlineStr">
        <is>
          <t xml:space="preserve">   HVAC</t>
        </is>
      </c>
      <c r="C258" s="11" t="n"/>
      <c r="D258" s="11" t="n"/>
      <c r="E258" s="11" t="n"/>
      <c r="F258" s="11" t="n"/>
      <c r="G258" s="11" t="n"/>
    </row>
    <row r="259">
      <c r="B259" s="12" t="inlineStr">
        <is>
          <t xml:space="preserve">      Air handling &amp; distribution</t>
        </is>
      </c>
      <c r="C259" s="13" t="n">
        <v>74100</v>
      </c>
      <c r="D259" s="14" t="inlineStr">
        <is>
          <t>SF</t>
        </is>
      </c>
      <c r="E259" s="15" t="n">
        <v>26</v>
      </c>
      <c r="F259" s="16">
        <f>C259*E259</f>
        <v/>
      </c>
      <c r="G259" s="17" t="inlineStr">
        <is>
          <t>CORRECTED to the 74,100 SF basis. Filed at 120,000 SF x $40</t>
        </is>
      </c>
    </row>
    <row r="260">
      <c r="B260" s="12" t="inlineStr">
        <is>
          <t xml:space="preserve">      Chiller plant, 400-500 ton</t>
        </is>
      </c>
      <c r="C260" s="13" t="n">
        <v>450</v>
      </c>
      <c r="D260" s="14" t="inlineStr">
        <is>
          <t>TON</t>
        </is>
      </c>
      <c r="E260" s="15" t="n">
        <v>3100</v>
      </c>
      <c r="F260" s="16">
        <f>C260*E260</f>
        <v/>
      </c>
      <c r="G260" s="17" t="inlineStr">
        <is>
          <t>People alone are ~250 tons at 7,440 occupants</t>
        </is>
      </c>
    </row>
    <row r="261">
      <c r="B261" s="12" t="inlineStr">
        <is>
          <t xml:space="preserve">      Ductwork, diffusers, VAV</t>
        </is>
      </c>
      <c r="C261" s="13" t="n">
        <v>74100</v>
      </c>
      <c r="D261" s="14" t="inlineStr">
        <is>
          <t>SF</t>
        </is>
      </c>
      <c r="E261" s="15" t="n">
        <v>9.5</v>
      </c>
      <c r="F261" s="16">
        <f>C261*E261</f>
        <v/>
      </c>
      <c r="G261" s="17" t="inlineStr"/>
    </row>
    <row r="262">
      <c r="B262" s="12" t="inlineStr">
        <is>
          <t xml:space="preserve">      Building management system</t>
        </is>
      </c>
      <c r="C262" s="13" t="n">
        <v>1</v>
      </c>
      <c r="D262" s="14" t="inlineStr">
        <is>
          <t>LS</t>
        </is>
      </c>
      <c r="E262" s="15" t="n">
        <v>500000</v>
      </c>
      <c r="F262" s="16">
        <f>C262*E262</f>
        <v/>
      </c>
      <c r="G262" s="17" t="inlineStr">
        <is>
          <t>Dev budget 230000-2, priced in file</t>
        </is>
      </c>
    </row>
    <row r="263">
      <c r="B263" s="12" t="inlineStr">
        <is>
          <t xml:space="preserve">      Toilet &amp; BOH exhaust</t>
        </is>
      </c>
      <c r="C263" s="13" t="n">
        <v>1</v>
      </c>
      <c r="D263" s="14" t="inlineStr">
        <is>
          <t>LS</t>
        </is>
      </c>
      <c r="E263" s="15" t="n">
        <v>95000</v>
      </c>
      <c r="F263" s="16">
        <f>C263*E263</f>
        <v/>
      </c>
      <c r="G263" s="17" t="inlineStr">
        <is>
          <t>WAS 'Kitchen &amp; toilet exhaust' at $165,000. Kitchen exhaust moved to division 800 so the kitchen toggle actually controls every kitchen dollar. Toilet and BOH exhaust stay here because you need them whatever you do about food</t>
        </is>
      </c>
    </row>
    <row r="264">
      <c r="B264" s="12" t="inlineStr">
        <is>
          <t xml:space="preserve">      Smoke control / exhaust at the hall</t>
        </is>
      </c>
      <c r="C264" s="13" t="n">
        <v>1</v>
      </c>
      <c r="D264" s="14" t="inlineStr">
        <is>
          <t>LS</t>
        </is>
      </c>
      <c r="E264" s="15" t="n">
        <v>420000</v>
      </c>
      <c r="F264" s="16">
        <f>C264*E264</f>
        <v/>
      </c>
      <c r="G264" s="17" t="inlineStr">
        <is>
          <t>CODE — large-volume assembly space</t>
        </is>
      </c>
    </row>
    <row r="265">
      <c r="B265" s="12" t="inlineStr">
        <is>
          <t xml:space="preserve">      Testing, adjusting &amp; balancing</t>
        </is>
      </c>
      <c r="C265" s="13" t="n">
        <v>1</v>
      </c>
      <c r="D265" s="14" t="inlineStr">
        <is>
          <t>LS</t>
        </is>
      </c>
      <c r="E265" s="15" t="n">
        <v>95000</v>
      </c>
      <c r="F265" s="16">
        <f>C265*E265</f>
        <v/>
      </c>
      <c r="G265" s="17" t="inlineStr"/>
    </row>
    <row r="266">
      <c r="B266" s="18" t="inlineStr">
        <is>
          <t xml:space="preserve">   HVAC — subtotal</t>
        </is>
      </c>
      <c r="C266" s="19" t="n"/>
      <c r="D266" s="19" t="n"/>
      <c r="E266" s="19" t="n"/>
      <c r="F266" s="20">
        <f>SUM(F259:F265)</f>
        <v/>
      </c>
      <c r="G266" s="19" t="n"/>
    </row>
    <row r="267">
      <c r="B267" s="10" t="inlineStr">
        <is>
          <t xml:space="preserve">   Heating</t>
        </is>
      </c>
      <c r="C267" s="11" t="n"/>
      <c r="D267" s="11" t="n"/>
      <c r="E267" s="11" t="n"/>
      <c r="F267" s="11" t="n"/>
      <c r="G267" s="11" t="n"/>
    </row>
    <row r="268">
      <c r="B268" s="12" t="inlineStr">
        <is>
          <t xml:space="preserve">      Radiant tube / panel heating at height</t>
        </is>
      </c>
      <c r="C268" s="13" t="n">
        <v>74100</v>
      </c>
      <c r="D268" s="14" t="inlineStr">
        <is>
          <t>SF</t>
        </is>
      </c>
      <c r="E268" s="15" t="n">
        <v>11</v>
      </c>
      <c r="F268" s="16">
        <f>C268*E268</f>
        <v/>
      </c>
      <c r="G268" s="17" t="inlineStr">
        <is>
          <t>No heating scope in the dev budget at all. Forced air fails at a 50ft ceiling</t>
        </is>
      </c>
    </row>
    <row r="269">
      <c r="B269" s="18" t="inlineStr">
        <is>
          <t xml:space="preserve">   Heating — subtotal</t>
        </is>
      </c>
      <c r="C269" s="19" t="n"/>
      <c r="D269" s="19" t="n"/>
      <c r="E269" s="19" t="n"/>
      <c r="F269" s="20">
        <f>SUM(F268:F268)</f>
        <v/>
      </c>
      <c r="G269" s="19" t="n"/>
    </row>
    <row r="270">
      <c r="B270" s="10" t="inlineStr">
        <is>
          <t xml:space="preserve">   Fire protection</t>
        </is>
      </c>
      <c r="C270" s="11" t="n"/>
      <c r="D270" s="11" t="n"/>
      <c r="E270" s="11" t="n"/>
      <c r="F270" s="11" t="n"/>
      <c r="G270" s="11" t="n"/>
    </row>
    <row r="271">
      <c r="B271" s="12" t="inlineStr">
        <is>
          <t xml:space="preserve">      Rework existing sprinkler, first floor</t>
        </is>
      </c>
      <c r="C271" s="13" t="n">
        <v>69000</v>
      </c>
      <c r="D271" s="14" t="inlineStr">
        <is>
          <t>SF</t>
        </is>
      </c>
      <c r="E271" s="15" t="n">
        <v>7</v>
      </c>
      <c r="F271" s="16">
        <f>C271*E271</f>
        <v/>
      </c>
      <c r="G271" s="17" t="inlineStr">
        <is>
          <t>Dev budget 210000-1 rate &amp; qty</t>
        </is>
      </c>
    </row>
    <row r="272">
      <c r="B272" s="12" t="inlineStr">
        <is>
          <t xml:space="preserve">      New sprinkler &amp; mains at mezzanine</t>
        </is>
      </c>
      <c r="C272" s="13" t="n">
        <v>14000</v>
      </c>
      <c r="D272" s="14" t="inlineStr">
        <is>
          <t>SF</t>
        </is>
      </c>
      <c r="E272" s="15" t="n">
        <v>10</v>
      </c>
      <c r="F272" s="16">
        <f>C272*E272</f>
        <v/>
      </c>
      <c r="G272" s="17" t="inlineStr">
        <is>
          <t>Dev budget 210000-2 rate</t>
        </is>
      </c>
    </row>
    <row r="273">
      <c r="B273" s="12" t="inlineStr">
        <is>
          <t xml:space="preserve">      Standpipe &amp; booster pump</t>
        </is>
      </c>
      <c r="C273" s="13" t="n">
        <v>1</v>
      </c>
      <c r="D273" s="14" t="inlineStr">
        <is>
          <t>LS</t>
        </is>
      </c>
      <c r="E273" s="15" t="n">
        <v>185000</v>
      </c>
      <c r="F273" s="16">
        <f>C273*E273</f>
        <v/>
      </c>
      <c r="G273" s="17" t="inlineStr">
        <is>
          <t>Dev budget 260000 references a standpipe booster pump</t>
        </is>
      </c>
    </row>
    <row r="274">
      <c r="B274" s="12" t="inlineStr">
        <is>
          <t xml:space="preserve">      Fire pump &amp; controller</t>
        </is>
      </c>
      <c r="C274" s="13" t="n">
        <v>1</v>
      </c>
      <c r="D274" s="14" t="inlineStr">
        <is>
          <t>LS</t>
        </is>
      </c>
      <c r="E274" s="15" t="n">
        <v>145000</v>
      </c>
      <c r="F274" s="16">
        <f>C274*E274</f>
        <v/>
      </c>
      <c r="G274" s="17" t="inlineStr">
        <is>
          <t>CODE at this height and area</t>
        </is>
      </c>
    </row>
    <row r="275">
      <c r="B275" s="12" t="inlineStr">
        <is>
          <t xml:space="preserve">      Safe-off / disconnect</t>
        </is>
      </c>
      <c r="C275" s="13" t="n">
        <v>1</v>
      </c>
      <c r="D275" s="14" t="inlineStr">
        <is>
          <t>LS</t>
        </is>
      </c>
      <c r="E275" s="15" t="n">
        <v>10000</v>
      </c>
      <c r="F275" s="16">
        <f>C275*E275</f>
        <v/>
      </c>
      <c r="G275" s="17" t="inlineStr">
        <is>
          <t>Dev budget 210000, priced in file</t>
        </is>
      </c>
    </row>
    <row r="276">
      <c r="B276" s="18" t="inlineStr">
        <is>
          <t xml:space="preserve">   Fire protection — subtotal</t>
        </is>
      </c>
      <c r="C276" s="19" t="n"/>
      <c r="D276" s="19" t="n"/>
      <c r="E276" s="19" t="n"/>
      <c r="F276" s="20">
        <f>SUM(F271:F275)</f>
        <v/>
      </c>
      <c r="G276" s="19" t="n"/>
    </row>
    <row r="277">
      <c r="B277" s="10" t="inlineStr">
        <is>
          <t xml:space="preserve">   Fire alarm &amp; detection</t>
        </is>
      </c>
      <c r="C277" s="11" t="n"/>
      <c r="D277" s="11" t="n"/>
      <c r="E277" s="11" t="n"/>
      <c r="F277" s="11" t="n"/>
      <c r="G277" s="11" t="n"/>
    </row>
    <row r="278">
      <c r="B278" s="12" t="inlineStr">
        <is>
          <t xml:space="preserve">      Fire alarm system</t>
        </is>
      </c>
      <c r="C278" s="13" t="n">
        <v>88100</v>
      </c>
      <c r="D278" s="14" t="inlineStr">
        <is>
          <t>SF</t>
        </is>
      </c>
      <c r="E278" s="15" t="n">
        <v>2.5</v>
      </c>
      <c r="F278" s="16">
        <f>C278*E278</f>
        <v/>
      </c>
      <c r="G278" s="17" t="inlineStr">
        <is>
          <t>Dev budget 283100-1 rate, corrected to 88,100 SF protected floor</t>
        </is>
      </c>
    </row>
    <row r="279">
      <c r="B279" s="12" t="inlineStr">
        <is>
          <t xml:space="preserve">      Vesda aspirating detection, music hall</t>
        </is>
      </c>
      <c r="C279" s="13" t="n">
        <v>1</v>
      </c>
      <c r="D279" s="14" t="inlineStr">
        <is>
          <t>LS</t>
        </is>
      </c>
      <c r="E279" s="15" t="n">
        <v>150000</v>
      </c>
      <c r="F279" s="16">
        <f>C279*E279</f>
        <v/>
      </c>
      <c r="G279" s="17" t="inlineStr">
        <is>
          <t>Dev budget 283100-2, priced in file</t>
        </is>
      </c>
    </row>
    <row r="280">
      <c r="B280" s="12" t="inlineStr">
        <is>
          <t xml:space="preserve">      FDNY filing, inspection &amp; TCO affidavit</t>
        </is>
      </c>
      <c r="C280" s="13" t="n">
        <v>1</v>
      </c>
      <c r="D280" s="14" t="inlineStr">
        <is>
          <t>LS</t>
        </is>
      </c>
      <c r="E280" s="15" t="n">
        <v>35000</v>
      </c>
      <c r="F280" s="16">
        <f>C280*E280</f>
        <v/>
      </c>
      <c r="G280" s="17" t="inlineStr">
        <is>
          <t>Dev budget soft cost 209</t>
        </is>
      </c>
    </row>
    <row r="281">
      <c r="B281" s="18" t="inlineStr">
        <is>
          <t xml:space="preserve">   Fire alarm &amp; detection — subtotal</t>
        </is>
      </c>
      <c r="C281" s="19" t="n"/>
      <c r="D281" s="19" t="n"/>
      <c r="E281" s="19" t="n"/>
      <c r="F281" s="20">
        <f>SUM(F278:F280)</f>
        <v/>
      </c>
      <c r="G281" s="19" t="n"/>
    </row>
    <row r="282">
      <c r="B282" s="10" t="inlineStr">
        <is>
          <t xml:space="preserve">   Plumbing</t>
        </is>
      </c>
      <c r="C282" s="11" t="n"/>
      <c r="D282" s="11" t="n"/>
      <c r="E282" s="11" t="n"/>
      <c r="F282" s="11" t="n"/>
      <c r="G282" s="11" t="n"/>
    </row>
    <row r="283">
      <c r="B283" s="12" t="inlineStr">
        <is>
          <t xml:space="preserve">      Water closets</t>
        </is>
      </c>
      <c r="C283" s="13" t="n">
        <v>60</v>
      </c>
      <c r="D283" s="14" t="inlineStr">
        <is>
          <t>EA</t>
        </is>
      </c>
      <c r="E283" s="15" t="n">
        <v>5500</v>
      </c>
      <c r="F283" s="16">
        <f>C283*E283</f>
        <v/>
      </c>
      <c r="G283" s="17" t="inlineStr">
        <is>
          <t>Dev budget 220000-2, priced in file. CODE fixture count</t>
        </is>
      </c>
    </row>
    <row r="284">
      <c r="B284" s="12" t="inlineStr">
        <is>
          <t xml:space="preserve">      Lavatories</t>
        </is>
      </c>
      <c r="C284" s="13" t="n">
        <v>78</v>
      </c>
      <c r="D284" s="14" t="inlineStr">
        <is>
          <t>EA</t>
        </is>
      </c>
      <c r="E284" s="15" t="n">
        <v>5500</v>
      </c>
      <c r="F284" s="16">
        <f>C284*E284</f>
        <v/>
      </c>
      <c r="G284" s="17" t="inlineStr">
        <is>
          <t>Dev budget 220000-3</t>
        </is>
      </c>
    </row>
    <row r="285">
      <c r="B285" s="12" t="inlineStr">
        <is>
          <t xml:space="preserve">      Urinals</t>
        </is>
      </c>
      <c r="C285" s="13" t="n">
        <v>51</v>
      </c>
      <c r="D285" s="14" t="inlineStr">
        <is>
          <t>EA</t>
        </is>
      </c>
      <c r="E285" s="15" t="n">
        <v>5500</v>
      </c>
      <c r="F285" s="16">
        <f>C285*E285</f>
        <v/>
      </c>
      <c r="G285" s="17" t="inlineStr">
        <is>
          <t>Dev budget 220000-4</t>
        </is>
      </c>
    </row>
    <row r="286">
      <c r="B286" s="12" t="inlineStr">
        <is>
          <t xml:space="preserve">      Showers</t>
        </is>
      </c>
      <c r="C286" s="13" t="n">
        <v>6</v>
      </c>
      <c r="D286" s="14" t="inlineStr">
        <is>
          <t>EA</t>
        </is>
      </c>
      <c r="E286" s="15" t="n">
        <v>7500</v>
      </c>
      <c r="F286" s="16">
        <f>C286*E286</f>
        <v/>
      </c>
      <c r="G286" s="17" t="inlineStr">
        <is>
          <t>Dev budget 220000-5</t>
        </is>
      </c>
    </row>
    <row r="287">
      <c r="B287" s="12" t="inlineStr">
        <is>
          <t xml:space="preserve">      Green room sinks</t>
        </is>
      </c>
      <c r="C287" s="13" t="n">
        <v>6</v>
      </c>
      <c r="D287" s="14" t="inlineStr">
        <is>
          <t>EA</t>
        </is>
      </c>
      <c r="E287" s="15" t="n">
        <v>5500</v>
      </c>
      <c r="F287" s="16">
        <f>C287*E287</f>
        <v/>
      </c>
      <c r="G287" s="17" t="inlineStr">
        <is>
          <t>Dev budget 220000-6</t>
        </is>
      </c>
    </row>
    <row r="288">
      <c r="B288" s="12" t="inlineStr">
        <is>
          <t xml:space="preserve">      Floor drains &amp; sinks</t>
        </is>
      </c>
      <c r="C288" s="13" t="n">
        <v>40</v>
      </c>
      <c r="D288" s="14" t="inlineStr">
        <is>
          <t>EA</t>
        </is>
      </c>
      <c r="E288" s="15" t="n">
        <v>3500</v>
      </c>
      <c r="F288" s="16">
        <f>C288*E288</f>
        <v/>
      </c>
      <c r="G288" s="17" t="inlineStr">
        <is>
          <t>Dev budget 220000-8</t>
        </is>
      </c>
    </row>
    <row r="289">
      <c r="B289" s="12" t="inlineStr">
        <is>
          <t xml:space="preserve">      Electric water heaters</t>
        </is>
      </c>
      <c r="C289" s="13" t="n">
        <v>10</v>
      </c>
      <c r="D289" s="14" t="inlineStr">
        <is>
          <t>EA</t>
        </is>
      </c>
      <c r="E289" s="15" t="n">
        <v>7500</v>
      </c>
      <c r="F289" s="16">
        <f>C289*E289</f>
        <v/>
      </c>
      <c r="G289" s="17" t="inlineStr">
        <is>
          <t>Dev budget 220000-9</t>
        </is>
      </c>
    </row>
    <row r="290">
      <c r="B290" s="12" t="inlineStr">
        <is>
          <t xml:space="preserve">      Bar roughing, six bars</t>
        </is>
      </c>
      <c r="C290" s="13" t="n">
        <v>6</v>
      </c>
      <c r="D290" s="14" t="inlineStr">
        <is>
          <t>EA</t>
        </is>
      </c>
      <c r="E290" s="15" t="n">
        <v>44167</v>
      </c>
      <c r="F290" s="16">
        <f>C290*E290</f>
        <v/>
      </c>
      <c r="G290" s="17" t="inlineStr">
        <is>
          <t>Dev budget 220000-11/12/13 rates, QTY 0</t>
        </is>
      </c>
    </row>
    <row r="291">
      <c r="B291" s="12" t="inlineStr">
        <is>
          <t xml:space="preserve">      Gas piping to equipment</t>
        </is>
      </c>
      <c r="C291" s="13" t="n">
        <v>1</v>
      </c>
      <c r="D291" s="14" t="inlineStr">
        <is>
          <t>LS</t>
        </is>
      </c>
      <c r="E291" s="15" t="n">
        <v>55000</v>
      </c>
      <c r="F291" s="16">
        <f>C291*E291</f>
        <v/>
      </c>
      <c r="G291" s="17" t="inlineStr">
        <is>
          <t>Dev budget 220000-18</t>
        </is>
      </c>
    </row>
    <row r="292">
      <c r="B292" s="12" t="inlineStr">
        <is>
          <t xml:space="preserve">      Firestopping</t>
        </is>
      </c>
      <c r="C292" s="13" t="n">
        <v>1</v>
      </c>
      <c r="D292" s="14" t="inlineStr">
        <is>
          <t>LS</t>
        </is>
      </c>
      <c r="E292" s="15" t="n">
        <v>15000</v>
      </c>
      <c r="F292" s="16">
        <f>C292*E292</f>
        <v/>
      </c>
      <c r="G292" s="17" t="inlineStr">
        <is>
          <t>Dev budget 220000-20</t>
        </is>
      </c>
    </row>
    <row r="293">
      <c r="B293" s="12" t="inlineStr">
        <is>
          <t xml:space="preserve">      Water service upgrade &amp; backflow</t>
        </is>
      </c>
      <c r="C293" s="13" t="n">
        <v>1</v>
      </c>
      <c r="D293" s="14" t="inlineStr">
        <is>
          <t>LS</t>
        </is>
      </c>
      <c r="E293" s="15" t="n">
        <v>90000</v>
      </c>
      <c r="F293" s="16">
        <f>C293*E293</f>
        <v/>
      </c>
      <c r="G293" s="17" t="inlineStr">
        <is>
          <t>Domestic and fire demand at 7,440 occupants</t>
        </is>
      </c>
    </row>
    <row r="294">
      <c r="B294" s="18" t="inlineStr">
        <is>
          <t xml:space="preserve">   Plumbing — subtotal</t>
        </is>
      </c>
      <c r="C294" s="19" t="n"/>
      <c r="D294" s="19" t="n"/>
      <c r="E294" s="19" t="n"/>
      <c r="F294" s="20">
        <f>SUM(F283:F293)</f>
        <v/>
      </c>
      <c r="G294" s="19" t="n"/>
    </row>
    <row r="295">
      <c r="B295" s="10" t="inlineStr">
        <is>
          <t xml:space="preserve">   Electrical service &amp; distribution</t>
        </is>
      </c>
      <c r="C295" s="11" t="n"/>
      <c r="D295" s="11" t="n"/>
      <c r="E295" s="11" t="n"/>
      <c r="F295" s="11" t="n"/>
      <c r="G295" s="11" t="n"/>
    </row>
    <row r="296">
      <c r="B296" s="12" t="inlineStr">
        <is>
          <t xml:space="preserve">      (2) 2,500A switchboards</t>
        </is>
      </c>
      <c r="C296" s="13" t="n">
        <v>2</v>
      </c>
      <c r="D296" s="14" t="inlineStr">
        <is>
          <t>EA</t>
        </is>
      </c>
      <c r="E296" s="15" t="n">
        <v>195000</v>
      </c>
      <c r="F296" s="16">
        <f>C296*E296</f>
        <v/>
      </c>
      <c r="G296" s="17" t="inlineStr">
        <is>
          <t>Dev budget 260000, priced in file</t>
        </is>
      </c>
    </row>
    <row r="297">
      <c r="B297" s="12" t="inlineStr">
        <is>
          <t xml:space="preserve">      Con Ed vault, conduit &amp; feeders from street</t>
        </is>
      </c>
      <c r="C297" s="13" t="n">
        <v>1</v>
      </c>
      <c r="D297" s="14" t="inlineStr">
        <is>
          <t>LS</t>
        </is>
      </c>
      <c r="E297" s="15" t="n">
        <v>850000</v>
      </c>
      <c r="F297" s="16">
        <f>C297*E297</f>
        <v/>
      </c>
      <c r="G297" s="17" t="inlineStr">
        <is>
          <t>Dev budget carries only the $50k Con Ed fee</t>
        </is>
      </c>
    </row>
    <row r="298">
      <c r="B298" s="12" t="inlineStr">
        <is>
          <t xml:space="preserve">      Transformer, CT cabinet, metering</t>
        </is>
      </c>
      <c r="C298" s="13" t="n">
        <v>1</v>
      </c>
      <c r="D298" s="14" t="inlineStr">
        <is>
          <t>LS</t>
        </is>
      </c>
      <c r="E298" s="15" t="n">
        <v>325000</v>
      </c>
      <c r="F298" s="16">
        <f>C298*E298</f>
        <v/>
      </c>
      <c r="G298" s="17" t="inlineStr">
        <is>
          <t>Dev budget 260000-13, QTY 0</t>
        </is>
      </c>
    </row>
    <row r="299">
      <c r="B299" s="12" t="inlineStr">
        <is>
          <t xml:space="preserve">      Combine existing services</t>
        </is>
      </c>
      <c r="C299" s="13" t="n">
        <v>1</v>
      </c>
      <c r="D299" s="14" t="inlineStr">
        <is>
          <t>LS</t>
        </is>
      </c>
      <c r="E299" s="15" t="n">
        <v>200000</v>
      </c>
      <c r="F299" s="16">
        <f>C299*E299</f>
        <v/>
      </c>
      <c r="G299" s="17" t="inlineStr">
        <is>
          <t>Dev budget 260000-13, QTY 0</t>
        </is>
      </c>
    </row>
    <row r="300">
      <c r="B300" s="12" t="inlineStr">
        <is>
          <t xml:space="preserve">      Panels &amp; secondary distribution</t>
        </is>
      </c>
      <c r="C300" s="13" t="n">
        <v>1</v>
      </c>
      <c r="D300" s="14" t="inlineStr">
        <is>
          <t>LS</t>
        </is>
      </c>
      <c r="E300" s="15" t="n">
        <v>480000</v>
      </c>
      <c r="F300" s="16">
        <f>C300*E300</f>
        <v/>
      </c>
      <c r="G300" s="17" t="inlineStr">
        <is>
          <t>Dev budget 260000-16, QTY 0</t>
        </is>
      </c>
    </row>
    <row r="301">
      <c r="B301" s="12" t="inlineStr">
        <is>
          <t xml:space="preserve">      General power, devices, floor boxes</t>
        </is>
      </c>
      <c r="C301" s="13" t="n">
        <v>74100</v>
      </c>
      <c r="D301" s="14" t="inlineStr">
        <is>
          <t>SF</t>
        </is>
      </c>
      <c r="E301" s="15" t="n">
        <v>3</v>
      </c>
      <c r="F301" s="16">
        <f>C301*E301</f>
        <v/>
      </c>
      <c r="G301" s="17" t="inlineStr">
        <is>
          <t>Dev budget 260000-7 rate, QTY 0</t>
        </is>
      </c>
    </row>
    <row r="302">
      <c r="B302" s="12" t="inlineStr">
        <is>
          <t xml:space="preserve">      Power to mechanical equipment, VAVs, exhaust fans</t>
        </is>
      </c>
      <c r="C302" s="13" t="n">
        <v>1</v>
      </c>
      <c r="D302" s="14" t="inlineStr">
        <is>
          <t>LS</t>
        </is>
      </c>
      <c r="E302" s="15" t="n">
        <v>295000</v>
      </c>
      <c r="F302" s="16">
        <f>C302*E302</f>
        <v/>
      </c>
      <c r="G302" s="17" t="inlineStr">
        <is>
          <t>Dev budget 260000-10/11/12, QTY 0</t>
        </is>
      </c>
    </row>
    <row r="303">
      <c r="B303" s="12" t="inlineStr">
        <is>
          <t xml:space="preserve">      Dedicated circuits at bar &amp; F&amp;B equipment</t>
        </is>
      </c>
      <c r="C303" s="13" t="n">
        <v>1</v>
      </c>
      <c r="D303" s="14" t="inlineStr">
        <is>
          <t>LS</t>
        </is>
      </c>
      <c r="E303" s="15" t="n">
        <v>165000</v>
      </c>
      <c r="F303" s="16">
        <f>C303*E303</f>
        <v/>
      </c>
      <c r="G303" s="17" t="inlineStr">
        <is>
          <t>Dev budget 260000-8 rate</t>
        </is>
      </c>
    </row>
    <row r="304">
      <c r="B304" s="12" t="inlineStr">
        <is>
          <t xml:space="preserve">      Emergency power &amp; inverter package</t>
        </is>
      </c>
      <c r="C304" s="13" t="n">
        <v>1</v>
      </c>
      <c r="D304" s="14" t="inlineStr">
        <is>
          <t>LS</t>
        </is>
      </c>
      <c r="E304" s="15" t="n">
        <v>245000</v>
      </c>
      <c r="F304" s="16">
        <f>C304*E304</f>
        <v/>
      </c>
      <c r="G304" s="17" t="inlineStr">
        <is>
          <t>CODE — egress lighting and life safety</t>
        </is>
      </c>
    </row>
    <row r="305">
      <c r="B305" s="12" t="inlineStr">
        <is>
          <t xml:space="preserve">      Generator for fire pump backup</t>
        </is>
      </c>
      <c r="C305" s="13" t="n">
        <v>1</v>
      </c>
      <c r="D305" s="14" t="inlineStr">
        <is>
          <t>LS</t>
        </is>
      </c>
      <c r="E305" s="15" t="n">
        <v>185000</v>
      </c>
      <c r="F305" s="16">
        <f>C305*E305</f>
        <v/>
      </c>
      <c r="G305" s="17" t="inlineStr">
        <is>
          <t>Dev budget 260000-15, QTY 0</t>
        </is>
      </c>
    </row>
    <row r="306">
      <c r="B306" s="12" t="inlineStr">
        <is>
          <t xml:space="preserve">      Temporary light &amp; power for construction</t>
        </is>
      </c>
      <c r="C306" s="13" t="n">
        <v>125000</v>
      </c>
      <c r="D306" s="14" t="inlineStr">
        <is>
          <t>SF</t>
        </is>
      </c>
      <c r="E306" s="15" t="n">
        <v>1.25</v>
      </c>
      <c r="F306" s="16">
        <f>C306*E306</f>
        <v/>
      </c>
      <c r="G306" s="17" t="inlineStr">
        <is>
          <t>Dev budget 260000-16, priced in file</t>
        </is>
      </c>
    </row>
    <row r="307">
      <c r="B307" s="12" t="inlineStr">
        <is>
          <t xml:space="preserve">      Firestopping at cores &amp; penetrations</t>
        </is>
      </c>
      <c r="C307" s="13" t="n">
        <v>1</v>
      </c>
      <c r="D307" s="14" t="inlineStr">
        <is>
          <t>LS</t>
        </is>
      </c>
      <c r="E307" s="15" t="n">
        <v>12500</v>
      </c>
      <c r="F307" s="16">
        <f>C307*E307</f>
        <v/>
      </c>
      <c r="G307" s="17" t="inlineStr">
        <is>
          <t>Dev budget 260000-18, priced in file</t>
        </is>
      </c>
    </row>
    <row r="308">
      <c r="B308" s="18" t="inlineStr">
        <is>
          <t xml:space="preserve">   Electrical service &amp; distribution — subtotal</t>
        </is>
      </c>
      <c r="C308" s="19" t="n"/>
      <c r="D308" s="19" t="n"/>
      <c r="E308" s="19" t="n"/>
      <c r="F308" s="20">
        <f>SUM(F296:F307)</f>
        <v/>
      </c>
      <c r="G308" s="19" t="n"/>
    </row>
    <row r="309">
      <c r="B309" s="10" t="inlineStr">
        <is>
          <t xml:space="preserve">   Production power</t>
        </is>
      </c>
      <c r="C309" s="11" t="n"/>
      <c r="D309" s="11" t="n"/>
      <c r="E309" s="11" t="n"/>
      <c r="F309" s="11" t="n"/>
      <c r="G309" s="11" t="n"/>
    </row>
    <row r="310">
      <c r="B310" s="12" t="inlineStr">
        <is>
          <t xml:space="preserve">      Company switches &amp; cam-lok tie-ins at stage</t>
        </is>
      </c>
      <c r="C310" s="13" t="n">
        <v>1</v>
      </c>
      <c r="D310" s="14" t="inlineStr">
        <is>
          <t>LS</t>
        </is>
      </c>
      <c r="E310" s="15" t="n">
        <v>320000</v>
      </c>
      <c r="F310" s="16">
        <f>C310*E310</f>
        <v/>
      </c>
      <c r="G310" s="17" t="inlineStr">
        <is>
          <t>Underwriting carried $1.5M for production power; dev budget nothing</t>
        </is>
      </c>
    </row>
    <row r="311">
      <c r="B311" s="12" t="inlineStr">
        <is>
          <t xml:space="preserve">      Production distro &amp; feeder runs</t>
        </is>
      </c>
      <c r="C311" s="13" t="n">
        <v>1</v>
      </c>
      <c r="D311" s="14" t="inlineStr">
        <is>
          <t>LS</t>
        </is>
      </c>
      <c r="E311" s="15" t="n">
        <v>285000</v>
      </c>
      <c r="F311" s="16">
        <f>C311*E311</f>
        <v/>
      </c>
      <c r="G311" s="17" t="inlineStr"/>
    </row>
    <row r="312">
      <c r="B312" s="12" t="inlineStr">
        <is>
          <t xml:space="preserve">      Dedicated power to stage equipment</t>
        </is>
      </c>
      <c r="C312" s="13" t="n">
        <v>3500</v>
      </c>
      <c r="D312" s="14" t="inlineStr">
        <is>
          <t>SF</t>
        </is>
      </c>
      <c r="E312" s="15" t="n">
        <v>15</v>
      </c>
      <c r="F312" s="16">
        <f>C312*E312</f>
        <v/>
      </c>
      <c r="G312" s="17" t="inlineStr">
        <is>
          <t>Dev budget 260000-9 rate, QTY 0</t>
        </is>
      </c>
    </row>
    <row r="313">
      <c r="B313" s="12" t="inlineStr">
        <is>
          <t xml:space="preserve">      Isolated technical ground</t>
        </is>
      </c>
      <c r="C313" s="13" t="n">
        <v>1</v>
      </c>
      <c r="D313" s="14" t="inlineStr">
        <is>
          <t>LS</t>
        </is>
      </c>
      <c r="E313" s="15" t="n">
        <v>85000</v>
      </c>
      <c r="F313" s="16">
        <f>C313*E313</f>
        <v/>
      </c>
      <c r="G313" s="17" t="inlineStr">
        <is>
          <t>Audio system requirement</t>
        </is>
      </c>
    </row>
    <row r="314">
      <c r="B314" s="18" t="inlineStr">
        <is>
          <t xml:space="preserve">   Production power — subtotal</t>
        </is>
      </c>
      <c r="C314" s="19" t="n"/>
      <c r="D314" s="19" t="n"/>
      <c r="E314" s="19" t="n"/>
      <c r="F314" s="20">
        <f>SUM(F310:F313)</f>
        <v/>
      </c>
      <c r="G314" s="19" t="n"/>
    </row>
    <row r="315">
      <c r="B315" s="10" t="inlineStr">
        <is>
          <t xml:space="preserve">   Lighting &amp; controls</t>
        </is>
      </c>
      <c r="C315" s="11" t="n"/>
      <c r="D315" s="11" t="n"/>
      <c r="E315" s="11" t="n"/>
      <c r="F315" s="11" t="n"/>
      <c r="G315" s="11" t="n"/>
    </row>
    <row r="316">
      <c r="B316" s="12" t="inlineStr">
        <is>
          <t xml:space="preserve">      Exit signs &amp; BOH fixtures</t>
        </is>
      </c>
      <c r="C316" s="13" t="n">
        <v>1</v>
      </c>
      <c r="D316" s="14" t="inlineStr">
        <is>
          <t>LS</t>
        </is>
      </c>
      <c r="E316" s="15" t="n">
        <v>40000</v>
      </c>
      <c r="F316" s="16">
        <f>C316*E316</f>
        <v/>
      </c>
      <c r="G316" s="17" t="inlineStr">
        <is>
          <t>Dev budget 265000-1, priced in file. CODE</t>
        </is>
      </c>
    </row>
    <row r="317">
      <c r="B317" s="12" t="inlineStr">
        <is>
          <t xml:space="preserve">      Emergency lighting package</t>
        </is>
      </c>
      <c r="C317" s="13" t="n">
        <v>74100</v>
      </c>
      <c r="D317" s="14" t="inlineStr">
        <is>
          <t>SF</t>
        </is>
      </c>
      <c r="E317" s="15" t="n">
        <v>1</v>
      </c>
      <c r="F317" s="16">
        <f>C317*E317</f>
        <v/>
      </c>
      <c r="G317" s="17" t="inlineStr">
        <is>
          <t>Dev budget 260000-1 rate, QTY 0. CODE</t>
        </is>
      </c>
    </row>
    <row r="318">
      <c r="B318" s="12" t="inlineStr">
        <is>
          <t xml:space="preserve">      House / architectural lighting, back of house &amp; circulation</t>
        </is>
      </c>
      <c r="C318" s="13" t="n">
        <v>1</v>
      </c>
      <c r="D318" s="14" t="inlineStr">
        <is>
          <t>LS</t>
        </is>
      </c>
      <c r="E318" s="15" t="n">
        <v>185000</v>
      </c>
      <c r="F318" s="16">
        <f>C318*E318</f>
        <v/>
      </c>
      <c r="G318" s="17" t="inlineStr">
        <is>
          <t>Not the $1.75M exterior package</t>
        </is>
      </c>
    </row>
    <row r="319">
      <c r="B319" s="18" t="inlineStr">
        <is>
          <t xml:space="preserve">   Lighting &amp; controls — subtotal</t>
        </is>
      </c>
      <c r="C319" s="19" t="n"/>
      <c r="D319" s="19" t="n"/>
      <c r="E319" s="19" t="n"/>
      <c r="F319" s="20">
        <f>SUM(F316:F318)</f>
        <v/>
      </c>
      <c r="G319" s="19" t="n"/>
    </row>
    <row r="320">
      <c r="B320" s="10" t="inlineStr">
        <is>
          <t xml:space="preserve">   Low voltage</t>
        </is>
      </c>
      <c r="C320" s="11" t="n"/>
      <c r="D320" s="11" t="n"/>
      <c r="E320" s="11" t="n"/>
      <c r="F320" s="11" t="n"/>
      <c r="G320" s="11" t="n"/>
    </row>
    <row r="321">
      <c r="B321" s="12" t="inlineStr">
        <is>
          <t xml:space="preserve">      Structured cabling backbone &amp; horizontal</t>
        </is>
      </c>
      <c r="C321" s="13" t="n">
        <v>1</v>
      </c>
      <c r="D321" s="14" t="inlineStr">
        <is>
          <t>LS</t>
        </is>
      </c>
      <c r="E321" s="15" t="n">
        <v>245000</v>
      </c>
      <c r="F321" s="16">
        <f>C321*E321</f>
        <v/>
      </c>
      <c r="G321" s="17" t="inlineStr">
        <is>
          <t>Dev budget 270000 light for this size</t>
        </is>
      </c>
    </row>
    <row r="322">
      <c r="B322" s="12" t="inlineStr">
        <is>
          <t xml:space="preserve">      CCTV camera wiring</t>
        </is>
      </c>
      <c r="C322" s="13" t="n">
        <v>110</v>
      </c>
      <c r="D322" s="14" t="inlineStr">
        <is>
          <t>EA</t>
        </is>
      </c>
      <c r="E322" s="15" t="n">
        <v>750</v>
      </c>
      <c r="F322" s="16">
        <f>C322*E322</f>
        <v/>
      </c>
      <c r="G322" s="17" t="inlineStr">
        <is>
          <t>Dev budget 270000-1, priced in file</t>
        </is>
      </c>
    </row>
    <row r="323">
      <c r="B323" s="12" t="inlineStr">
        <is>
          <t xml:space="preserve">      AV wiring infrastructure</t>
        </is>
      </c>
      <c r="C323" s="13" t="n">
        <v>1</v>
      </c>
      <c r="D323" s="14" t="inlineStr">
        <is>
          <t>LS</t>
        </is>
      </c>
      <c r="E323" s="15" t="n">
        <v>60000</v>
      </c>
      <c r="F323" s="16">
        <f>C323*E323</f>
        <v/>
      </c>
      <c r="G323" s="17" t="inlineStr">
        <is>
          <t>Dev budget 270000-3</t>
        </is>
      </c>
    </row>
    <row r="324">
      <c r="B324" s="12" t="inlineStr">
        <is>
          <t xml:space="preserve">      Phone &amp; data wiring</t>
        </is>
      </c>
      <c r="C324" s="13" t="n">
        <v>1</v>
      </c>
      <c r="D324" s="14" t="inlineStr">
        <is>
          <t>LS</t>
        </is>
      </c>
      <c r="E324" s="15" t="n">
        <v>45000</v>
      </c>
      <c r="F324" s="16">
        <f>C324*E324</f>
        <v/>
      </c>
      <c r="G324" s="17" t="inlineStr">
        <is>
          <t>Dev budget 270000-4</t>
        </is>
      </c>
    </row>
    <row r="325">
      <c r="B325" s="12" t="inlineStr">
        <is>
          <t xml:space="preserve">      Door intrusion &amp; access control wiring</t>
        </is>
      </c>
      <c r="C325" s="13" t="n">
        <v>24</v>
      </c>
      <c r="D325" s="14" t="inlineStr">
        <is>
          <t>LOC</t>
        </is>
      </c>
      <c r="E325" s="15" t="n">
        <v>5000</v>
      </c>
      <c r="F325" s="16">
        <f>C325*E325</f>
        <v/>
      </c>
      <c r="G325" s="17" t="inlineStr">
        <is>
          <t>Dev budget 270000-2 rate, QTY 0</t>
        </is>
      </c>
    </row>
    <row r="326">
      <c r="B326" s="18" t="inlineStr">
        <is>
          <t xml:space="preserve">   Low voltage — subtotal</t>
        </is>
      </c>
      <c r="C326" s="19" t="n"/>
      <c r="D326" s="19" t="n"/>
      <c r="E326" s="19" t="n"/>
      <c r="F326" s="20">
        <f>SUM(F321:F325)</f>
        <v/>
      </c>
      <c r="G326" s="19" t="n"/>
    </row>
    <row r="327">
      <c r="B327" s="10" t="inlineStr">
        <is>
          <t xml:space="preserve">   Conveying</t>
        </is>
      </c>
      <c r="C327" s="11" t="n"/>
      <c r="D327" s="11" t="n"/>
      <c r="E327" s="11" t="n"/>
      <c r="F327" s="11" t="n"/>
      <c r="G327" s="11" t="n"/>
    </row>
    <row r="328">
      <c r="B328" s="12" t="inlineStr">
        <is>
          <t xml:space="preserve">      ADA passenger elevator, two stops</t>
        </is>
      </c>
      <c r="C328" s="13" t="n">
        <v>1</v>
      </c>
      <c r="D328" s="14" t="inlineStr">
        <is>
          <t>EA</t>
        </is>
      </c>
      <c r="E328" s="15" t="n">
        <v>240000</v>
      </c>
      <c r="F328" s="16">
        <f>C328*E328</f>
        <v/>
      </c>
      <c r="G328" s="17" t="inlineStr">
        <is>
          <t>CODE — accessible route to every public level</t>
        </is>
      </c>
    </row>
    <row r="329">
      <c r="B329" s="12" t="inlineStr">
        <is>
          <t xml:space="preserve">      BOH / production lift</t>
        </is>
      </c>
      <c r="C329" s="13" t="n">
        <v>1</v>
      </c>
      <c r="D329" s="14" t="inlineStr">
        <is>
          <t>EA</t>
        </is>
      </c>
      <c r="E329" s="15" t="n">
        <v>60000</v>
      </c>
      <c r="F329" s="16">
        <f>C329*E329</f>
        <v/>
      </c>
      <c r="G329" s="17" t="inlineStr"/>
    </row>
    <row r="330">
      <c r="B330" s="18" t="inlineStr">
        <is>
          <t xml:space="preserve">   Conveying — subtotal</t>
        </is>
      </c>
      <c r="C330" s="19" t="n"/>
      <c r="D330" s="19" t="n"/>
      <c r="E330" s="19" t="n"/>
      <c r="F330" s="20">
        <f>SUM(F328:F329)</f>
        <v/>
      </c>
      <c r="G330" s="19" t="n"/>
    </row>
    <row r="331">
      <c r="B331" s="21" t="inlineStr">
        <is>
          <t>500 — DIVISION TOTAL</t>
        </is>
      </c>
      <c r="C331" s="22" t="n"/>
      <c r="D331" s="22" t="n"/>
      <c r="E331" s="22" t="n"/>
      <c r="F331" s="23">
        <f>F266+F269+F276+F281+F294+F308+F314+F319+F326+F330</f>
        <v/>
      </c>
      <c r="G331" s="22" t="n"/>
    </row>
    <row r="333">
      <c r="B333" s="8" t="inlineStr">
        <is>
          <t>600   FF&amp;E</t>
        </is>
      </c>
      <c r="C333" s="9" t="n"/>
      <c r="D333" s="9" t="n"/>
      <c r="E333" s="9" t="n"/>
      <c r="F333" s="9" t="n"/>
      <c r="G333" s="9" t="n"/>
    </row>
    <row r="334">
      <c r="B334" s="10" t="inlineStr">
        <is>
          <t xml:space="preserve">   Production — audio</t>
        </is>
      </c>
      <c r="C334" s="11" t="n"/>
      <c r="D334" s="11" t="n"/>
      <c r="E334" s="11" t="n"/>
      <c r="F334" s="11" t="n"/>
      <c r="G334" s="11" t="n"/>
    </row>
    <row r="335">
      <c r="B335" s="12" t="inlineStr">
        <is>
          <t xml:space="preserve">      House PA: mains, subs, fills, amplification, processing</t>
        </is>
      </c>
      <c r="C335" s="13" t="n">
        <v>1</v>
      </c>
      <c r="D335" s="14" t="inlineStr">
        <is>
          <t>LS</t>
        </is>
      </c>
      <c r="E335" s="15" t="n">
        <v>1850000</v>
      </c>
      <c r="F335" s="16">
        <f>C335*E335</f>
        <v/>
      </c>
      <c r="G335" s="17" t="inlineStr">
        <is>
          <t>Always house — artists do not tour a PA for this size room. MT I61/I301: $2-2.2M for L-Acoustics</t>
        </is>
      </c>
    </row>
    <row r="336">
      <c r="B336" s="12" t="inlineStr">
        <is>
          <t xml:space="preserve">      System design, tuning &amp; commissioning</t>
        </is>
      </c>
      <c r="C336" s="13" t="n">
        <v>1</v>
      </c>
      <c r="D336" s="14" t="inlineStr">
        <is>
          <t>LS</t>
        </is>
      </c>
      <c r="E336" s="15" t="n">
        <v>145000</v>
      </c>
      <c r="F336" s="16">
        <f>C336*E336</f>
        <v/>
      </c>
      <c r="G336" s="17" t="inlineStr"/>
    </row>
    <row r="337">
      <c r="B337" s="12" t="inlineStr">
        <is>
          <t xml:space="preserve">      Rigging, flying hardware &amp; install</t>
        </is>
      </c>
      <c r="C337" s="13" t="n">
        <v>1</v>
      </c>
      <c r="D337" s="14" t="inlineStr">
        <is>
          <t>LS</t>
        </is>
      </c>
      <c r="E337" s="15" t="n">
        <v>205000</v>
      </c>
      <c r="F337" s="16">
        <f>C337*E337</f>
        <v/>
      </c>
      <c r="G337" s="17" t="inlineStr"/>
    </row>
    <row r="338">
      <c r="B338" s="18" t="inlineStr">
        <is>
          <t xml:space="preserve">   Production — audio — subtotal</t>
        </is>
      </c>
      <c r="C338" s="19" t="n"/>
      <c r="D338" s="19" t="n"/>
      <c r="E338" s="19" t="n"/>
      <c r="F338" s="20">
        <f>SUM(F335:F337)</f>
        <v/>
      </c>
      <c r="G338" s="19" t="n"/>
    </row>
    <row r="339">
      <c r="B339" s="10" t="inlineStr">
        <is>
          <t xml:space="preserve">   Production — lighting</t>
        </is>
      </c>
      <c r="C339" s="11" t="n"/>
      <c r="D339" s="11" t="n"/>
      <c r="E339" s="11" t="n"/>
      <c r="F339" s="11" t="n"/>
      <c r="G339" s="11" t="n"/>
    </row>
    <row r="340">
      <c r="B340" s="12" t="inlineStr">
        <is>
          <t xml:space="preserve">      House rig: fixtures, truss, hoists</t>
        </is>
      </c>
      <c r="C340" s="13" t="n">
        <v>1</v>
      </c>
      <c r="D340" s="14" t="inlineStr">
        <is>
          <t>LS</t>
        </is>
      </c>
      <c r="E340" s="15" t="n">
        <v>230000</v>
      </c>
      <c r="F340" s="16">
        <f>C340*E340</f>
        <v/>
      </c>
      <c r="G340" s="17" t="inlineStr">
        <is>
          <t>REDUCED. FT Infinity house rig actual was ~$205k for an open-air stage: 48x Chauvet Colorstrike M $118,616 (LPS) + rope + pixel bars. $230k for a larger enclosed room</t>
        </is>
      </c>
    </row>
    <row r="341">
      <c r="B341" s="12" t="inlineStr">
        <is>
          <t xml:space="preserve">      Control, dimming &amp; data distribution</t>
        </is>
      </c>
      <c r="C341" s="13" t="n">
        <v>1</v>
      </c>
      <c r="D341" s="14" t="inlineStr">
        <is>
          <t>LS</t>
        </is>
      </c>
      <c r="E341" s="15" t="n">
        <v>85000</v>
      </c>
      <c r="F341" s="16">
        <f>C341*E341</f>
        <v/>
      </c>
      <c r="G341" s="17" t="inlineStr"/>
    </row>
    <row r="342">
      <c r="B342" s="12" t="inlineStr">
        <is>
          <t xml:space="preserve">      Install &amp; focus</t>
        </is>
      </c>
      <c r="C342" s="13" t="n">
        <v>1</v>
      </c>
      <c r="D342" s="14" t="inlineStr">
        <is>
          <t>LS</t>
        </is>
      </c>
      <c r="E342" s="15" t="n">
        <v>25000</v>
      </c>
      <c r="F342" s="16">
        <f>C342*E342</f>
        <v/>
      </c>
      <c r="G342" s="17" t="inlineStr"/>
    </row>
    <row r="343">
      <c r="B343" s="18" t="inlineStr">
        <is>
          <t xml:space="preserve">   Production — lighting — subtotal</t>
        </is>
      </c>
      <c r="C343" s="19" t="n"/>
      <c r="D343" s="19" t="n"/>
      <c r="E343" s="19" t="n"/>
      <c r="F343" s="20">
        <f>SUM(F340:F342)</f>
        <v/>
      </c>
      <c r="G343" s="19" t="n"/>
    </row>
    <row r="344">
      <c r="B344" s="10" t="inlineStr">
        <is>
          <t xml:space="preserve">   Production — video &amp; soft goods</t>
        </is>
      </c>
      <c r="C344" s="11" t="n"/>
      <c r="D344" s="11" t="n"/>
      <c r="E344" s="11" t="n"/>
      <c r="F344" s="11" t="n"/>
      <c r="G344" s="11" t="n"/>
    </row>
    <row r="345">
      <c r="B345" s="12" t="inlineStr">
        <is>
          <t xml:space="preserve">      Music hall projector &amp; screen</t>
        </is>
      </c>
      <c r="C345" s="13" t="n">
        <v>1</v>
      </c>
      <c r="D345" s="14" t="inlineStr">
        <is>
          <t>LS</t>
        </is>
      </c>
      <c r="E345" s="15" t="n">
        <v>75000</v>
      </c>
      <c r="F345" s="16">
        <f>C345*E345</f>
        <v/>
      </c>
      <c r="G345" s="17" t="inlineStr">
        <is>
          <t>Dev budget FF&amp;E 309</t>
        </is>
      </c>
    </row>
    <row r="346">
      <c r="B346" s="12" t="inlineStr">
        <is>
          <t xml:space="preserve">      Soft goods: stage &amp; perimeter drape</t>
        </is>
      </c>
      <c r="C346" s="13" t="n">
        <v>1</v>
      </c>
      <c r="D346" s="14" t="inlineStr">
        <is>
          <t>LS</t>
        </is>
      </c>
      <c r="E346" s="15" t="n">
        <v>220000</v>
      </c>
      <c r="F346" s="16">
        <f>C346*E346</f>
        <v/>
      </c>
      <c r="G346" s="17" t="inlineStr">
        <is>
          <t>REDUCED. Dev budget carried $200,000; the FT benchmark note on the same row said $725k. Working minimum at $220k</t>
        </is>
      </c>
    </row>
    <row r="347">
      <c r="B347" s="18" t="inlineStr">
        <is>
          <t xml:space="preserve">   Production — video &amp; soft goods — subtotal</t>
        </is>
      </c>
      <c r="C347" s="19" t="n"/>
      <c r="D347" s="19" t="n"/>
      <c r="E347" s="19" t="n"/>
      <c r="F347" s="20">
        <f>SUM(F345:F346)</f>
        <v/>
      </c>
      <c r="G347" s="19" t="n"/>
    </row>
    <row r="348">
      <c r="B348" s="10" t="inlineStr">
        <is>
          <t xml:space="preserve">   Production — equipment</t>
        </is>
      </c>
      <c r="C348" s="11" t="n"/>
      <c r="D348" s="11" t="n"/>
      <c r="E348" s="11" t="n"/>
      <c r="F348" s="11" t="n"/>
      <c r="G348" s="11" t="n"/>
    </row>
    <row r="349">
      <c r="B349" s="12" t="inlineStr">
        <is>
          <t xml:space="preserve">      Stage barricade</t>
        </is>
      </c>
      <c r="C349" s="13" t="n">
        <v>1</v>
      </c>
      <c r="D349" s="14" t="inlineStr">
        <is>
          <t>LS</t>
        </is>
      </c>
      <c r="E349" s="15" t="n">
        <v>18000</v>
      </c>
      <c r="F349" s="16">
        <f>C349*E349</f>
        <v/>
      </c>
      <c r="G349" s="17" t="inlineStr">
        <is>
          <t>FT actual</t>
        </is>
      </c>
    </row>
    <row r="350">
      <c r="B350" s="12" t="inlineStr">
        <is>
          <t xml:space="preserve">      Dock plates, ramps, hand carts, dollies</t>
        </is>
      </c>
      <c r="C350" s="13" t="n">
        <v>1</v>
      </c>
      <c r="D350" s="14" t="inlineStr">
        <is>
          <t>LS</t>
        </is>
      </c>
      <c r="E350" s="15" t="n">
        <v>30000</v>
      </c>
      <c r="F350" s="16">
        <f>C350*E350</f>
        <v/>
      </c>
      <c r="G350" s="17" t="inlineStr">
        <is>
          <t>FT actual</t>
        </is>
      </c>
    </row>
    <row r="351">
      <c r="B351" s="12" t="inlineStr">
        <is>
          <t xml:space="preserve">      Risers</t>
        </is>
      </c>
      <c r="C351" s="13" t="n">
        <v>1</v>
      </c>
      <c r="D351" s="14" t="inlineStr">
        <is>
          <t>LS</t>
        </is>
      </c>
      <c r="E351" s="15" t="n">
        <v>12000</v>
      </c>
      <c r="F351" s="16">
        <f>C351*E351</f>
        <v/>
      </c>
      <c r="G351" s="17" t="inlineStr">
        <is>
          <t>FT actual</t>
        </is>
      </c>
    </row>
    <row r="352">
      <c r="B352" s="12" t="inlineStr">
        <is>
          <t xml:space="preserve">      Storage shelving &amp; tools</t>
        </is>
      </c>
      <c r="C352" s="13" t="n">
        <v>1</v>
      </c>
      <c r="D352" s="14" t="inlineStr">
        <is>
          <t>LS</t>
        </is>
      </c>
      <c r="E352" s="15" t="n">
        <v>13500</v>
      </c>
      <c r="F352" s="16">
        <f>C352*E352</f>
        <v/>
      </c>
      <c r="G352" s="17" t="inlineStr">
        <is>
          <t>FT actual</t>
        </is>
      </c>
    </row>
    <row r="353">
      <c r="B353" s="18" t="inlineStr">
        <is>
          <t xml:space="preserve">   Production — equipment — subtotal</t>
        </is>
      </c>
      <c r="C353" s="19" t="n"/>
      <c r="D353" s="19" t="n"/>
      <c r="E353" s="19" t="n"/>
      <c r="F353" s="20">
        <f>SUM(F349:F352)</f>
        <v/>
      </c>
      <c r="G353" s="19" t="n"/>
    </row>
    <row r="354">
      <c r="B354" s="10" t="inlineStr">
        <is>
          <t xml:space="preserve">   Bar &amp; F&amp;B equipment</t>
        </is>
      </c>
      <c r="C354" s="11" t="n"/>
      <c r="D354" s="11" t="n"/>
      <c r="E354" s="11" t="n"/>
      <c r="F354" s="11" t="n"/>
      <c r="G354" s="11" t="n"/>
    </row>
    <row r="355">
      <c r="B355" s="12" t="inlineStr">
        <is>
          <t xml:space="preserve">      Bar equipment, six bars, ~53 POS positions</t>
        </is>
      </c>
      <c r="C355" s="13" t="n">
        <v>53</v>
      </c>
      <c r="D355" s="14" t="inlineStr">
        <is>
          <t>POS</t>
        </is>
      </c>
      <c r="E355" s="15" t="n">
        <v>9000</v>
      </c>
      <c r="F355" s="16">
        <f>C355*E355</f>
        <v/>
      </c>
      <c r="G355" s="17" t="inlineStr">
        <is>
          <t>CORRECTED. FT and dev budget rate for bar equipment ALONE is $9,000/position. I had used Brooklyn Paramount's $32,192/POS which is ALL-IN incl. kitchen, walk-in and freight — while also carrying those separately below. Double count removed, $689,000</t>
        </is>
      </c>
    </row>
    <row r="356">
      <c r="B356" s="12" t="inlineStr">
        <is>
          <t xml:space="preserve">      Ice machines</t>
        </is>
      </c>
      <c r="C356" s="13" t="n">
        <v>4</v>
      </c>
      <c r="D356" s="14" t="inlineStr">
        <is>
          <t>EA</t>
        </is>
      </c>
      <c r="E356" s="15" t="n">
        <v>15000</v>
      </c>
      <c r="F356" s="16">
        <f>C356*E356</f>
        <v/>
      </c>
      <c r="G356" s="17" t="inlineStr">
        <is>
          <t>FT actual rate</t>
        </is>
      </c>
    </row>
    <row r="357">
      <c r="B357" s="12" t="inlineStr">
        <is>
          <t xml:space="preserve">      Walk-in coolers</t>
        </is>
      </c>
      <c r="C357" s="13" t="n">
        <v>2</v>
      </c>
      <c r="D357" s="14" t="inlineStr">
        <is>
          <t>EA</t>
        </is>
      </c>
      <c r="E357" s="15" t="n">
        <v>15000</v>
      </c>
      <c r="F357" s="16">
        <f>C357*E357</f>
        <v/>
      </c>
      <c r="G357" s="17" t="inlineStr">
        <is>
          <t>FT actual rate</t>
        </is>
      </c>
    </row>
    <row r="358">
      <c r="B358" s="12" t="inlineStr">
        <is>
          <t xml:space="preserve">      Draft systems &amp; glycol</t>
        </is>
      </c>
      <c r="C358" s="13" t="n">
        <v>6</v>
      </c>
      <c r="D358" s="14" t="inlineStr">
        <is>
          <t>EA</t>
        </is>
      </c>
      <c r="E358" s="15" t="n">
        <v>18000</v>
      </c>
      <c r="F358" s="16">
        <f>C358*E358</f>
        <v/>
      </c>
      <c r="G358" s="17" t="inlineStr">
        <is>
          <t>Often vendor-supplied against a pouring agreement — ASK</t>
        </is>
      </c>
    </row>
    <row r="359">
      <c r="B359" s="12" t="inlineStr">
        <is>
          <t xml:space="preserve">      Freight &amp; installation</t>
        </is>
      </c>
      <c r="C359" s="13" t="n">
        <v>1</v>
      </c>
      <c r="D359" s="14" t="inlineStr">
        <is>
          <t>LS</t>
        </is>
      </c>
      <c r="E359" s="15" t="n">
        <v>375000</v>
      </c>
      <c r="F359" s="16">
        <f>C359*E359</f>
        <v/>
      </c>
      <c r="G359" s="17" t="inlineStr">
        <is>
          <t>FT / dev budget actual</t>
        </is>
      </c>
    </row>
    <row r="360">
      <c r="B360" s="12" t="inlineStr">
        <is>
          <t xml:space="preserve">      POS terminals</t>
        </is>
      </c>
      <c r="C360" s="13" t="n">
        <v>53</v>
      </c>
      <c r="D360" s="14" t="inlineStr">
        <is>
          <t>EA</t>
        </is>
      </c>
      <c r="E360" s="15" t="n">
        <v>0</v>
      </c>
      <c r="F360" s="16">
        <f>C360*E360</f>
        <v/>
      </c>
      <c r="G360" s="17" t="inlineStr">
        <is>
          <t>ZEROED per MT I50: "I can get someone to give it to us for free for using the venue." Restore at $3,000/EA if that deal does not land</t>
        </is>
      </c>
    </row>
    <row r="361">
      <c r="B361" s="18" t="inlineStr">
        <is>
          <t xml:space="preserve">   Bar &amp; F&amp;B equipment — subtotal</t>
        </is>
      </c>
      <c r="C361" s="19" t="n"/>
      <c r="D361" s="19" t="n"/>
      <c r="E361" s="19" t="n"/>
      <c r="F361" s="20">
        <f>SUM(F355:F360)</f>
        <v/>
      </c>
      <c r="G361" s="19" t="n"/>
    </row>
    <row r="362">
      <c r="B362" s="10" t="inlineStr">
        <is>
          <t xml:space="preserve">   Seating — licensing dependency</t>
        </is>
      </c>
      <c r="C362" s="11" t="n"/>
      <c r="D362" s="11" t="n"/>
      <c r="E362" s="11" t="n"/>
      <c r="F362" s="11" t="n"/>
      <c r="G362" s="11" t="n"/>
    </row>
    <row r="363">
      <c r="B363" s="12" t="inlineStr">
        <is>
          <t xml:space="preserve">      Removable theatre seating, mezzanine</t>
        </is>
      </c>
      <c r="C363" s="13" t="n">
        <v>720</v>
      </c>
      <c r="D363" s="14" t="inlineStr">
        <is>
          <t>EA</t>
        </is>
      </c>
      <c r="E363" s="24">
        <f>$E$7</f>
        <v/>
      </c>
      <c r="F363" s="16">
        <f>C363*E363</f>
        <v/>
      </c>
      <c r="G363" s="17" t="inlineStr">
        <is>
          <t>TOGGLE. Rate is driven by the seating input cell at the top of this sheet — switch between $25 (MT H127 sourcing) and $125 (as filed in the dev budget). COUNT TO BE CONFIRMED BY COUNSEL — it carries the classification</t>
        </is>
      </c>
    </row>
    <row r="364">
      <c r="B364" s="12" t="inlineStr">
        <is>
          <t xml:space="preserve">      Mezzanine raised-deck seating: stools, high-tops, rail perches</t>
        </is>
      </c>
      <c r="C364" s="13" t="n">
        <v>1</v>
      </c>
      <c r="D364" s="14" t="inlineStr">
        <is>
          <t>LS</t>
        </is>
      </c>
      <c r="E364" s="15" t="n">
        <v>45000</v>
      </c>
      <c r="F364" s="16">
        <f>C364*E364</f>
        <v/>
      </c>
      <c r="G364" s="17" t="inlineStr">
        <is>
          <t>REPLACES 657 BOX CHAIRS AT $300 ($197,100). Loose seating on a stepped deck rather than fixed box furniture — flexes between standing and seated nights and holds more people in the same footprint</t>
        </is>
      </c>
    </row>
    <row r="365">
      <c r="B365" s="12" t="inlineStr">
        <is>
          <t xml:space="preserve">      Seat &amp; row numbering, aisle marking</t>
        </is>
      </c>
      <c r="C365" s="13" t="n">
        <v>1</v>
      </c>
      <c r="D365" s="14" t="inlineStr">
        <is>
          <t>LS</t>
        </is>
      </c>
      <c r="E365" s="15" t="n">
        <v>13760</v>
      </c>
      <c r="F365" s="16">
        <f>C365*E365</f>
        <v/>
      </c>
      <c r="G365" s="17" t="inlineStr">
        <is>
          <t>Required with removable seating</t>
        </is>
      </c>
    </row>
    <row r="366">
      <c r="B366" s="12" t="inlineStr">
        <is>
          <t xml:space="preserve">      Seating storage racks &amp; carts</t>
        </is>
      </c>
      <c r="C366" s="13" t="n">
        <v>1</v>
      </c>
      <c r="D366" s="14" t="inlineStr">
        <is>
          <t>LS</t>
        </is>
      </c>
      <c r="E366" s="15" t="n">
        <v>35000</v>
      </c>
      <c r="F366" s="16">
        <f>C366*E366</f>
        <v/>
      </c>
      <c r="G366" s="17" t="inlineStr">
        <is>
          <t>Stacked away on standing nights</t>
        </is>
      </c>
    </row>
    <row r="367">
      <c r="B367" s="18" t="inlineStr">
        <is>
          <t xml:space="preserve">   Seating — licensing dependency — subtotal</t>
        </is>
      </c>
      <c r="C367" s="19" t="n"/>
      <c r="D367" s="19" t="n"/>
      <c r="E367" s="19" t="n"/>
      <c r="F367" s="20">
        <f>SUM(F363:F366)</f>
        <v/>
      </c>
      <c r="G367" s="19" t="n"/>
    </row>
    <row r="368">
      <c r="B368" s="10" t="inlineStr">
        <is>
          <t xml:space="preserve">   Furniture</t>
        </is>
      </c>
      <c r="C368" s="11" t="n"/>
      <c r="D368" s="11" t="n"/>
      <c r="E368" s="11" t="n"/>
      <c r="F368" s="11" t="n"/>
      <c r="G368" s="11" t="n"/>
    </row>
    <row r="369">
      <c r="B369" s="12" t="inlineStr">
        <is>
          <t xml:space="preserve">      Dressing room furniture</t>
        </is>
      </c>
      <c r="C369" s="13" t="n">
        <v>6</v>
      </c>
      <c r="D369" s="14" t="inlineStr">
        <is>
          <t>EA</t>
        </is>
      </c>
      <c r="E369" s="15" t="n">
        <v>10000</v>
      </c>
      <c r="F369" s="16">
        <f>C369*E369</f>
        <v/>
      </c>
      <c r="G369" s="17" t="inlineStr">
        <is>
          <t>Dev budget FF&amp;E 301, priced in file</t>
        </is>
      </c>
    </row>
    <row r="370">
      <c r="B370" s="12" t="inlineStr">
        <is>
          <t xml:space="preserve">      Crew &amp; artist lounge</t>
        </is>
      </c>
      <c r="C370" s="13" t="n">
        <v>1</v>
      </c>
      <c r="D370" s="14" t="inlineStr">
        <is>
          <t>LS</t>
        </is>
      </c>
      <c r="E370" s="15" t="n">
        <v>25000</v>
      </c>
      <c r="F370" s="16">
        <f>C370*E370</f>
        <v/>
      </c>
      <c r="G370" s="17" t="inlineStr">
        <is>
          <t>Dev budget FF&amp;E 301</t>
        </is>
      </c>
    </row>
    <row r="371">
      <c r="B371" s="12" t="inlineStr">
        <is>
          <t xml:space="preserve">      Office furniture, administration &amp; production</t>
        </is>
      </c>
      <c r="C371" s="13" t="n">
        <v>1</v>
      </c>
      <c r="D371" s="14" t="inlineStr">
        <is>
          <t>LS</t>
        </is>
      </c>
      <c r="E371" s="15" t="n">
        <v>65000</v>
      </c>
      <c r="F371" s="16">
        <f>C371*E371</f>
        <v/>
      </c>
      <c r="G371" s="17" t="inlineStr">
        <is>
          <t>Dev budget FF&amp;E 304</t>
        </is>
      </c>
    </row>
    <row r="372">
      <c r="B372" s="12" t="inlineStr">
        <is>
          <t xml:space="preserve">      Merchandise cases</t>
        </is>
      </c>
      <c r="C372" s="13" t="n">
        <v>1</v>
      </c>
      <c r="D372" s="14" t="inlineStr">
        <is>
          <t>LS</t>
        </is>
      </c>
      <c r="E372" s="15" t="n">
        <v>26000</v>
      </c>
      <c r="F372" s="16">
        <f>C372*E372</f>
        <v/>
      </c>
      <c r="G372" s="17" t="inlineStr">
        <is>
          <t>Dev budget FF&amp;E 307</t>
        </is>
      </c>
    </row>
    <row r="373">
      <c r="B373" s="18" t="inlineStr">
        <is>
          <t xml:space="preserve">   Furniture — subtotal</t>
        </is>
      </c>
      <c r="C373" s="19" t="n"/>
      <c r="D373" s="19" t="n"/>
      <c r="E373" s="19" t="n"/>
      <c r="F373" s="20">
        <f>SUM(F369:F372)</f>
        <v/>
      </c>
      <c r="G373" s="19" t="n"/>
    </row>
    <row r="374">
      <c r="B374" s="10" t="inlineStr">
        <is>
          <t xml:space="preserve">   IT, security &amp; operations</t>
        </is>
      </c>
      <c r="C374" s="11" t="n"/>
      <c r="D374" s="11" t="n"/>
      <c r="E374" s="11" t="n"/>
      <c r="F374" s="11" t="n"/>
      <c r="G374" s="11" t="n"/>
    </row>
    <row r="375">
      <c r="B375" s="12" t="inlineStr">
        <is>
          <t xml:space="preserve">      VoIP, data switching &amp; WiFi</t>
        </is>
      </c>
      <c r="C375" s="13" t="n">
        <v>1</v>
      </c>
      <c r="D375" s="14" t="inlineStr">
        <is>
          <t>LS</t>
        </is>
      </c>
      <c r="E375" s="15" t="n">
        <v>200000</v>
      </c>
      <c r="F375" s="16">
        <f>C375*E375</f>
        <v/>
      </c>
      <c r="G375" s="17" t="inlineStr">
        <is>
          <t>Dev budget FF&amp;E 303</t>
        </is>
      </c>
    </row>
    <row r="376">
      <c r="B376" s="12" t="inlineStr">
        <is>
          <t xml:space="preserve">      CCTV cameras</t>
        </is>
      </c>
      <c r="C376" s="13" t="n">
        <v>110</v>
      </c>
      <c r="D376" s="14" t="inlineStr">
        <is>
          <t>EA</t>
        </is>
      </c>
      <c r="E376" s="15" t="n">
        <v>2000</v>
      </c>
      <c r="F376" s="16">
        <f>C376*E376</f>
        <v/>
      </c>
      <c r="G376" s="17" t="inlineStr">
        <is>
          <t>Dev budget FF&amp;E 303, priced in file</t>
        </is>
      </c>
    </row>
    <row r="377">
      <c r="B377" s="12" t="inlineStr">
        <is>
          <t xml:space="preserve">      Walk-through magnetometers</t>
        </is>
      </c>
      <c r="C377" s="13" t="n">
        <v>12</v>
      </c>
      <c r="D377" s="14" t="inlineStr">
        <is>
          <t>EA</t>
        </is>
      </c>
      <c r="E377" s="15" t="n">
        <v>10000</v>
      </c>
      <c r="F377" s="16">
        <f>C377*E377</f>
        <v/>
      </c>
      <c r="G377" s="17" t="inlineStr">
        <is>
          <t>FT paid $148,580 for a full OPENGATE system with LTE WiFi (CEIA USA) — 12 lanes at $10k lands in the same place</t>
        </is>
      </c>
    </row>
    <row r="378">
      <c r="B378" s="12" t="inlineStr">
        <is>
          <t xml:space="preserve">      Radios &amp; safes</t>
        </is>
      </c>
      <c r="C378" s="13" t="n">
        <v>1</v>
      </c>
      <c r="D378" s="14" t="inlineStr">
        <is>
          <t>LS</t>
        </is>
      </c>
      <c r="E378" s="15" t="n">
        <v>23000</v>
      </c>
      <c r="F378" s="16">
        <f>C378*E378</f>
        <v/>
      </c>
      <c r="G378" s="17" t="inlineStr">
        <is>
          <t>Dev budget FF&amp;E 306</t>
        </is>
      </c>
    </row>
    <row r="379">
      <c r="B379" s="12" t="inlineStr">
        <is>
          <t xml:space="preserve">      Custodial, barricades, bike racks, shop equipment</t>
        </is>
      </c>
      <c r="C379" s="13" t="n">
        <v>1</v>
      </c>
      <c r="D379" s="14" t="inlineStr">
        <is>
          <t>LS</t>
        </is>
      </c>
      <c r="E379" s="15" t="n">
        <v>29000</v>
      </c>
      <c r="F379" s="16">
        <f>C379*E379</f>
        <v/>
      </c>
      <c r="G379" s="17" t="inlineStr">
        <is>
          <t>FT unit rates: bike rack $211/each, crash barricade $200.76/ft</t>
        </is>
      </c>
    </row>
    <row r="380">
      <c r="B380" s="18" t="inlineStr">
        <is>
          <t xml:space="preserve">   IT, security &amp; operations — subtotal</t>
        </is>
      </c>
      <c r="C380" s="19" t="n"/>
      <c r="D380" s="19" t="n"/>
      <c r="E380" s="19" t="n"/>
      <c r="F380" s="20">
        <f>SUM(F375:F379)</f>
        <v/>
      </c>
      <c r="G380" s="19" t="n"/>
    </row>
    <row r="381">
      <c r="B381" s="10" t="inlineStr">
        <is>
          <t xml:space="preserve">   Signage</t>
        </is>
      </c>
      <c r="C381" s="11" t="n"/>
      <c r="D381" s="11" t="n"/>
      <c r="E381" s="11" t="n"/>
      <c r="F381" s="11" t="n"/>
      <c r="G381" s="11" t="n"/>
    </row>
    <row r="382">
      <c r="B382" s="12" t="inlineStr">
        <is>
          <t xml:space="preserve">      Exterior building signage</t>
        </is>
      </c>
      <c r="C382" s="13" t="n">
        <v>1</v>
      </c>
      <c r="D382" s="14" t="inlineStr">
        <is>
          <t>LS</t>
        </is>
      </c>
      <c r="E382" s="15" t="n">
        <v>150000</v>
      </c>
      <c r="F382" s="16">
        <f>C382*E382</f>
        <v/>
      </c>
      <c r="G382" s="17" t="inlineStr">
        <is>
          <t>Identification and wayfinding, not a facade programme</t>
        </is>
      </c>
    </row>
    <row r="383">
      <c r="B383" s="18" t="inlineStr">
        <is>
          <t xml:space="preserve">   Signage — subtotal</t>
        </is>
      </c>
      <c r="C383" s="19" t="n"/>
      <c r="D383" s="19" t="n"/>
      <c r="E383" s="19" t="n"/>
      <c r="F383" s="20">
        <f>SUM(F382:F382)</f>
        <v/>
      </c>
      <c r="G383" s="19" t="n"/>
    </row>
    <row r="384">
      <c r="B384" s="10" t="inlineStr">
        <is>
          <t xml:space="preserve">   Installation</t>
        </is>
      </c>
      <c r="C384" s="11" t="n"/>
      <c r="D384" s="11" t="n"/>
      <c r="E384" s="11" t="n"/>
      <c r="F384" s="11" t="n"/>
      <c r="G384" s="11" t="n"/>
    </row>
    <row r="385">
      <c r="B385" s="12" t="inlineStr">
        <is>
          <t xml:space="preserve">      FF&amp;E installation labour</t>
        </is>
      </c>
      <c r="C385" s="13" t="n">
        <v>1</v>
      </c>
      <c r="D385" s="14" t="inlineStr">
        <is>
          <t>LS</t>
        </is>
      </c>
      <c r="E385" s="15" t="n">
        <v>600000</v>
      </c>
      <c r="F385" s="16">
        <f>C385*E385</f>
        <v/>
      </c>
      <c r="G385" s="17" t="inlineStr">
        <is>
          <t>Dev budget 120000, priced in file</t>
        </is>
      </c>
    </row>
    <row r="386">
      <c r="B386" s="18" t="inlineStr">
        <is>
          <t xml:space="preserve">   Installation — subtotal</t>
        </is>
      </c>
      <c r="C386" s="19" t="n"/>
      <c r="D386" s="19" t="n"/>
      <c r="E386" s="19" t="n"/>
      <c r="F386" s="20">
        <f>SUM(F385:F385)</f>
        <v/>
      </c>
      <c r="G386" s="19" t="n"/>
    </row>
    <row r="387">
      <c r="B387" s="21" t="inlineStr">
        <is>
          <t>600 — DIVISION TOTAL</t>
        </is>
      </c>
      <c r="C387" s="22" t="n"/>
      <c r="D387" s="22" t="n"/>
      <c r="E387" s="22" t="n"/>
      <c r="F387" s="23">
        <f>F338+F343+F347+F353+F361+F367+F373+F380+F383+F386</f>
        <v/>
      </c>
      <c r="G387" s="22" t="n"/>
    </row>
    <row r="389">
      <c r="B389" s="8" t="inlineStr">
        <is>
          <t>700   SOFT COSTS</t>
        </is>
      </c>
      <c r="C389" s="9" t="n"/>
      <c r="D389" s="9" t="n"/>
      <c r="E389" s="9" t="n"/>
      <c r="F389" s="9" t="n"/>
      <c r="G389" s="9" t="n"/>
    </row>
    <row r="390">
      <c r="B390" s="10" t="inlineStr">
        <is>
          <t xml:space="preserve">   Design &amp; engineering</t>
        </is>
      </c>
      <c r="C390" s="11" t="n"/>
      <c r="D390" s="11" t="n"/>
      <c r="E390" s="11" t="n"/>
      <c r="F390" s="11" t="n"/>
      <c r="G390" s="11" t="n"/>
    </row>
    <row r="391">
      <c r="B391" s="12" t="inlineStr">
        <is>
          <t xml:space="preserve">      Architecture &amp; engineering (Wake)</t>
        </is>
      </c>
      <c r="C391" s="13" t="n">
        <v>1</v>
      </c>
      <c r="D391" s="14" t="inlineStr">
        <is>
          <t>LS</t>
        </is>
      </c>
      <c r="E391" s="15" t="n">
        <v>2200000</v>
      </c>
      <c r="F391" s="16">
        <f>C391*E391</f>
        <v/>
      </c>
      <c r="G391" s="17" t="inlineStr">
        <is>
          <t>Dev budget 203. MEP and structural folded in. FT's architect ran 3.9x its budget — watch this</t>
        </is>
      </c>
    </row>
    <row r="392">
      <c r="B392" s="12" t="inlineStr">
        <is>
          <t xml:space="preserve">      Conceptual &amp; brand development</t>
        </is>
      </c>
      <c r="C392" s="13" t="n">
        <v>1</v>
      </c>
      <c r="D392" s="14" t="inlineStr">
        <is>
          <t>LS</t>
        </is>
      </c>
      <c r="E392" s="15" t="n">
        <v>45000</v>
      </c>
      <c r="F392" s="16">
        <f>C392*E392</f>
        <v/>
      </c>
      <c r="G392" s="17" t="inlineStr">
        <is>
          <t>Dev budget 203-1</t>
        </is>
      </c>
    </row>
    <row r="393">
      <c r="B393" s="12" t="inlineStr">
        <is>
          <t xml:space="preserve">      Interior design</t>
        </is>
      </c>
      <c r="C393" s="13" t="n">
        <v>1</v>
      </c>
      <c r="D393" s="14" t="inlineStr">
        <is>
          <t>LS</t>
        </is>
      </c>
      <c r="E393" s="15" t="n">
        <v>90000</v>
      </c>
      <c r="F393" s="16">
        <f>C393*E393</f>
        <v/>
      </c>
      <c r="G393" s="17" t="inlineStr">
        <is>
          <t>Dev budget 203-2</t>
        </is>
      </c>
    </row>
    <row r="394">
      <c r="B394" s="12" t="inlineStr">
        <is>
          <t xml:space="preserve">      MEP consultant</t>
        </is>
      </c>
      <c r="C394" s="13" t="n">
        <v>1</v>
      </c>
      <c r="D394" s="14" t="inlineStr">
        <is>
          <t>LS</t>
        </is>
      </c>
      <c r="E394" s="15" t="n">
        <v>30000</v>
      </c>
      <c r="F394" s="16">
        <f>C394*E394</f>
        <v/>
      </c>
      <c r="G394" s="17" t="inlineStr">
        <is>
          <t>Dev budget 203-7</t>
        </is>
      </c>
    </row>
    <row r="395">
      <c r="B395" s="12" t="inlineStr">
        <is>
          <t xml:space="preserve">      Lighting design</t>
        </is>
      </c>
      <c r="C395" s="13" t="n">
        <v>1</v>
      </c>
      <c r="D395" s="14" t="inlineStr">
        <is>
          <t>LS</t>
        </is>
      </c>
      <c r="E395" s="15" t="n">
        <v>51000</v>
      </c>
      <c r="F395" s="16">
        <f>C395*E395</f>
        <v/>
      </c>
      <c r="G395" s="17" t="inlineStr">
        <is>
          <t>Dev budget 203-8, Bandit</t>
        </is>
      </c>
    </row>
    <row r="396">
      <c r="B396" s="12" t="inlineStr">
        <is>
          <t xml:space="preserve">      LV / AV design</t>
        </is>
      </c>
      <c r="C396" s="13" t="n">
        <v>1</v>
      </c>
      <c r="D396" s="14" t="inlineStr">
        <is>
          <t>LS</t>
        </is>
      </c>
      <c r="E396" s="15" t="n">
        <v>35000</v>
      </c>
      <c r="F396" s="16">
        <f>C396*E396</f>
        <v/>
      </c>
      <c r="G396" s="17" t="inlineStr">
        <is>
          <t>Dev budget 203-10</t>
        </is>
      </c>
    </row>
    <row r="397">
      <c r="B397" s="12" t="inlineStr">
        <is>
          <t xml:space="preserve">      Signage &amp; wayfinding design</t>
        </is>
      </c>
      <c r="C397" s="13" t="n">
        <v>1</v>
      </c>
      <c r="D397" s="14" t="inlineStr">
        <is>
          <t>LS</t>
        </is>
      </c>
      <c r="E397" s="15" t="n">
        <v>75000</v>
      </c>
      <c r="F397" s="16">
        <f>C397*E397</f>
        <v/>
      </c>
      <c r="G397" s="17" t="inlineStr">
        <is>
          <t>Dev budget 203-11</t>
        </is>
      </c>
    </row>
    <row r="398">
      <c r="B398" s="12" t="inlineStr">
        <is>
          <t xml:space="preserve">      Renderings &amp; reimbursables</t>
        </is>
      </c>
      <c r="C398" s="13" t="n">
        <v>1</v>
      </c>
      <c r="D398" s="14" t="inlineStr">
        <is>
          <t>LS</t>
        </is>
      </c>
      <c r="E398" s="15" t="n">
        <v>80000</v>
      </c>
      <c r="F398" s="16">
        <f>C398*E398</f>
        <v/>
      </c>
      <c r="G398" s="17" t="inlineStr">
        <is>
          <t>Dev budget 203-12/13</t>
        </is>
      </c>
    </row>
    <row r="399">
      <c r="B399" s="12" t="inlineStr">
        <is>
          <t xml:space="preserve">      Acoustical engineering &amp; design</t>
        </is>
      </c>
      <c r="C399" s="13" t="n">
        <v>1</v>
      </c>
      <c r="D399" s="14" t="inlineStr">
        <is>
          <t>LS</t>
        </is>
      </c>
      <c r="E399" s="15" t="n">
        <v>200000</v>
      </c>
      <c r="F399" s="16">
        <f>C399*E399</f>
        <v/>
      </c>
      <c r="G399" s="17" t="inlineStr">
        <is>
          <t>Designing $2M of treatment. Dev budget carried $15,000 for testing only</t>
        </is>
      </c>
    </row>
    <row r="400">
      <c r="B400" s="12" t="inlineStr">
        <is>
          <t xml:space="preserve">      Structural engineering peer review</t>
        </is>
      </c>
      <c r="C400" s="13" t="n">
        <v>1</v>
      </c>
      <c r="D400" s="14" t="inlineStr">
        <is>
          <t>LS</t>
        </is>
      </c>
      <c r="E400" s="15" t="n">
        <v>65000</v>
      </c>
      <c r="F400" s="16">
        <f>C400*E400</f>
        <v/>
      </c>
      <c r="G400" s="17" t="inlineStr">
        <is>
          <t>A roof lift warrants an independent check</t>
        </is>
      </c>
    </row>
    <row r="401">
      <c r="B401" s="12" t="inlineStr">
        <is>
          <t xml:space="preserve">      Civil engineering</t>
        </is>
      </c>
      <c r="C401" s="13" t="n">
        <v>1</v>
      </c>
      <c r="D401" s="14" t="inlineStr">
        <is>
          <t>LS</t>
        </is>
      </c>
      <c r="E401" s="15" t="n">
        <v>10000</v>
      </c>
      <c r="F401" s="16">
        <f>C401*E401</f>
        <v/>
      </c>
      <c r="G401" s="17" t="inlineStr">
        <is>
          <t>Dev budget 204</t>
        </is>
      </c>
    </row>
    <row r="402">
      <c r="B402" s="12" t="inlineStr">
        <is>
          <t xml:space="preserve">      Traffic engineering</t>
        </is>
      </c>
      <c r="C402" s="13" t="n">
        <v>1</v>
      </c>
      <c r="D402" s="14" t="inlineStr">
        <is>
          <t>LS</t>
        </is>
      </c>
      <c r="E402" s="15" t="n">
        <v>25000</v>
      </c>
      <c r="F402" s="16">
        <f>C402*E402</f>
        <v/>
      </c>
      <c r="G402" s="17" t="inlineStr">
        <is>
          <t>Dev budget 205. MT G45: 'prob more'</t>
        </is>
      </c>
    </row>
    <row r="403">
      <c r="B403" s="18" t="inlineStr">
        <is>
          <t xml:space="preserve">   Design &amp; engineering — subtotal</t>
        </is>
      </c>
      <c r="C403" s="19" t="n"/>
      <c r="D403" s="19" t="n"/>
      <c r="E403" s="19" t="n"/>
      <c r="F403" s="20">
        <f>SUM(F391:F402)</f>
        <v/>
      </c>
      <c r="G403" s="19" t="n"/>
    </row>
    <row r="404">
      <c r="B404" s="10" t="inlineStr">
        <is>
          <t xml:space="preserve">   Investigation</t>
        </is>
      </c>
      <c r="C404" s="11" t="n"/>
      <c r="D404" s="11" t="n"/>
      <c r="E404" s="11" t="n"/>
      <c r="F404" s="11" t="n"/>
      <c r="G404" s="11" t="n"/>
    </row>
    <row r="405">
      <c r="B405" s="12" t="inlineStr">
        <is>
          <t xml:space="preserve">      Geotechnical — 13 borings 50ft deep</t>
        </is>
      </c>
      <c r="C405" s="13" t="n">
        <v>1</v>
      </c>
      <c r="D405" s="14" t="inlineStr">
        <is>
          <t>LS</t>
        </is>
      </c>
      <c r="E405" s="15" t="n">
        <v>150000</v>
      </c>
      <c r="F405" s="16">
        <f>C405*E405</f>
        <v/>
      </c>
      <c r="G405" s="17" t="inlineStr">
        <is>
          <t>Dev budget 207. Required for the structural (ST) permit</t>
        </is>
      </c>
    </row>
    <row r="406">
      <c r="B406" s="12" t="inlineStr">
        <is>
          <t xml:space="preserve">      Phase I environmental</t>
        </is>
      </c>
      <c r="C406" s="13" t="n">
        <v>1</v>
      </c>
      <c r="D406" s="14" t="inlineStr">
        <is>
          <t>LS</t>
        </is>
      </c>
      <c r="E406" s="15" t="n">
        <v>45000</v>
      </c>
      <c r="F406" s="16">
        <f>C406*E406</f>
        <v/>
      </c>
      <c r="G406" s="17" t="inlineStr">
        <is>
          <t>Dev budget carried $0</t>
        </is>
      </c>
    </row>
    <row r="407">
      <c r="B407" s="12" t="inlineStr">
        <is>
          <t xml:space="preserve">      Phase II environmental &amp; soil sampling</t>
        </is>
      </c>
      <c r="C407" s="13" t="n">
        <v>1</v>
      </c>
      <c r="D407" s="14" t="inlineStr">
        <is>
          <t>LS</t>
        </is>
      </c>
      <c r="E407" s="15" t="n">
        <v>105000</v>
      </c>
      <c r="F407" s="16">
        <f>C407*E407</f>
        <v/>
      </c>
      <c r="G407" s="17" t="inlineStr">
        <is>
          <t>1948 industrial site, countertop manufacturer</t>
        </is>
      </c>
    </row>
    <row r="408">
      <c r="B408" s="12" t="inlineStr">
        <is>
          <t xml:space="preserve">      Existing-conditions survey &amp; scan</t>
        </is>
      </c>
      <c r="C408" s="13" t="n">
        <v>1</v>
      </c>
      <c r="D408" s="14" t="inlineStr">
        <is>
          <t>LS</t>
        </is>
      </c>
      <c r="E408" s="15" t="n">
        <v>85000</v>
      </c>
      <c r="F408" s="16">
        <f>C408*E408</f>
        <v/>
      </c>
      <c r="G408" s="17" t="inlineStr">
        <is>
          <t>Required before a lift</t>
        </is>
      </c>
    </row>
    <row r="409">
      <c r="B409" s="12" t="inlineStr">
        <is>
          <t xml:space="preserve">      Rooflifters Stage 3 structural analysis</t>
        </is>
      </c>
      <c r="C409" s="13" t="n">
        <v>1</v>
      </c>
      <c r="D409" s="14" t="inlineStr">
        <is>
          <t>LS</t>
        </is>
      </c>
      <c r="E409" s="15" t="n">
        <v>50000</v>
      </c>
      <c r="F409" s="16">
        <f>C409*E409</f>
        <v/>
      </c>
      <c r="G409" s="17" t="inlineStr">
        <is>
          <t>Fee credited against the contract if awarded. WORTH $4.9M OF SCOPE CERTAINTY</t>
        </is>
      </c>
    </row>
    <row r="410">
      <c r="B410" s="18" t="inlineStr">
        <is>
          <t xml:space="preserve">   Investigation — subtotal</t>
        </is>
      </c>
      <c r="C410" s="19" t="n"/>
      <c r="D410" s="19" t="n"/>
      <c r="E410" s="19" t="n"/>
      <c r="F410" s="20">
        <f>SUM(F405:F409)</f>
        <v/>
      </c>
      <c r="G410" s="19" t="n"/>
    </row>
    <row r="411">
      <c r="B411" s="10" t="inlineStr">
        <is>
          <t xml:space="preserve">   Permits &amp; approvals</t>
        </is>
      </c>
      <c r="C411" s="11" t="n"/>
      <c r="D411" s="11" t="n"/>
      <c r="E411" s="11" t="n"/>
      <c r="F411" s="11" t="n"/>
      <c r="G411" s="11" t="n"/>
    </row>
    <row r="412">
      <c r="B412" s="12" t="inlineStr">
        <is>
          <t xml:space="preserve">      DOB permit &amp; plan review fees</t>
        </is>
      </c>
      <c r="C412" s="13" t="n">
        <v>1</v>
      </c>
      <c r="D412" s="14" t="inlineStr">
        <is>
          <t>LS</t>
        </is>
      </c>
      <c r="E412" s="15" t="n">
        <v>90000</v>
      </c>
      <c r="F412" s="16">
        <f>C412*E412</f>
        <v/>
      </c>
      <c r="G412" s="17" t="inlineStr">
        <is>
          <t>Dev budget 209-1</t>
        </is>
      </c>
    </row>
    <row r="413">
      <c r="B413" s="12" t="inlineStr">
        <is>
          <t xml:space="preserve">      Special Projects Program</t>
        </is>
      </c>
      <c r="C413" s="13" t="n">
        <v>1</v>
      </c>
      <c r="D413" s="14" t="inlineStr">
        <is>
          <t>LS</t>
        </is>
      </c>
      <c r="E413" s="15" t="n">
        <v>50000</v>
      </c>
      <c r="F413" s="16">
        <f>C413*E413</f>
        <v/>
      </c>
      <c r="G413" s="17" t="inlineStr">
        <is>
          <t>Dev budget 209-2</t>
        </is>
      </c>
    </row>
    <row r="414">
      <c r="B414" s="12" t="inlineStr">
        <is>
          <t xml:space="preserve">      MEP &amp; misc permit fees</t>
        </is>
      </c>
      <c r="C414" s="13" t="n">
        <v>1</v>
      </c>
      <c r="D414" s="14" t="inlineStr">
        <is>
          <t>LS</t>
        </is>
      </c>
      <c r="E414" s="15" t="n">
        <v>10000</v>
      </c>
      <c r="F414" s="16">
        <f>C414*E414</f>
        <v/>
      </c>
      <c r="G414" s="17" t="inlineStr">
        <is>
          <t>Dev budget 209-2</t>
        </is>
      </c>
    </row>
    <row r="415">
      <c r="B415" s="12" t="inlineStr">
        <is>
          <t xml:space="preserve">      DOB structural (ST) permit filing &amp; expediting</t>
        </is>
      </c>
      <c r="C415" s="13" t="n">
        <v>1</v>
      </c>
      <c r="D415" s="14" t="inlineStr">
        <is>
          <t>LS</t>
        </is>
      </c>
      <c r="E415" s="15" t="n">
        <v>120000</v>
      </c>
      <c r="F415" s="16">
        <f>C415*E415</f>
        <v/>
      </c>
      <c r="G415" s="17" t="inlineStr">
        <is>
          <t>12-18 month approval — the other half of the moat</t>
        </is>
      </c>
    </row>
    <row r="416">
      <c r="B416" s="12" t="inlineStr">
        <is>
          <t xml:space="preserve">      FA consultant, filing &amp; inspection scheduling</t>
        </is>
      </c>
      <c r="C416" s="13" t="n">
        <v>1</v>
      </c>
      <c r="D416" s="14" t="inlineStr">
        <is>
          <t>LS</t>
        </is>
      </c>
      <c r="E416" s="15" t="n">
        <v>35000</v>
      </c>
      <c r="F416" s="16">
        <f>C416*E416</f>
        <v/>
      </c>
      <c r="G416" s="17" t="inlineStr">
        <is>
          <t>Dev budget 209-4</t>
        </is>
      </c>
    </row>
    <row r="417">
      <c r="B417" s="12" t="inlineStr">
        <is>
          <t xml:space="preserve">      Fire safety &amp; emergency action plan</t>
        </is>
      </c>
      <c r="C417" s="13" t="n">
        <v>1</v>
      </c>
      <c r="D417" s="14" t="inlineStr">
        <is>
          <t>LS</t>
        </is>
      </c>
      <c r="E417" s="15" t="n">
        <v>21500</v>
      </c>
      <c r="F417" s="16">
        <f>C417*E417</f>
        <v/>
      </c>
      <c r="G417" s="17" t="inlineStr">
        <is>
          <t>Dev budget 209-5</t>
        </is>
      </c>
    </row>
    <row r="418">
      <c r="B418" s="12" t="inlineStr">
        <is>
          <t xml:space="preserve">      Fire protection plan &amp; FDNY filing</t>
        </is>
      </c>
      <c r="C418" s="13" t="n">
        <v>1</v>
      </c>
      <c r="D418" s="14" t="inlineStr">
        <is>
          <t>LS</t>
        </is>
      </c>
      <c r="E418" s="15" t="n">
        <v>18500</v>
      </c>
      <c r="F418" s="16">
        <f>C418*E418</f>
        <v/>
      </c>
      <c r="G418" s="17" t="inlineStr">
        <is>
          <t>Dev budget 209-6</t>
        </is>
      </c>
    </row>
    <row r="419">
      <c r="B419" s="12" t="inlineStr">
        <is>
          <t xml:space="preserve">      Place of Assembly certificate</t>
        </is>
      </c>
      <c r="C419" s="13" t="n">
        <v>1</v>
      </c>
      <c r="D419" s="14" t="inlineStr">
        <is>
          <t>LS</t>
        </is>
      </c>
      <c r="E419" s="15" t="n">
        <v>25000</v>
      </c>
      <c r="F419" s="16">
        <f>C419*E419</f>
        <v/>
      </c>
      <c r="G419" s="17" t="inlineStr">
        <is>
          <t>CODE — required above a low occupant threshold</t>
        </is>
      </c>
    </row>
    <row r="420">
      <c r="B420" s="12" t="inlineStr">
        <is>
          <t xml:space="preserve">      Utility connection fees (Con Ed)</t>
        </is>
      </c>
      <c r="C420" s="13" t="n">
        <v>1</v>
      </c>
      <c r="D420" s="14" t="inlineStr">
        <is>
          <t>LS</t>
        </is>
      </c>
      <c r="E420" s="15" t="n">
        <v>50000</v>
      </c>
      <c r="F420" s="16">
        <f>C420*E420</f>
        <v/>
      </c>
      <c r="G420" s="17" t="inlineStr">
        <is>
          <t>Dev budget 210. The fee only</t>
        </is>
      </c>
    </row>
    <row r="421">
      <c r="B421" s="18" t="inlineStr">
        <is>
          <t xml:space="preserve">   Permits &amp; approvals — subtotal</t>
        </is>
      </c>
      <c r="C421" s="19" t="n"/>
      <c r="D421" s="19" t="n"/>
      <c r="E421" s="19" t="n"/>
      <c r="F421" s="20">
        <f>SUM(F412:F420)</f>
        <v/>
      </c>
      <c r="G421" s="19" t="n"/>
    </row>
    <row r="422">
      <c r="B422" s="10" t="inlineStr">
        <is>
          <t xml:space="preserve">   Legal &amp; licensing</t>
        </is>
      </c>
      <c r="C422" s="11" t="n"/>
      <c r="D422" s="11" t="n"/>
      <c r="E422" s="11" t="n"/>
      <c r="F422" s="11" t="n"/>
      <c r="G422" s="11" t="n"/>
    </row>
    <row r="423">
      <c r="B423" s="12" t="inlineStr">
        <is>
          <t xml:space="preserve">      SLA liquor licence — application &amp; counsel</t>
        </is>
      </c>
      <c r="C423" s="13" t="n">
        <v>1</v>
      </c>
      <c r="D423" s="14" t="inlineStr">
        <is>
          <t>LS</t>
        </is>
      </c>
      <c r="E423" s="15" t="n">
        <v>120000</v>
      </c>
      <c r="F423" s="16">
        <f>C423*E423</f>
        <v/>
      </c>
      <c r="G423" s="17" t="inlineStr">
        <is>
          <t>FT's liquor licence came in at $250,000 against a ZERO budget</t>
        </is>
      </c>
    </row>
    <row r="424">
      <c r="B424" s="12" t="inlineStr">
        <is>
          <t xml:space="preserve">      Cabaret licence / current equivalent</t>
        </is>
      </c>
      <c r="C424" s="13" t="n">
        <v>1</v>
      </c>
      <c r="D424" s="14" t="inlineStr">
        <is>
          <t>LS</t>
        </is>
      </c>
      <c r="E424" s="15" t="n">
        <v>45000</v>
      </c>
      <c r="F424" s="16">
        <f>C424*E424</f>
        <v/>
      </c>
      <c r="G424" s="17" t="inlineStr">
        <is>
          <t>VERIFY — NYC repealed the cabaret law in 2017. Confirm what applies today</t>
        </is>
      </c>
    </row>
    <row r="425">
      <c r="B425" s="12" t="inlineStr">
        <is>
          <t xml:space="preserve">      Theater use-classification filing &amp; counsel</t>
        </is>
      </c>
      <c r="C425" s="13" t="n">
        <v>1</v>
      </c>
      <c r="D425" s="14" t="inlineStr">
        <is>
          <t>LS</t>
        </is>
      </c>
      <c r="E425" s="15" t="n">
        <v>55000</v>
      </c>
      <c r="F425" s="16">
        <f>C425*E425</f>
        <v/>
      </c>
      <c r="G425" s="17" t="inlineStr">
        <is>
          <t>Carries both licences. Must be established at DOB filing</t>
        </is>
      </c>
    </row>
    <row r="426">
      <c r="B426" s="12" t="inlineStr">
        <is>
          <t xml:space="preserve">      Land use / zoning determination</t>
        </is>
      </c>
      <c r="C426" s="13" t="n">
        <v>1</v>
      </c>
      <c r="D426" s="14" t="inlineStr">
        <is>
          <t>LS</t>
        </is>
      </c>
      <c r="E426" s="15" t="n">
        <v>30000</v>
      </c>
      <c r="F426" s="16">
        <f>C426*E426</f>
        <v/>
      </c>
      <c r="G426" s="17" t="inlineStr">
        <is>
          <t>The as-of-right claim needs a written determination</t>
        </is>
      </c>
    </row>
    <row r="427">
      <c r="B427" s="18" t="inlineStr">
        <is>
          <t xml:space="preserve">   Legal &amp; licensing — subtotal</t>
        </is>
      </c>
      <c r="C427" s="19" t="n"/>
      <c r="D427" s="19" t="n"/>
      <c r="E427" s="19" t="n"/>
      <c r="F427" s="20">
        <f>SUM(F423:F426)</f>
        <v/>
      </c>
      <c r="G427" s="19" t="n"/>
    </row>
    <row r="428">
      <c r="B428" s="10" t="inlineStr">
        <is>
          <t xml:space="preserve">   Project management &amp; control</t>
        </is>
      </c>
      <c r="C428" s="11" t="n"/>
      <c r="D428" s="11" t="n"/>
      <c r="E428" s="11" t="n"/>
      <c r="F428" s="11" t="n"/>
      <c r="G428" s="11" t="n"/>
    </row>
    <row r="429">
      <c r="B429" s="12" t="inlineStr">
        <is>
          <t xml:space="preserve">      Project management — owner's team (Thomas + consultants)</t>
        </is>
      </c>
      <c r="C429" s="13" t="n">
        <v>1</v>
      </c>
      <c r="D429" s="14" t="inlineStr">
        <is>
          <t>LS</t>
        </is>
      </c>
      <c r="E429" s="15" t="n">
        <v>500000</v>
      </c>
      <c r="F429" s="16">
        <f>C429*E429</f>
        <v/>
      </c>
      <c r="G429" s="17" t="inlineStr">
        <is>
          <t>CUT TO $500,000 PER MT. WHO IT GOES TO: OUR OWN development team, not Live Nation. Carried against Thomas as project manager plus the outside consultants he runs. Live Nation is the programming / co-pro partner, NOT the developer — they do not staff this and they do not pay for it. At 1.1% of trade cost this is below the 2-4% norm, so it buys ONE full-time PM and a thin consultant bench, not an owner's-rep firm. Under-resourced owner PM is how change orders get approved unchallenged, so this is the line to watch, not the line to cut again</t>
        </is>
      </c>
    </row>
    <row r="430">
      <c r="B430" s="12" t="inlineStr">
        <is>
          <t xml:space="preserve">      Estimating services</t>
        </is>
      </c>
      <c r="C430" s="13" t="n">
        <v>1</v>
      </c>
      <c r="D430" s="14" t="inlineStr">
        <is>
          <t>LS</t>
        </is>
      </c>
      <c r="E430" s="15" t="n">
        <v>20000</v>
      </c>
      <c r="F430" s="16">
        <f>C430*E430</f>
        <v/>
      </c>
      <c r="G430" s="17" t="inlineStr">
        <is>
          <t>Dev budget 213-2</t>
        </is>
      </c>
    </row>
    <row r="431">
      <c r="B431" s="12" t="inlineStr">
        <is>
          <t xml:space="preserve">      Controlled &amp; special inspections</t>
        </is>
      </c>
      <c r="C431" s="13" t="n">
        <v>1</v>
      </c>
      <c r="D431" s="14" t="inlineStr">
        <is>
          <t>LS</t>
        </is>
      </c>
      <c r="E431" s="15" t="n">
        <v>140000</v>
      </c>
      <c r="F431" s="16">
        <f>C431*E431</f>
        <v/>
      </c>
      <c r="G431" s="17" t="inlineStr">
        <is>
          <t>Dev budget 212 carried $50,000</t>
        </is>
      </c>
    </row>
    <row r="432">
      <c r="B432" s="12" t="inlineStr">
        <is>
          <t xml:space="preserve">      Builder's risk &amp; GL insurance</t>
        </is>
      </c>
      <c r="C432" s="13" t="n">
        <v>1</v>
      </c>
      <c r="D432" s="14" t="inlineStr">
        <is>
          <t>LS</t>
        </is>
      </c>
      <c r="E432" s="15" t="n">
        <v>385000</v>
      </c>
      <c r="F432" s="16">
        <f>C432*E432</f>
        <v/>
      </c>
      <c r="G432" s="17" t="inlineStr">
        <is>
          <t>Not separately carried in the dev budget</t>
        </is>
      </c>
    </row>
    <row r="433">
      <c r="B433" s="18" t="inlineStr">
        <is>
          <t xml:space="preserve">   Project management &amp; control — subtotal</t>
        </is>
      </c>
      <c r="C433" s="19" t="n"/>
      <c r="D433" s="19" t="n"/>
      <c r="E433" s="19" t="n"/>
      <c r="F433" s="20">
        <f>SUM(F429:F432)</f>
        <v/>
      </c>
      <c r="G433" s="19" t="n"/>
    </row>
    <row r="434">
      <c r="B434" s="10" t="inlineStr">
        <is>
          <t xml:space="preserve">   Committed</t>
        </is>
      </c>
      <c r="C434" s="11" t="n"/>
      <c r="D434" s="11" t="n"/>
      <c r="E434" s="11" t="n"/>
      <c r="F434" s="11" t="n"/>
      <c r="G434" s="11" t="n"/>
    </row>
    <row r="435">
      <c r="B435" s="12" t="inlineStr">
        <is>
          <t xml:space="preserve">      Feasibility &amp; due diligence (spent)</t>
        </is>
      </c>
      <c r="C435" s="13" t="n">
        <v>1</v>
      </c>
      <c r="D435" s="14" t="inlineStr">
        <is>
          <t>LS</t>
        </is>
      </c>
      <c r="E435" s="15" t="n">
        <v>342000</v>
      </c>
      <c r="F435" s="16">
        <f>C435*E435</f>
        <v/>
      </c>
      <c r="G435" s="17" t="inlineStr">
        <is>
          <t>Dev budget 202. Already committed</t>
        </is>
      </c>
    </row>
    <row r="436">
      <c r="B436" s="18" t="inlineStr">
        <is>
          <t xml:space="preserve">   Committed — subtotal</t>
        </is>
      </c>
      <c r="C436" s="19" t="n"/>
      <c r="D436" s="19" t="n"/>
      <c r="E436" s="19" t="n"/>
      <c r="F436" s="20">
        <f>SUM(F435:F435)</f>
        <v/>
      </c>
      <c r="G436" s="19" t="n"/>
    </row>
    <row r="437">
      <c r="B437" s="21" t="inlineStr">
        <is>
          <t>700 — DIVISION TOTAL</t>
        </is>
      </c>
      <c r="C437" s="22" t="n"/>
      <c r="D437" s="22" t="n"/>
      <c r="E437" s="22" t="n"/>
      <c r="F437" s="23">
        <f>F403+F410+F421+F427+F433+F436</f>
        <v/>
      </c>
      <c r="G437" s="22" t="n"/>
    </row>
    <row r="439">
      <c r="B439" s="8" t="inlineStr">
        <is>
          <t>800   KITCHEN &amp; FOOD SERVICE — scope toggle at the top of the sheet</t>
        </is>
      </c>
      <c r="C439" s="9" t="n"/>
      <c r="D439" s="9" t="n"/>
      <c r="E439" s="9" t="n"/>
      <c r="F439" s="9" t="n"/>
      <c r="G439" s="9" t="n"/>
    </row>
    <row r="440">
      <c r="B440" s="10" t="inlineStr">
        <is>
          <t xml:space="preserve">   L0 · Base food service — you need this at ANY scope</t>
        </is>
      </c>
      <c r="C440" s="11" t="n"/>
      <c r="D440" s="11" t="n"/>
      <c r="E440" s="11" t="n"/>
      <c r="F440" s="11" t="n"/>
      <c r="G440" s="11" t="n"/>
    </row>
    <row r="441">
      <c r="B441" s="12" t="inlineStr">
        <is>
          <t xml:space="preserve">      Concession / grab-and-go service points, build-out</t>
        </is>
      </c>
      <c r="C441" s="13" t="n">
        <v>4</v>
      </c>
      <c r="D441" s="14" t="inlineStr">
        <is>
          <t>EA</t>
        </is>
      </c>
      <c r="E441" s="15" t="n">
        <v>22000</v>
      </c>
      <c r="F441" s="16">
        <f>C441*E441</f>
        <v/>
      </c>
      <c r="G441" s="17" t="inlineStr">
        <is>
          <t>Four service points off the lobby and the mezzanine. Needed even if you never cook anything on site</t>
        </is>
      </c>
    </row>
    <row r="442">
      <c r="B442" s="12" t="inlineStr">
        <is>
          <t xml:space="preserve">      Reach-in refrigeration at service points</t>
        </is>
      </c>
      <c r="C442" s="13" t="n">
        <v>8</v>
      </c>
      <c r="D442" s="14" t="inlineStr">
        <is>
          <t>EA</t>
        </is>
      </c>
      <c r="E442" s="15" t="n">
        <v>4200</v>
      </c>
      <c r="F442" s="16">
        <f>C442*E442</f>
        <v/>
      </c>
      <c r="G442" s="17" t="inlineStr"/>
    </row>
    <row r="443">
      <c r="B443" s="12" t="inlineStr">
        <is>
          <t xml:space="preserve">      Power &amp; water to service points</t>
        </is>
      </c>
      <c r="C443" s="13" t="n">
        <v>1</v>
      </c>
      <c r="D443" s="14" t="inlineStr">
        <is>
          <t>LS</t>
        </is>
      </c>
      <c r="E443" s="15" t="n">
        <v>38000</v>
      </c>
      <c r="F443" s="16">
        <f>C443*E443</f>
        <v/>
      </c>
      <c r="G443" s="17" t="inlineStr"/>
    </row>
    <row r="444">
      <c r="B444" s="12" t="inlineStr">
        <is>
          <t xml:space="preserve">      Hand sinks &amp; DOH compliance at service points</t>
        </is>
      </c>
      <c r="C444" s="13" t="n">
        <v>6</v>
      </c>
      <c r="D444" s="14" t="inlineStr">
        <is>
          <t>EA</t>
        </is>
      </c>
      <c r="E444" s="15" t="n">
        <v>3800</v>
      </c>
      <c r="F444" s="16">
        <f>C444*E444</f>
        <v/>
      </c>
      <c r="G444" s="17" t="inlineStr">
        <is>
          <t>CODE. DOH requires a hand sink within reach of every food-handling station, whatever the food is</t>
        </is>
      </c>
    </row>
    <row r="445">
      <c r="B445" s="18" t="inlineStr">
        <is>
          <t xml:space="preserve">   L0 · Base food service — you need this at ANY scope — subtotal</t>
        </is>
      </c>
      <c r="C445" s="19" t="n"/>
      <c r="D445" s="19" t="n"/>
      <c r="E445" s="19" t="n"/>
      <c r="F445" s="20">
        <f>IF($E$13&gt;=0,SUM(F441:F444),0)</f>
        <v/>
      </c>
      <c r="G445" s="25" t="inlineStr">
        <is>
          <t>Included only when the kitchen scope toggle is 0 or higher.</t>
        </is>
      </c>
    </row>
    <row r="446">
      <c r="B446" s="10" t="inlineStr">
        <is>
          <t xml:space="preserve">   L1 · Warming / finishing kitchen — adds to L0</t>
        </is>
      </c>
      <c r="C446" s="11" t="n"/>
      <c r="D446" s="11" t="n"/>
      <c r="E446" s="11" t="n"/>
      <c r="F446" s="11" t="n"/>
      <c r="G446" s="11" t="n"/>
    </row>
    <row r="447">
      <c r="B447" s="12" t="inlineStr">
        <is>
          <t xml:space="preserve">      Quarry tile floor &amp; coved base</t>
        </is>
      </c>
      <c r="C447" s="13" t="n">
        <v>1400</v>
      </c>
      <c r="D447" s="14" t="inlineStr">
        <is>
          <t>SF</t>
        </is>
      </c>
      <c r="E447" s="15" t="n">
        <v>22</v>
      </c>
      <c r="F447" s="16">
        <f>C447*E447</f>
        <v/>
      </c>
      <c r="G447" s="17" t="inlineStr">
        <is>
          <t>CODE. DOH requires a hard, non-absorbent, coved floor in any food prep area</t>
        </is>
      </c>
    </row>
    <row r="448">
      <c r="B448" s="12" t="inlineStr">
        <is>
          <t xml:space="preserve">      FRP wall panels at prep areas</t>
        </is>
      </c>
      <c r="C448" s="13" t="n">
        <v>1200</v>
      </c>
      <c r="D448" s="14" t="inlineStr">
        <is>
          <t>SF</t>
        </is>
      </c>
      <c r="E448" s="15" t="n">
        <v>15</v>
      </c>
      <c r="F448" s="16">
        <f>C448*E448</f>
        <v/>
      </c>
      <c r="G448" s="17" t="inlineStr">
        <is>
          <t>Dev budget 092000-9 rate. MOVED HERE from division 400</t>
        </is>
      </c>
    </row>
    <row r="449">
      <c r="B449" s="12" t="inlineStr">
        <is>
          <t xml:space="preserve">      Washable ceiling</t>
        </is>
      </c>
      <c r="C449" s="13" t="n">
        <v>1400</v>
      </c>
      <c r="D449" s="14" t="inlineStr">
        <is>
          <t>SF</t>
        </is>
      </c>
      <c r="E449" s="15" t="n">
        <v>9</v>
      </c>
      <c r="F449" s="16">
        <f>C449*E449</f>
        <v/>
      </c>
      <c r="G449" s="17" t="inlineStr">
        <is>
          <t>CODE</t>
        </is>
      </c>
    </row>
    <row r="450">
      <c r="B450" s="12" t="inlineStr">
        <is>
          <t xml:space="preserve">      Type II exhaust hood, non-grease</t>
        </is>
      </c>
      <c r="C450" s="13" t="n">
        <v>20</v>
      </c>
      <c r="D450" s="14" t="inlineStr">
        <is>
          <t>LF</t>
        </is>
      </c>
      <c r="E450" s="15" t="n">
        <v>1400</v>
      </c>
      <c r="F450" s="16">
        <f>C450*E450</f>
        <v/>
      </c>
      <c r="G450" s="17" t="inlineStr">
        <is>
          <t>Type II is the cheap hood. It only works if you are NOT frying, grilling or char-broiling</t>
        </is>
      </c>
    </row>
    <row r="451">
      <c r="B451" s="12" t="inlineStr">
        <is>
          <t xml:space="preserve">      Make-up air unit</t>
        </is>
      </c>
      <c r="C451" s="13" t="n">
        <v>1</v>
      </c>
      <c r="D451" s="14" t="inlineStr">
        <is>
          <t>LS</t>
        </is>
      </c>
      <c r="E451" s="15" t="n">
        <v>42000</v>
      </c>
      <c r="F451" s="16">
        <f>C451*E451</f>
        <v/>
      </c>
      <c r="G451" s="17" t="inlineStr">
        <is>
          <t>A hood pulls air out of the room. You have to put it back or the room goes negative and the doors will not open</t>
        </is>
      </c>
    </row>
    <row r="452">
      <c r="B452" s="12" t="inlineStr">
        <is>
          <t xml:space="preserve">      Kitchen exhaust duct, shaft &amp; roof penetration</t>
        </is>
      </c>
      <c r="C452" s="13" t="n">
        <v>1</v>
      </c>
      <c r="D452" s="14" t="inlineStr">
        <is>
          <t>LS</t>
        </is>
      </c>
      <c r="E452" s="15" t="n">
        <v>70000</v>
      </c>
      <c r="F452" s="16">
        <f>C452*E452</f>
        <v/>
      </c>
      <c r="G452" s="17" t="inlineStr">
        <is>
          <t>MOVED HERE from division 500</t>
        </is>
      </c>
    </row>
    <row r="453">
      <c r="B453" s="12" t="inlineStr">
        <is>
          <t xml:space="preserve">      Kitchen plumbing rough-in</t>
        </is>
      </c>
      <c r="C453" s="13" t="n">
        <v>1</v>
      </c>
      <c r="D453" s="14" t="inlineStr">
        <is>
          <t>LS</t>
        </is>
      </c>
      <c r="E453" s="15" t="n">
        <v>78000</v>
      </c>
      <c r="F453" s="16">
        <f>C453*E453</f>
        <v/>
      </c>
      <c r="G453" s="17" t="inlineStr">
        <is>
          <t>Dev budget 220000-15 was $135,000 for a FULL kitchen at qty 0. Warming scope is less</t>
        </is>
      </c>
    </row>
    <row r="454">
      <c r="B454" s="12" t="inlineStr">
        <is>
          <t xml:space="preserve">      Dedicated power to equipment</t>
        </is>
      </c>
      <c r="C454" s="13" t="n">
        <v>1400</v>
      </c>
      <c r="D454" s="14" t="inlineStr">
        <is>
          <t>SF</t>
        </is>
      </c>
      <c r="E454" s="15" t="n">
        <v>35</v>
      </c>
      <c r="F454" s="16">
        <f>C454*E454</f>
        <v/>
      </c>
      <c r="G454" s="17" t="inlineStr">
        <is>
          <t>Dev budget 260000-8 rate, QTY 0</t>
        </is>
      </c>
    </row>
    <row r="455">
      <c r="B455" s="12" t="inlineStr">
        <is>
          <t xml:space="preserve">      Walk-in cooler, kitchen</t>
        </is>
      </c>
      <c r="C455" s="13" t="n">
        <v>1</v>
      </c>
      <c r="D455" s="14" t="inlineStr">
        <is>
          <t>EA</t>
        </is>
      </c>
      <c r="E455" s="15" t="n">
        <v>42000</v>
      </c>
      <c r="F455" s="16">
        <f>C455*E455</f>
        <v/>
      </c>
      <c r="G455" s="17" t="inlineStr">
        <is>
          <t>Separate from the two BAR walk-ins already carried in division 600</t>
        </is>
      </c>
    </row>
    <row r="456">
      <c r="B456" s="12" t="inlineStr">
        <is>
          <t xml:space="preserve">      Warming &amp; finishing equipment: combis, holding cabinets, prep</t>
        </is>
      </c>
      <c r="C456" s="13" t="n">
        <v>1</v>
      </c>
      <c r="D456" s="14" t="inlineStr">
        <is>
          <t>LS</t>
        </is>
      </c>
      <c r="E456" s="15" t="n">
        <v>165000</v>
      </c>
      <c r="F456" s="16">
        <f>C456*E456</f>
        <v/>
      </c>
      <c r="G456" s="17" t="inlineStr"/>
    </row>
    <row r="457">
      <c r="B457" s="12" t="inlineStr">
        <is>
          <t xml:space="preserve">      DOH &amp; DOB kitchen filings</t>
        </is>
      </c>
      <c r="C457" s="13" t="n">
        <v>1</v>
      </c>
      <c r="D457" s="14" t="inlineStr">
        <is>
          <t>LS</t>
        </is>
      </c>
      <c r="E457" s="15" t="n">
        <v>35000</v>
      </c>
      <c r="F457" s="16">
        <f>C457*E457</f>
        <v/>
      </c>
      <c r="G457" s="17" t="inlineStr">
        <is>
          <t>CODE. A food service establishment is its own permit track</t>
        </is>
      </c>
    </row>
    <row r="458">
      <c r="B458" s="18" t="inlineStr">
        <is>
          <t xml:space="preserve">   L1 · Warming / finishing kitchen — adds to L0 — subtotal</t>
        </is>
      </c>
      <c r="C458" s="19" t="n"/>
      <c r="D458" s="19" t="n"/>
      <c r="E458" s="19" t="n"/>
      <c r="F458" s="20">
        <f>IF($E$13&gt;=1,SUM(F447:F457),0)</f>
        <v/>
      </c>
      <c r="G458" s="25" t="inlineStr">
        <is>
          <t>Included only when the kitchen scope toggle is 1 or higher.</t>
        </is>
      </c>
    </row>
    <row r="459">
      <c r="B459" s="10" t="inlineStr">
        <is>
          <t xml:space="preserve">   L2 · Full production kitchen — adds to L1</t>
        </is>
      </c>
      <c r="C459" s="11" t="n"/>
      <c r="D459" s="11" t="n"/>
      <c r="E459" s="11" t="n"/>
      <c r="F459" s="11" t="n"/>
      <c r="G459" s="11" t="n"/>
    </row>
    <row r="460">
      <c r="B460" s="12" t="inlineStr">
        <is>
          <t xml:space="preserve">      Floor, wall &amp; ceiling at the larger footprint</t>
        </is>
      </c>
      <c r="C460" s="13" t="n">
        <v>1600</v>
      </c>
      <c r="D460" s="14" t="inlineStr">
        <is>
          <t>SF</t>
        </is>
      </c>
      <c r="E460" s="15" t="n">
        <v>40</v>
      </c>
      <c r="F460" s="16">
        <f>C460*E460</f>
        <v/>
      </c>
      <c r="G460" s="17" t="inlineStr">
        <is>
          <t>A production kitchen is roughly 3,000 SF against 1,400 for warming</t>
        </is>
      </c>
    </row>
    <row r="461">
      <c r="B461" s="12" t="inlineStr">
        <is>
          <t xml:space="preserve">      Upgrade Type II to Type I grease hood incl. larger make-up air</t>
        </is>
      </c>
      <c r="C461" s="13" t="n">
        <v>1</v>
      </c>
      <c r="D461" s="14" t="inlineStr">
        <is>
          <t>LS</t>
        </is>
      </c>
      <c r="E461" s="15" t="n">
        <v>118000</v>
      </c>
      <c r="F461" s="16">
        <f>C461*E461</f>
        <v/>
      </c>
      <c r="G461" s="17" t="inlineStr">
        <is>
          <t>CODE. The moment you fry, grill or char-broil you need a Type I grease hood. This is the single decision that drives the whole cost</t>
        </is>
      </c>
    </row>
    <row r="462">
      <c r="B462" s="12" t="inlineStr">
        <is>
          <t xml:space="preserve">      Hood fire suppression, wet chemical</t>
        </is>
      </c>
      <c r="C462" s="13" t="n">
        <v>1</v>
      </c>
      <c r="D462" s="14" t="inlineStr">
        <is>
          <t>LS</t>
        </is>
      </c>
      <c r="E462" s="15" t="n">
        <v>34000</v>
      </c>
      <c r="F462" s="16">
        <f>C462*E462</f>
        <v/>
      </c>
      <c r="G462" s="17" t="inlineStr">
        <is>
          <t>CODE. Follows the Type I hood, no exceptions. 40 LF at $850</t>
        </is>
      </c>
    </row>
    <row r="463">
      <c r="B463" s="12" t="inlineStr">
        <is>
          <t xml:space="preserve">      Grease interceptor, 1,500 gal, cut into slab</t>
        </is>
      </c>
      <c r="C463" s="13" t="n">
        <v>1</v>
      </c>
      <c r="D463" s="14" t="inlineStr">
        <is>
          <t>LS</t>
        </is>
      </c>
      <c r="E463" s="15" t="n">
        <v>85000</v>
      </c>
      <c r="F463" s="16">
        <f>C463*E463</f>
        <v/>
      </c>
      <c r="G463" s="17" t="inlineStr">
        <is>
          <t>CODE. DEP requires it. Cutting it into an existing slab is the expensive part</t>
        </is>
      </c>
    </row>
    <row r="464">
      <c r="B464" s="12" t="inlineStr">
        <is>
          <t xml:space="preserve">      Gas service &amp; piping to equipment</t>
        </is>
      </c>
      <c r="C464" s="13" t="n">
        <v>1</v>
      </c>
      <c r="D464" s="14" t="inlineStr">
        <is>
          <t>LS</t>
        </is>
      </c>
      <c r="E464" s="15" t="n">
        <v>175000</v>
      </c>
      <c r="F464" s="16">
        <f>C464*E464</f>
        <v/>
      </c>
      <c r="G464" s="17" t="inlineStr">
        <is>
          <t>Dev budget 220000-18 carried $55,000 of piping at qty 0 and no gas SERVICE at all. If the building has no adequate gas service, National Grid is a separate application with its own lead time</t>
        </is>
      </c>
    </row>
    <row r="465">
      <c r="B465" s="12" t="inlineStr">
        <is>
          <t xml:space="preserve">      Additional dedicated power</t>
        </is>
      </c>
      <c r="C465" s="13" t="n">
        <v>1600</v>
      </c>
      <c r="D465" s="14" t="inlineStr">
        <is>
          <t>SF</t>
        </is>
      </c>
      <c r="E465" s="15" t="n">
        <v>35</v>
      </c>
      <c r="F465" s="16">
        <f>C465*E465</f>
        <v/>
      </c>
      <c r="G465" s="17" t="inlineStr"/>
    </row>
    <row r="466">
      <c r="B466" s="12" t="inlineStr">
        <is>
          <t xml:space="preserve">      Walk-in freezer</t>
        </is>
      </c>
      <c r="C466" s="13" t="n">
        <v>1</v>
      </c>
      <c r="D466" s="14" t="inlineStr">
        <is>
          <t>EA</t>
        </is>
      </c>
      <c r="E466" s="15" t="n">
        <v>43000</v>
      </c>
      <c r="F466" s="16">
        <f>C466*E466</f>
        <v/>
      </c>
      <c r="G466" s="17" t="inlineStr"/>
    </row>
    <row r="467">
      <c r="B467" s="12" t="inlineStr">
        <is>
          <t xml:space="preserve">      Production equipment: hot line, cold line, ovens, fryers, dish machine</t>
        </is>
      </c>
      <c r="C467" s="13" t="n">
        <v>1</v>
      </c>
      <c r="D467" s="14" t="inlineStr">
        <is>
          <t>LS</t>
        </is>
      </c>
      <c r="E467" s="15" t="n">
        <v>360000</v>
      </c>
      <c r="F467" s="16">
        <f>C467*E467</f>
        <v/>
      </c>
      <c r="G467" s="17" t="inlineStr">
        <is>
          <t>Dev budget 114000 listed this BY OWNER and never priced it</t>
        </is>
      </c>
    </row>
    <row r="468">
      <c r="B468" s="12" t="inlineStr">
        <is>
          <t xml:space="preserve">      Smallwares &amp; opening stock</t>
        </is>
      </c>
      <c r="C468" s="13" t="n">
        <v>1</v>
      </c>
      <c r="D468" s="14" t="inlineStr">
        <is>
          <t>LS</t>
        </is>
      </c>
      <c r="E468" s="15" t="n">
        <v>45000</v>
      </c>
      <c r="F468" s="16">
        <f>C468*E468</f>
        <v/>
      </c>
      <c r="G468" s="17" t="inlineStr"/>
    </row>
    <row r="469">
      <c r="B469" s="12" t="inlineStr">
        <is>
          <t xml:space="preserve">      Roof platform &amp; grease-duct cleaning access</t>
        </is>
      </c>
      <c r="C469" s="13" t="n">
        <v>1</v>
      </c>
      <c r="D469" s="14" t="inlineStr">
        <is>
          <t>LS</t>
        </is>
      </c>
      <c r="E469" s="15" t="n">
        <v>18000</v>
      </c>
      <c r="F469" s="16">
        <f>C469*E469</f>
        <v/>
      </c>
      <c r="G469" s="17" t="inlineStr">
        <is>
          <t>CODE. Grease ducts must be cleanable</t>
        </is>
      </c>
    </row>
    <row r="470">
      <c r="B470" s="18" t="inlineStr">
        <is>
          <t xml:space="preserve">   L2 · Full production kitchen — adds to L1 — subtotal</t>
        </is>
      </c>
      <c r="C470" s="19" t="n"/>
      <c r="D470" s="19" t="n"/>
      <c r="E470" s="19" t="n"/>
      <c r="F470" s="20">
        <f>IF($E$13&gt;=2,SUM(F460:F469),0)</f>
        <v/>
      </c>
      <c r="G470" s="25" t="inlineStr">
        <is>
          <t>Included only when the kitchen scope toggle is 2 or higher.</t>
        </is>
      </c>
    </row>
    <row r="471">
      <c r="B471" s="21" t="inlineStr">
        <is>
          <t>800 — DIVISION TOTAL</t>
        </is>
      </c>
      <c r="C471" s="22" t="n"/>
      <c r="D471" s="22" t="n"/>
      <c r="E471" s="22" t="n"/>
      <c r="F471" s="23">
        <f>F445+F458+F470</f>
        <v/>
      </c>
      <c r="G471" s="22" t="n"/>
    </row>
    <row r="473">
      <c r="B473" s="26" t="inlineStr">
        <is>
          <t>TRADE COST — divisions 000-500 plus 800 (kitchen)</t>
        </is>
      </c>
      <c r="C473" s="22" t="n"/>
      <c r="D473" s="22" t="n"/>
      <c r="E473" s="22" t="n"/>
      <c r="F473" s="27">
        <f>F61+F107+F152+F178+F255+F331+F471</f>
        <v/>
      </c>
      <c r="G473" s="22" t="n"/>
    </row>
    <row r="474">
      <c r="D474" s="3" t="inlineStr">
        <is>
          <t>Everything above this line is WORK. Everything below it is markup, reserve, equipment and fees.</t>
        </is>
      </c>
    </row>
    <row r="476">
      <c r="B476" s="2" t="inlineStr">
        <is>
          <t>BELOW THE LINE — separate costs</t>
        </is>
      </c>
    </row>
    <row r="477">
      <c r="D477" s="3" t="inlineStr">
        <is>
          <t>Each rate below is applied to TRADE COST only. They do not compound on each other.</t>
        </is>
      </c>
    </row>
    <row r="478">
      <c r="B478" s="28" t="inlineStr">
        <is>
          <t>Escalation</t>
        </is>
      </c>
      <c r="C478" s="29" t="n"/>
      <c r="D478" s="3" t="inlineStr">
        <is>
          <t>% of trade cost</t>
        </is>
      </c>
      <c r="E478" s="30" t="n">
        <v>0.1</v>
      </c>
      <c r="F478" s="16">
        <f>F473*E478</f>
        <v/>
      </c>
      <c r="G478" s="29" t="n"/>
    </row>
    <row r="479">
      <c r="B479" s="28" t="inlineStr">
        <is>
          <t>General conditions</t>
        </is>
      </c>
      <c r="C479" s="29" t="n"/>
      <c r="D479" s="3" t="inlineStr">
        <is>
          <t>% of trade cost</t>
        </is>
      </c>
      <c r="E479" s="30" t="n">
        <v>0.08500000000000001</v>
      </c>
      <c r="F479" s="16">
        <f>IF($E$12=1,F473*E479,'Thomas Reconciliation'!$G$5)</f>
        <v/>
      </c>
      <c r="G479" s="31" t="inlineStr">
        <is>
          <t>WAS 11%. CUT TO 8.5% ON EVIDENCE — Schimenti Construction priced general conditions at 7.80% and 8.90% on Eric Cohen’s two 555 Johnson schemes, open shop, same submarket. See the Diligence Review sheet. Also switches to his own line items with the toggle at the top of this sheet.</t>
        </is>
      </c>
    </row>
    <row r="480">
      <c r="B480" s="28" t="inlineStr">
        <is>
          <t>Overhead, profit &amp; insurance</t>
        </is>
      </c>
      <c r="C480" s="29" t="n"/>
      <c r="D480" s="3" t="inlineStr">
        <is>
          <t>% of trade cost</t>
        </is>
      </c>
      <c r="E480" s="30" t="n">
        <v>0.09</v>
      </c>
      <c r="F480" s="16">
        <f>F473*E480</f>
        <v/>
      </c>
      <c r="G480" s="29" t="n"/>
    </row>
    <row r="481">
      <c r="B481" s="32" t="inlineStr">
        <is>
          <t>Markups — subtotal</t>
        </is>
      </c>
      <c r="C481" s="22" t="n"/>
      <c r="D481" s="22" t="n"/>
      <c r="E481" s="22" t="n"/>
      <c r="F481" s="33">
        <f>F478+F479+F480</f>
        <v/>
      </c>
      <c r="G481" s="22" t="n"/>
    </row>
    <row r="483">
      <c r="B483" s="32" t="inlineStr">
        <is>
          <t>CONSTRUCTION COST — trade + markups</t>
        </is>
      </c>
      <c r="C483" s="22" t="n"/>
      <c r="D483" s="22" t="n"/>
      <c r="E483" s="22" t="n"/>
      <c r="F483" s="33">
        <f>F473+F481</f>
        <v/>
      </c>
      <c r="G483" s="22" t="n"/>
    </row>
    <row r="485">
      <c r="B485" s="28" t="inlineStr">
        <is>
          <t>CONTINGENCY</t>
        </is>
      </c>
      <c r="C485" s="29" t="n"/>
      <c r="D485" s="31" t="inlineStr">
        <is>
          <t>single pot — edit the yellow cell</t>
        </is>
      </c>
      <c r="E485" s="29" t="n"/>
      <c r="F485" s="34" t="n">
        <v>5000000</v>
      </c>
    </row>
    <row r="486">
      <c r="D486" s="3" t="inlineStr">
        <is>
          <t>ONE contingency, not two. Replaces the old contractor contingency and owner contingency, which stacked.</t>
        </is>
      </c>
    </row>
    <row r="487">
      <c r="B487" s="4" t="inlineStr">
        <is>
          <t>THOMAS’S LINES TOGGLED ON</t>
        </is>
      </c>
      <c r="D487" s="3" t="inlineStr">
        <is>
          <t>from the reconciliation sheet</t>
        </is>
      </c>
      <c r="F487" s="35">
        <f>'Thomas Reconciliation'!$G$6</f>
        <v/>
      </c>
      <c r="G487" s="3" t="inlineStr">
        <is>
          <t>Every one of his 199 lines is listed on the Thomas Reconciliation sheet with an on/off toggle. Default OFF where we already carry the scope, so nothing is double counted. Flip one ON to buy it at HIS price.</t>
        </is>
      </c>
    </row>
    <row r="488">
      <c r="B488" s="4" t="inlineStr">
        <is>
          <t>FF&amp;E — division 600</t>
        </is>
      </c>
      <c r="F488" s="35">
        <f>F387</f>
        <v/>
      </c>
    </row>
    <row r="489">
      <c r="B489" s="4" t="inlineStr">
        <is>
          <t>SOFT COSTS — division 700</t>
        </is>
      </c>
      <c r="F489" s="35">
        <f>F437</f>
        <v/>
      </c>
    </row>
    <row r="491">
      <c r="B491" s="36" t="inlineStr">
        <is>
          <t>TOTAL DEVELOPMENT COST</t>
        </is>
      </c>
      <c r="C491" s="22" t="n"/>
      <c r="D491" s="22" t="n"/>
      <c r="E491" s="22" t="n"/>
      <c r="F491" s="37">
        <f>F473+F481+F485+F487+F387+F437</f>
        <v/>
      </c>
      <c r="G491" s="22" t="n"/>
    </row>
    <row r="493">
      <c r="B493" s="4" t="inlineStr">
        <is>
          <t>Cost per SF (74,100)</t>
        </is>
      </c>
      <c r="F493" s="38">
        <f>F491/$E$6</f>
        <v/>
      </c>
    </row>
    <row r="494">
      <c r="B494" s="4" t="inlineStr">
        <is>
          <t>Cost per capacity unit</t>
        </is>
      </c>
      <c r="F494" s="38">
        <f>F491/$E$11</f>
        <v/>
      </c>
    </row>
    <row r="495">
      <c r="B495" s="4" t="inlineStr">
        <is>
          <t>Contingency as % of construction cost</t>
        </is>
      </c>
      <c r="F495" s="39">
        <f>F485/F483</f>
        <v/>
      </c>
    </row>
  </sheetData>
  <autoFilter ref="B12:G473"/>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85"/>
  <sheetViews>
    <sheetView workbookViewId="0">
      <selection activeCell="A1" sqref="A1"/>
    </sheetView>
  </sheetViews>
  <sheetFormatPr baseColWidth="8" defaultRowHeight="15"/>
  <cols>
    <col width="3" customWidth="1" min="1" max="1"/>
    <col width="30" customWidth="1" min="2" max="2"/>
    <col width="52" customWidth="1" min="3" max="3"/>
    <col width="30" customWidth="1" min="4" max="4"/>
    <col width="52" customWidth="1" min="5" max="5"/>
    <col width="52" customWidth="1" min="6" max="6"/>
  </cols>
  <sheetData>
    <row r="2">
      <c r="B2" s="1" t="inlineStr">
        <is>
          <t>DILIGENCE REVIEW</t>
        </is>
      </c>
    </row>
    <row r="3">
      <c r="B3" s="3" t="inlineStr">
        <is>
          <t>The 165 Randolph diligence folder, 26 files, uploaded 10 September 2026 — read against this budget.</t>
        </is>
      </c>
    </row>
    <row r="5" ht="62" customHeight="1">
      <c r="B5" s="40" t="inlineStr">
        <is>
          <t>THE HEADLINE. Two files in the folder are readable cost documents, and they are the best third-party evidence in the whole exercise: Schimenti Construction’s conceptual budgets for 555 Johnson Avenue, addressed to Eric Cohen at EBC Capital. Our own landlord, the next block over, open-shop labour, priced by a real NYC general contractor. That gives us actual percentages to hold our estimator against instead of my benchmarks. It moved general conditions from 11% to 8.5%. Everything else in the folder is a scanned drawing, a CAD plot or a custom-font PDF with no recoverable text — the inventory at the bottom says which is which, and which unread files are worth someone opening by hand.</t>
        </is>
      </c>
    </row>
    <row r="7">
      <c r="B7" s="2" t="inlineStr">
        <is>
          <t>FINDINGS</t>
        </is>
      </c>
    </row>
    <row r="8">
      <c r="B8" s="7" t="inlineStr">
        <is>
          <t>Finding</t>
        </is>
      </c>
      <c r="C8" s="7" t="inlineStr">
        <is>
          <t>What the diligence says</t>
        </is>
      </c>
      <c r="D8" s="7" t="inlineStr">
        <is>
          <t>What we carried</t>
        </is>
      </c>
      <c r="E8" s="7" t="inlineStr">
        <is>
          <t>So what</t>
        </is>
      </c>
      <c r="F8" s="7" t="inlineStr">
        <is>
          <t>Action</t>
        </is>
      </c>
    </row>
    <row r="9" ht="57.59999999999999" customHeight="1">
      <c r="B9" s="41" t="inlineStr">
        <is>
          <t>GENERAL CONDITIONS IS THE ONE HARD NUMBER WE NOW HAVE</t>
        </is>
      </c>
      <c r="C9" s="12" t="inlineStr">
        <is>
          <t>Schimenti priced general conditions at $2,198,000 on a $28,165,000 construction subtotal = 7.80% on the full 555 Johnson scheme, and $989,100 on $11,110,174 = 8.90% on the partial-reuse option. Both open shop, both for Eric Cohen, both in this submarket.</t>
        </is>
      </c>
      <c r="D9" s="12" t="inlineStr">
        <is>
          <t>11.0%, which was my own benchmark rather than a quote.</t>
        </is>
      </c>
      <c r="E9" s="12" t="inlineStr">
        <is>
          <t>Two real data points from our own landlord's general contractor average 8.35%. My 11% was too high. Changed to 8.5%.</t>
        </is>
      </c>
      <c r="F9" s="42" t="inlineStr">
        <is>
          <t>APPLIED — rate moved from 11% to 8.5%. Worth $954,153 at the current trade cost. Push the estimator to justify anything above 8.5% with a staffing chart and a duration, not a percentage.</t>
        </is>
      </c>
    </row>
    <row r="10" ht="56" customHeight="1">
      <c r="B10" s="41" t="inlineStr">
        <is>
          <t>OVERHEAD, PROFIT &amp; INSURANCE IS ABOUT RIGHT — DO NOT CUT IT</t>
        </is>
      </c>
      <c r="C10" s="12" t="inlineStr">
        <is>
          <t>Schimenti's insurance/fees/bonds line is 7.11% (full) and 8.98% (partial reuse). CRITICALLY, both lines say 'Construction Contingency — Excluded' and 'Builder's Risk Insurance — Excluded'.</t>
        </is>
      </c>
      <c r="D10" s="12" t="inlineStr">
        <is>
          <t>9.0%, described as including insurance.</t>
        </is>
      </c>
      <c r="E10" s="12" t="inlineStr">
        <is>
          <t>Comparing like with like, 9% including builder's risk against ~8% excluding it is consistent. This rate is NOT the soft one. The soft one was general conditions.</t>
        </is>
      </c>
      <c r="F10" s="12" t="inlineStr">
        <is>
          <t>NO CHANGE. Stop arguing about this line and spend the leverage on general conditions and the roof.</t>
        </is>
      </c>
    </row>
    <row r="11" ht="56" customHeight="1">
      <c r="B11" s="41" t="inlineStr">
        <is>
          <t>CONTINGENCY BELONGS TO YOU, NOT THE CONTRACTOR — CONFIRMED</t>
        </is>
      </c>
      <c r="C11" s="12" t="inlineStr">
        <is>
          <t>Schimenti explicitly EXCLUDES construction contingency from both budgets.</t>
        </is>
      </c>
      <c r="D11" s="12" t="inlineStr">
        <is>
          <t>One $5,000,000 owner-held contingency below the line.</t>
        </is>
      </c>
      <c r="E11" s="12" t="inlineStr">
        <is>
          <t>A real NYC GC pricing for your own landlord excluded contractor contingency entirely. The restructure you asked for matches how this market actually quotes.</t>
        </is>
      </c>
      <c r="F11" s="12" t="inlineStr">
        <is>
          <t>NO CHANGE — this validates the structure. If our estimator insists on a 10% contractor contingency he holds and keeps, ask him why Schimenti didn't.</t>
        </is>
      </c>
    </row>
    <row r="12" ht="56" customHeight="1">
      <c r="B12" s="41" t="inlineStr">
        <is>
          <t>THE 135,953 SF ERROR HAS A TRACEABLE ORIGIN</t>
        </is>
      </c>
      <c r="C12" s="12" t="inlineStr">
        <is>
          <t>555 Johnson is ~135,000 SF: $28,165,000 divided by $208.63/SF = 134,993 SF.</t>
        </is>
      </c>
      <c r="D12" s="12" t="inlineStr">
        <is>
          <t>Thomas's Master Development Budget header states SF: 135,953. The building is 74,100 SF.</t>
        </is>
      </c>
      <c r="E12" s="12" t="inlineStr">
        <is>
          <t>The wrong area almost certainly came across from the 555 Johnson job. It is not a typo, it is a template carried over from a different building on the next block.</t>
        </is>
      </c>
      <c r="F12" s="12" t="inlineStr">
        <is>
          <t>ASK. This makes the correction much easier to land: you are not telling him he cannot count, you are showing him which file it came from. Every SF-driven line in his schedule needs re-running at 74,100.</t>
        </is>
      </c>
    </row>
    <row r="13" ht="56" customHeight="1">
      <c r="B13" s="41" t="inlineStr">
        <is>
          <t>OPEN SHOP IS THE NORM ON ERIC'S PROJECTS</t>
        </is>
      </c>
      <c r="C13" s="12" t="inlineStr">
        <is>
          <t>Schimenti qualification 1.1: 'Labor Type — Open Shop'. Work hours 7am-3:30pm, single shift. A NYC licensed superintendent is required.</t>
        </is>
      </c>
      <c r="D13" s="12" t="inlineStr">
        <is>
          <t>The Rooflifters 2022 rate card, whose union status we flagged as unknown.</t>
        </is>
      </c>
      <c r="E13" s="12" t="inlineStr">
        <is>
          <t>Open shop is what got priced across the street. It supports non-union pricing as the base case and it means the Rooflifters card is probably the right basis, not a low one.</t>
        </is>
      </c>
      <c r="F13" s="42" t="inlineStr">
        <is>
          <t>ASK Rooflifters to confirm open shop, and hold the estimator to a single-shift 7am-3:30pm assumption unless he is pricing overtime for a reason he can name.</t>
        </is>
      </c>
    </row>
    <row r="14" ht="56" customHeight="1">
      <c r="B14" s="41" t="inlineStr">
        <is>
          <t>THE CONSTRUCTION WINDOW COMP IS 60 WEEKS, NOT 24 MONTHS</t>
        </is>
      </c>
      <c r="C14" s="12" t="inlineStr">
        <is>
          <t>Schimenti: '70 week active project schedule and 60 weeks of construction.' Their timeline runs design kick-off Feb 2019 to TCO Feb 2021, with foundation 2 months, core and shell 6-8 months, interior fit 4 months.</t>
        </is>
      </c>
      <c r="D14" s="12" t="inlineStr">
        <is>
          <t>24 months of sidewalk shed rental at $23,958/month.</t>
        </is>
      </c>
      <c r="E14" s="12" t="inlineStr">
        <is>
          <t>60 weeks is 13.8 months of construction. Our roof lift genuinely extends the programme beyond their case, so I have NOT cut the duration — but 24 months now needs defending against a real comp rather than being assumed.</t>
        </is>
      </c>
      <c r="F14" s="42" t="inlineStr">
        <is>
          <t>VERIFY with the estimator. Every month you take out of the programme is $23,958 of shed alone, before general conditions. An 18-month shed saves $143,748.</t>
        </is>
      </c>
    </row>
    <row r="15" ht="76.8" customHeight="1">
      <c r="B15" s="41" t="inlineStr">
        <is>
          <t>MEP IS 3.4x THE COMP AND THAT IS THE SECOND-BIGGEST QUESTION AFTER THE ROOF</t>
        </is>
      </c>
      <c r="C15" s="12" t="inlineStr">
        <is>
          <t>555 Johnson mechanical + electrical = $31.54 + $24.15 = $55.69/SF. Elevators $3.16/SF.</t>
        </is>
      </c>
      <c r="D15" s="12" t="inlineStr">
        <is>
          <t>Our division 500 excluding conveying is $191.58/SF. Conveying at $4.05/SF is a near-perfect match to their $3.16.</t>
        </is>
      </c>
      <c r="E15" s="12" t="inlineStr">
        <is>
          <t>The elevator match tells us the comparison is meaningful. A 7,440-occupant assembly venue legitimately carries far more MEP than production studios — ventilation alone for 7,440 people is 110,000-150,000 CFM, and body heat is over 300 tons before a single fixture. But 3.4x is a big number to accept on trust, and it is the same doubt as the HVAC basis question.</t>
        </is>
      </c>
      <c r="F15" s="12" t="inlineStr">
        <is>
          <t>ASK. This is now the strongest reason to get a written answer on whether HVAC was priced on a load calculation or a rate per square foot.</t>
        </is>
      </c>
    </row>
    <row r="16" ht="56" customHeight="1">
      <c r="B16" s="41" t="inlineStr">
        <is>
          <t>RENOVATION AND FIT-OUT OF AN EXISTING BUILDING NEARBY RAN $120-135/SF</t>
        </is>
      </c>
      <c r="C16" s="12" t="inlineStr">
        <is>
          <t>Schimenti's partial-reuse option prices Lots 25 &amp; 37 renovation and fit-out at $2,760,000 over 23,000 SF = $120/SF, and Lot 42 at $4,050,000 over 30,000 SF = $135/SF.</t>
        </is>
      </c>
      <c r="D16" s="12" t="inlineStr">
        <is>
          <t>Not directly comparable — those are light industrial and office fit-outs, not an 8,000-cap venue.</t>
        </is>
      </c>
      <c r="E16" s="12" t="inlineStr">
        <is>
          <t>Useful as a floor, not a target. It tells you what ordinary warehouse conversion costs on this block, so any line in our budget that is just ordinary construction should sit near that band.</t>
        </is>
      </c>
      <c r="F16" s="12" t="inlineStr">
        <is>
          <t>Use it to sanity-check the non-venue-specific parts: BOH, offices, circulation, restroom blocks.</t>
        </is>
      </c>
    </row>
    <row r="17" ht="67.2" customHeight="1">
      <c r="B17" s="41" t="inlineStr">
        <is>
          <t>GEOTECHNICAL WORK BEFORE FOUNDATION PRICING — THEIR FIRST RECOMMENDATION</t>
        </is>
      </c>
      <c r="C17" s="12" t="inlineStr">
        <is>
          <t>Schimenti's recommended next steps lead with: 'Conduct a GeoTechnical Survey of Existing Soil Conditions, Probes and Test Pits. Better information on the existing conditions will allow a targeted foundation and sub grade approach.' Their timeline puts test pits and additional borings before CDs are issued for foundations.</t>
        </is>
      </c>
      <c r="D17" s="12" t="inlineStr">
        <is>
          <t>$150,000 for 13 borings 50 ft deep, plus $85,000 existing-conditions survey and scan.</t>
        </is>
      </c>
      <c r="E17" s="12" t="inlineStr">
        <is>
          <t>We carry borings but not test pits and probes as a separate item, and their sequencing point is the real one: the survey comes BEFORE foundation pricing, not alongside it.</t>
        </is>
      </c>
      <c r="F17" s="42" t="inlineStr">
        <is>
          <t>SEQUENCE IT FIRST. This is also the strongest single argument for holding the $5,000,000 contingency: their own GC says foundation cost is unknowable until this is done.</t>
        </is>
      </c>
    </row>
    <row r="18" ht="56" customHeight="1">
      <c r="B18" s="41" t="inlineStr">
        <is>
          <t>ADD ALTERNATE PRICING EXISTS FOR ADDING A FLOOR — RELEVANT TO THE BALCONY QUESTION</t>
        </is>
      </c>
      <c r="C18" s="12" t="inlineStr">
        <is>
          <t>Schimenti priced 'Add 1 Floor to Lot 25 &amp; 37' at $9,450,000, noted as reinforce plus core and shell.</t>
        </is>
      </c>
      <c r="D18" s="12" t="inlineStr">
        <is>
          <t>Thomas carries steel framing at an upper balcony at QTY 0 — a third level that is not in our model at all.</t>
        </is>
      </c>
      <c r="E18" s="12" t="inlineStr">
        <is>
          <t>Adding a floor to an existing building is a nine-figure-per-acre proposition, not a line item. It is a reminder that the upper balcony is a scope decision with real money behind it, not a detail.</t>
        </is>
      </c>
      <c r="F18" s="12" t="inlineStr">
        <is>
          <t>DECIDE. If the test fit keeps a balcony above the mezzanine, it needs pricing as a structural addition — new steel, new egress, new sprinkler, new seating.</t>
        </is>
      </c>
    </row>
    <row r="19" ht="56" customHeight="1">
      <c r="B19" s="41" t="inlineStr">
        <is>
          <t>ACOUSTIC WALLS APPEAR AS THEIR OWN DIVISION IN THE PRODUCTION STUDIO BUDGET</t>
        </is>
      </c>
      <c r="C19" s="12" t="inlineStr">
        <is>
          <t>The Production Studios budget carries 'Acoustic Walls' as a top-level trade line alongside Concrete, Masonry and Metals.</t>
        </is>
      </c>
      <c r="D19" s="12" t="inlineStr">
        <is>
          <t>Acoustic treatment is grouped under division 400 as a licence-to-operate item.</t>
        </is>
      </c>
      <c r="E19" s="12" t="inlineStr">
        <is>
          <t>Confirms that acoustic scope is treated as a major trade on this kind of building rather than a finish, which is how we treat it.</t>
        </is>
      </c>
      <c r="F19" s="12" t="inlineStr">
        <is>
          <t>NO CHANGE — but the Acoustical Data.pdf in this folder is a scanned document nobody has read. It may contain the actual STC targets, which would let us price the treatment instead of allowing for it.</t>
        </is>
      </c>
    </row>
    <row r="22">
      <c r="B22" s="2" t="inlineStr">
        <is>
          <t>THE COMP — SCHIMENTI CONSTRUCTION, 555 JOHNSON AVENUE, FOR ERIC COHEN / EBC CAPITAL</t>
        </is>
      </c>
    </row>
    <row r="23" ht="26" customHeight="1">
      <c r="B23" s="6" t="inlineStr">
        <is>
          <t>Full scheme 8 Jan 2019 over ~135,000 SF, and the partial site re-use option 11 Jan 2019. Note that 555 Johnson is ~135,000 SF — which is almost certainly where the 135,953 SF in Thomas’s header came from.</t>
        </is>
      </c>
    </row>
    <row r="24">
      <c r="B24" s="43" t="inlineStr">
        <is>
          <t>Division</t>
        </is>
      </c>
      <c r="C24" s="43" t="inlineStr">
        <is>
          <t>Full scheme</t>
        </is>
      </c>
      <c r="D24" s="43" t="inlineStr">
        <is>
          <t>$/SF</t>
        </is>
      </c>
      <c r="E24" s="43" t="inlineStr">
        <is>
          <t>Partial re-use</t>
        </is>
      </c>
      <c r="F24" s="43" t="inlineStr">
        <is>
          <t>$/SF</t>
        </is>
      </c>
    </row>
    <row r="25">
      <c r="B25" s="28" t="inlineStr">
        <is>
          <t>2-000  Existing conditions</t>
        </is>
      </c>
      <c r="C25" s="44" t="n">
        <v>3128000</v>
      </c>
      <c r="D25" s="15" t="n">
        <v>23.17</v>
      </c>
      <c r="E25" s="44" t="n">
        <v>1525000</v>
      </c>
      <c r="F25" s="15" t="n">
        <v>25</v>
      </c>
    </row>
    <row r="26">
      <c r="B26" s="28" t="inlineStr">
        <is>
          <t>3-000  Concrete / precast</t>
        </is>
      </c>
      <c r="C26" s="44" t="n">
        <v>6973000</v>
      </c>
      <c r="D26" s="15" t="n">
        <v>51.65</v>
      </c>
      <c r="E26" s="44" t="n">
        <v>2078519</v>
      </c>
      <c r="F26" s="15" t="n">
        <v>34.07</v>
      </c>
    </row>
    <row r="27">
      <c r="B27" s="28" t="inlineStr">
        <is>
          <t>4-000  Masonry</t>
        </is>
      </c>
      <c r="C27" s="44" t="n">
        <v>3996000</v>
      </c>
      <c r="D27" s="15" t="n">
        <v>29.6</v>
      </c>
      <c r="E27" s="44" t="n">
        <v>765000</v>
      </c>
      <c r="F27" s="15" t="n">
        <v>12.54</v>
      </c>
    </row>
    <row r="28">
      <c r="B28" s="28" t="inlineStr">
        <is>
          <t>5-000  Steel</t>
        </is>
      </c>
      <c r="C28" s="44" t="n">
        <v>2105000</v>
      </c>
      <c r="D28" s="15" t="n">
        <v>15.59</v>
      </c>
      <c r="E28" s="44" t="n">
        <v>1905000</v>
      </c>
      <c r="F28" s="15" t="n">
        <v>31.23</v>
      </c>
    </row>
    <row r="29">
      <c r="B29" s="28" t="inlineStr">
        <is>
          <t>6-000  Wood &amp; plastics</t>
        </is>
      </c>
      <c r="C29" s="44" t="n">
        <v>168000</v>
      </c>
      <c r="D29" s="15" t="n">
        <v>1.24</v>
      </c>
      <c r="E29" s="44" t="n">
        <v>77156</v>
      </c>
      <c r="F29" s="15" t="n">
        <v>1.26</v>
      </c>
    </row>
    <row r="30">
      <c r="B30" s="28" t="inlineStr">
        <is>
          <t>7-000  Thermal, moisture &amp; fireproofing</t>
        </is>
      </c>
      <c r="C30" s="44" t="n">
        <v>3062000</v>
      </c>
      <c r="D30" s="15" t="n">
        <v>22.68</v>
      </c>
      <c r="E30" s="44" t="n">
        <v>1860000</v>
      </c>
      <c r="F30" s="15" t="n">
        <v>30.49</v>
      </c>
    </row>
    <row r="31">
      <c r="B31" s="28" t="inlineStr">
        <is>
          <t>8-000  Doors &amp; windows</t>
        </is>
      </c>
      <c r="C31" s="44" t="n">
        <v>460000</v>
      </c>
      <c r="D31" s="15" t="n">
        <v>3.41</v>
      </c>
      <c r="E31" s="44" t="n">
        <v>36000</v>
      </c>
      <c r="F31" s="15" t="n">
        <v>0.59</v>
      </c>
    </row>
    <row r="32">
      <c r="B32" s="28" t="inlineStr">
        <is>
          <t>9-000  Finishes</t>
        </is>
      </c>
      <c r="C32" s="44" t="n">
        <v>303000</v>
      </c>
      <c r="D32" s="15" t="n">
        <v>2.24</v>
      </c>
      <c r="E32" s="44" t="n">
        <v>108500</v>
      </c>
      <c r="F32" s="15" t="n">
        <v>1.78</v>
      </c>
    </row>
    <row r="33">
      <c r="B33" s="28" t="inlineStr">
        <is>
          <t>10-000 Specialties</t>
        </is>
      </c>
      <c r="C33" s="44" t="n">
        <v>25000</v>
      </c>
      <c r="D33" s="15" t="n">
        <v>0.19</v>
      </c>
      <c r="E33" s="44" t="n">
        <v>25000</v>
      </c>
      <c r="F33" s="15" t="n">
        <v>0.41</v>
      </c>
    </row>
    <row r="34">
      <c r="B34" s="28" t="inlineStr">
        <is>
          <t>14-000 Elevators &amp; lifts</t>
        </is>
      </c>
      <c r="C34" s="44" t="n">
        <v>427000</v>
      </c>
      <c r="D34" s="15" t="n">
        <v>3.16</v>
      </c>
      <c r="E34" s="44" t="n">
        <v>0</v>
      </c>
      <c r="F34" s="15" t="n">
        <v>0</v>
      </c>
    </row>
    <row r="35">
      <c r="B35" s="28" t="inlineStr">
        <is>
          <t>15-000 Mechanical (FP + plumbing + HVAC)</t>
        </is>
      </c>
      <c r="C35" s="44" t="n">
        <v>4258000</v>
      </c>
      <c r="D35" s="15" t="n">
        <v>31.54</v>
      </c>
      <c r="E35" s="44" t="n">
        <v>1200000</v>
      </c>
      <c r="F35" s="15" t="n">
        <v>19.67</v>
      </c>
    </row>
    <row r="36">
      <c r="B36" s="28" t="inlineStr">
        <is>
          <t>16-000 Electrical (service, power, alarm)</t>
        </is>
      </c>
      <c r="C36" s="44" t="n">
        <v>3260000</v>
      </c>
      <c r="D36" s="15" t="n">
        <v>24.15</v>
      </c>
      <c r="E36" s="44" t="n">
        <v>1530000</v>
      </c>
      <c r="F36" s="15" t="n">
        <v>25.08</v>
      </c>
    </row>
    <row r="37">
      <c r="B37" s="45" t="inlineStr">
        <is>
          <t xml:space="preserve">       CONSTRUCTION SUBTOTAL</t>
        </is>
      </c>
      <c r="C37" s="46" t="n">
        <v>28165000</v>
      </c>
      <c r="D37" s="47" t="n">
        <v>208.63</v>
      </c>
      <c r="E37" s="46" t="n">
        <v>11110174</v>
      </c>
      <c r="F37" s="47" t="n">
        <v>182.13</v>
      </c>
    </row>
    <row r="38">
      <c r="B38" s="28" t="inlineStr">
        <is>
          <t>17-000 General conditions</t>
        </is>
      </c>
      <c r="C38" s="44" t="n">
        <v>2198000</v>
      </c>
      <c r="D38" s="15" t="n">
        <v>16.28</v>
      </c>
      <c r="E38" s="44" t="n">
        <v>989100</v>
      </c>
      <c r="F38" s="15" t="n">
        <v>16.21</v>
      </c>
    </row>
    <row r="39">
      <c r="B39" s="28" t="inlineStr">
        <is>
          <t>18-000 Insurance, fees &amp; bonds</t>
        </is>
      </c>
      <c r="C39" s="44" t="n">
        <v>2002000</v>
      </c>
      <c r="D39" s="15" t="n">
        <v>14.83</v>
      </c>
      <c r="E39" s="44" t="n">
        <v>998190</v>
      </c>
      <c r="F39" s="15" t="n">
        <v>16.36</v>
      </c>
    </row>
    <row r="40">
      <c r="B40" s="45" t="inlineStr">
        <is>
          <t xml:space="preserve">       CORE &amp; SHELL TOTAL</t>
        </is>
      </c>
      <c r="C40" s="46" t="n">
        <v>32365000</v>
      </c>
      <c r="D40" s="47" t="n">
        <v>239.74</v>
      </c>
      <c r="E40" s="46" t="n">
        <v>13097464</v>
      </c>
      <c r="F40" s="47" t="n">
        <v>214.71</v>
      </c>
    </row>
    <row r="41">
      <c r="B41" s="45" t="inlineStr">
        <is>
          <t xml:space="preserve">       Fit-out per scope letter</t>
        </is>
      </c>
      <c r="C41" s="46" t="n">
        <v>8614000</v>
      </c>
      <c r="D41" s="47" t="n">
        <v>81.42</v>
      </c>
      <c r="E41" s="46" t="n">
        <v>10958000</v>
      </c>
      <c r="F41" s="47" t="n">
        <v>103.57</v>
      </c>
    </row>
    <row r="42">
      <c r="B42" s="45" t="inlineStr">
        <is>
          <t xml:space="preserve">       GRAND TOTAL</t>
        </is>
      </c>
      <c r="C42" s="46" t="n">
        <v>40979000</v>
      </c>
      <c r="D42" s="47" t="n">
        <v>303.55</v>
      </c>
      <c r="E42" s="46" t="n">
        <v>24055464</v>
      </c>
      <c r="F42" s="47" t="n">
        <v>178.19</v>
      </c>
    </row>
    <row r="44">
      <c r="B44" s="48" t="inlineStr">
        <is>
          <t>General conditions as % of construction subtotal</t>
        </is>
      </c>
      <c r="C44" s="49" t="inlineStr">
        <is>
          <t>7.80%</t>
        </is>
      </c>
      <c r="D44" s="29" t="n"/>
      <c r="E44" s="49" t="inlineStr">
        <is>
          <t>8.90%</t>
        </is>
      </c>
      <c r="F44" s="29" t="n"/>
    </row>
    <row r="45">
      <c r="B45" s="48" t="inlineStr">
        <is>
          <t>Insurance, fees &amp; bonds as % of construction subtotal</t>
        </is>
      </c>
      <c r="C45" s="49" t="inlineStr">
        <is>
          <t>7.11%</t>
        </is>
      </c>
      <c r="D45" s="29" t="n"/>
      <c r="E45" s="49" t="inlineStr">
        <is>
          <t>8.98%</t>
        </is>
      </c>
      <c r="F45" s="29" t="n"/>
    </row>
    <row r="46">
      <c r="B46" s="48" t="inlineStr">
        <is>
          <t>Construction contingency</t>
        </is>
      </c>
      <c r="C46" s="49" t="inlineStr">
        <is>
          <t>EXCLUDED</t>
        </is>
      </c>
      <c r="D46" s="29" t="n"/>
      <c r="E46" s="49" t="inlineStr">
        <is>
          <t>EXCLUDED</t>
        </is>
      </c>
      <c r="F46" s="29" t="n"/>
    </row>
    <row r="47">
      <c r="B47" s="48" t="inlineStr">
        <is>
          <t>Builder’s risk insurance</t>
        </is>
      </c>
      <c r="C47" s="49" t="inlineStr">
        <is>
          <t>EXCLUDED</t>
        </is>
      </c>
      <c r="D47" s="29" t="n"/>
      <c r="E47" s="49" t="inlineStr">
        <is>
          <t>EXCLUDED</t>
        </is>
      </c>
      <c r="F47" s="29" t="n"/>
    </row>
    <row r="48">
      <c r="B48" s="48" t="inlineStr">
        <is>
          <t>Labour basis</t>
        </is>
      </c>
      <c r="C48" s="49" t="inlineStr">
        <is>
          <t>Open shop, 7am-3:30pm single shift</t>
        </is>
      </c>
      <c r="D48" s="29" t="n"/>
      <c r="E48" s="49" t="inlineStr">
        <is>
          <t>Open shop</t>
        </is>
      </c>
      <c r="F48" s="29" t="n"/>
    </row>
    <row r="49">
      <c r="B49" s="48" t="inlineStr">
        <is>
          <t>Construction duration</t>
        </is>
      </c>
      <c r="C49" s="49" t="inlineStr">
        <is>
          <t>60 weeks of construction, 70-week active programme</t>
        </is>
      </c>
      <c r="D49" s="29" t="n"/>
      <c r="E49" s="49" t="inlineStr">
        <is>
          <t>same</t>
        </is>
      </c>
      <c r="F49" s="29" t="n"/>
    </row>
    <row r="52">
      <c r="B52" s="50" t="inlineStr">
        <is>
          <t>WORTH SOMEONE OPENING BY HAND — SCANNED, NO TEXT CAME OUT</t>
        </is>
      </c>
    </row>
    <row r="53" ht="28.8" customHeight="1">
      <c r="B53" s="41" t="inlineStr">
        <is>
          <t>537 Johnson Av_Assessment of Work (09.14.16).pdf</t>
        </is>
      </c>
      <c r="C53" s="12" t="inlineStr">
        <is>
          <t>A structural assessment of an existing building on the same block. This is the closest thing to a roof-lift precedent in the folder and it is scanned, so no text came out. Reading it could confirm or kill the whole lift approach.</t>
        </is>
      </c>
      <c r="D53" s="29" t="n"/>
      <c r="E53" s="29" t="n"/>
      <c r="F53" s="29" t="n"/>
    </row>
    <row r="54" ht="28.8" customHeight="1">
      <c r="B54" s="41" t="inlineStr">
        <is>
          <t>50 Kip and 65 Kip Pile Cap Adequacy Check (03.22.17).pdf</t>
        </is>
      </c>
      <c r="C54" s="12" t="inlineStr">
        <is>
          <t>Foundation capacity calculations. These bear on two live numbers: the roof-lift load path ($1.33M of swing on whether footings are inside the Rooflifters quote) and the rigging-grid footings we priced at $8,500 each.</t>
        </is>
      </c>
      <c r="D54" s="29" t="n"/>
      <c r="E54" s="29" t="n"/>
      <c r="F54" s="29" t="n"/>
    </row>
    <row r="55" ht="28" customHeight="1">
      <c r="B55" s="41" t="inlineStr">
        <is>
          <t>537 Johnson Av_Draft Recommended Means &amp; Methods (03.22.17).pdf</t>
        </is>
      </c>
      <c r="C55" s="12" t="inlineStr">
        <is>
          <t>How the structural work was sequenced. Relevant to whether the grid can be erected through the open roof.</t>
        </is>
      </c>
      <c r="D55" s="29" t="n"/>
      <c r="E55" s="29" t="n"/>
      <c r="F55" s="29" t="n"/>
    </row>
    <row r="56" ht="28" customHeight="1">
      <c r="B56" s="41" t="inlineStr">
        <is>
          <t>Acoustical Data.pdf</t>
        </is>
      </c>
      <c r="C56" s="12" t="inlineStr">
        <is>
          <t>Would let us price acoustic treatment to a target instead of carrying an allowance.</t>
        </is>
      </c>
      <c r="D56" s="29" t="n"/>
      <c r="E56" s="29" t="n"/>
      <c r="F56" s="29" t="n"/>
    </row>
    <row r="57" ht="28" customHeight="1">
      <c r="B57" s="41" t="inlineStr">
        <is>
          <t>180730- Production Studio CM Services.pdf</t>
        </is>
      </c>
      <c r="C57" s="12" t="inlineStr">
        <is>
          <t>Almost certainly the CM fee structure. Would settle the general-conditions and fee argument outright rather than by comparison.</t>
        </is>
      </c>
      <c r="D57" s="29" t="n"/>
      <c r="E57" s="29" t="n"/>
      <c r="F57" s="29" t="n"/>
    </row>
    <row r="58" ht="28" customHeight="1">
      <c r="B58" s="41" t="inlineStr">
        <is>
          <t>198 Randolph Street_Alt.2 and the two .dwg files</t>
        </is>
      </c>
      <c r="C58" s="12" t="inlineStr">
        <is>
          <t>198 Randolph is the smaller sibling building. The DWGs need CAD software this container does not have.</t>
        </is>
      </c>
      <c r="D58" s="29" t="n"/>
      <c r="E58" s="29" t="n"/>
      <c r="F58" s="29" t="n"/>
    </row>
    <row r="61">
      <c r="B61" s="2" t="inlineStr">
        <is>
          <t>FULL FILE INVENTORY</t>
        </is>
      </c>
    </row>
    <row r="62">
      <c r="B62" s="51" t="inlineStr">
        <is>
          <t>File</t>
        </is>
      </c>
      <c r="C62" s="51" t="inlineStr">
        <is>
          <t>Status</t>
        </is>
      </c>
      <c r="D62" s="51" t="inlineStr">
        <is>
          <t>What it is</t>
        </is>
      </c>
    </row>
    <row r="63" ht="28.8" customHeight="1">
      <c r="B63" s="12" t="inlineStr">
        <is>
          <t>555 Johnson Ave_Conceptual Summary_190108.pdf</t>
        </is>
      </c>
      <c r="C63" s="52" t="inlineStr">
        <is>
          <t>READ</t>
        </is>
      </c>
      <c r="D63" s="17" t="inlineStr">
        <is>
          <t>Schimenti Construction to Eric Cohen, EBC Capital, 8 Jan 2019. Full conceptual budget by CSI division with $/SF, project timeline, and qualifications. THE most useful document in the folder.</t>
        </is>
      </c>
      <c r="E63" s="29" t="n"/>
      <c r="F63" s="29" t="n"/>
    </row>
    <row r="64" ht="24" customHeight="1">
      <c r="B64" s="12" t="inlineStr">
        <is>
          <t>555 Johnson Avenu_Conceptual Analysis_R1 Partial Reuse.pdf</t>
        </is>
      </c>
      <c r="C64" s="52" t="inlineStr">
        <is>
          <t>READ</t>
        </is>
      </c>
      <c r="D64" s="17" t="inlineStr">
        <is>
          <t>Schimenti, 11 Jan 2019. The PARTIAL SITE RE-USE option — keep existing buildings rather than demolish. The direct analogue to what we are doing at 165 Randolph.</t>
        </is>
      </c>
      <c r="E64" s="29" t="n"/>
      <c r="F64" s="29" t="n"/>
    </row>
    <row r="65" ht="24" customHeight="1">
      <c r="B65" s="12" t="inlineStr">
        <is>
          <t>555 Johnson Ave_Conceptual Summary_190108(1).pdf</t>
        </is>
      </c>
      <c r="C65" s="53" t="inlineStr">
        <is>
          <t>DUPLICATE</t>
        </is>
      </c>
      <c r="D65" s="17" t="inlineStr">
        <is>
          <t>Byte-identical to the file above.</t>
        </is>
      </c>
      <c r="E65" s="29" t="n"/>
      <c r="F65" s="29" t="n"/>
    </row>
    <row r="66" ht="24" customHeight="1">
      <c r="B66" s="12" t="inlineStr">
        <is>
          <t>555 Johnson Avenu_Conceptual Analysis_R1 Partial Reuse(1).pdf</t>
        </is>
      </c>
      <c r="C66" s="53" t="inlineStr">
        <is>
          <t>DUPLICATE</t>
        </is>
      </c>
      <c r="D66" s="17" t="inlineStr">
        <is>
          <t>Byte-identical to the partial-reuse file above.</t>
        </is>
      </c>
      <c r="E66" s="29" t="n"/>
      <c r="F66" s="29" t="n"/>
    </row>
    <row r="67" ht="48" customHeight="1">
      <c r="B67" s="12" t="inlineStr">
        <is>
          <t>180730- Production Studios Budget .pdf</t>
        </is>
      </c>
      <c r="C67" s="52" t="inlineStr">
        <is>
          <t>PARTIAL</t>
        </is>
      </c>
      <c r="D67" s="17" t="inlineStr">
        <is>
          <t>A three-column budget (three scheme sizes) with CSI row labels. The row labels decode — General Requirements, Sitework, Concrete, Masonry, Metals, Carpentry, Thermal &amp; Moisture Protection, Doors &amp; Windows, Finishes, ACOUSTIC WALLS, Equipment, Furnishings, HVAC, Plumbing, Sprinkler, Electrical — but the amounts use a custom font encoding that does not decode reliably. DO NOT quote figures from this file until someone opens it and reads them out.</t>
        </is>
      </c>
      <c r="E67" s="29" t="n"/>
      <c r="F67" s="29" t="n"/>
    </row>
    <row r="68" ht="24" customHeight="1">
      <c r="B68" s="12" t="inlineStr">
        <is>
          <t>180730- Production Studio CM Services.pdf</t>
        </is>
      </c>
      <c r="C68" s="53" t="inlineStr">
        <is>
          <t>NO TEXT</t>
        </is>
      </c>
      <c r="D68" s="17" t="inlineStr">
        <is>
          <t>Custom font encoding, no recoverable text. Likely the CM fee structure — worth reading manually, it would settle the general-conditions and fee argument outright.</t>
        </is>
      </c>
      <c r="E68" s="29" t="n"/>
      <c r="F68" s="29" t="n"/>
    </row>
    <row r="69" ht="24" customHeight="1">
      <c r="B69" s="12" t="inlineStr">
        <is>
          <t>537 Johnson Av_Assessment of Work (09.14.16).pdf</t>
        </is>
      </c>
      <c r="C69" s="53" t="inlineStr">
        <is>
          <t>NO TEXT</t>
        </is>
      </c>
      <c r="D69" s="17" t="inlineStr">
        <is>
          <t>Scanned. THE ROOF-LIFT PRECEDENT — a structural assessment of an existing building on the same block. Highest-value unread document.</t>
        </is>
      </c>
      <c r="E69" s="29" t="n"/>
      <c r="F69" s="29" t="n"/>
    </row>
    <row r="70" ht="24" customHeight="1">
      <c r="B70" s="12" t="inlineStr">
        <is>
          <t>537 Johnson Av_Draft Recommended Means &amp; Methods (03.22.17).pdf</t>
        </is>
      </c>
      <c r="C70" s="53" t="inlineStr">
        <is>
          <t>NO TEXT</t>
        </is>
      </c>
      <c r="D70" s="17" t="inlineStr">
        <is>
          <t>Scanned. Means and methods for the structural work. Directly relevant to how the lift gets sequenced.</t>
        </is>
      </c>
      <c r="E70" s="29" t="n"/>
      <c r="F70" s="29" t="n"/>
    </row>
    <row r="71" ht="24" customHeight="1">
      <c r="B71" s="12" t="inlineStr">
        <is>
          <t>537 Johnson Av_Proposed Structural Plans (03.22.17).pdf</t>
        </is>
      </c>
      <c r="C71" s="53" t="inlineStr">
        <is>
          <t>NO TEXT</t>
        </is>
      </c>
      <c r="D71" s="17" t="inlineStr">
        <is>
          <t>Vector CAD plot.</t>
        </is>
      </c>
      <c r="E71" s="29" t="n"/>
      <c r="F71" s="29" t="n"/>
    </row>
    <row r="72" ht="24" customHeight="1">
      <c r="B72" s="12" t="inlineStr">
        <is>
          <t>537 Johnson Av_Proposed Conditions+Take off (05.12.17).pdf</t>
        </is>
      </c>
      <c r="C72" s="53" t="inlineStr">
        <is>
          <t>NO TEXT</t>
        </is>
      </c>
      <c r="D72" s="17" t="inlineStr">
        <is>
          <t>Vector CAD plot. A TAKE-OFF — quantities we could compare against.</t>
        </is>
      </c>
      <c r="E72" s="29" t="n"/>
      <c r="F72" s="29" t="n"/>
    </row>
    <row r="73" ht="24" customHeight="1">
      <c r="B73" s="12" t="inlineStr">
        <is>
          <t>537-561 Johnson Av_Progress Structural Plans (01.19.17).pdf</t>
        </is>
      </c>
      <c r="C73" s="53" t="inlineStr">
        <is>
          <t>NO TEXT</t>
        </is>
      </c>
      <c r="D73" s="17" t="inlineStr">
        <is>
          <t>Vector CAD plot.</t>
        </is>
      </c>
      <c r="E73" s="29" t="n"/>
      <c r="F73" s="29" t="n"/>
    </row>
    <row r="74" ht="24" customHeight="1">
      <c r="B74" s="12" t="inlineStr">
        <is>
          <t>50 Kip_Pile Cap Adequacy Check (03.22.17).pdf</t>
        </is>
      </c>
      <c r="C74" s="53" t="inlineStr">
        <is>
          <t>NO TEXT</t>
        </is>
      </c>
      <c r="D74" s="17" t="inlineStr">
        <is>
          <t>Scanned calculation. Foundation capacity — bears directly on both the roof-lift load path and the rigging-grid footings.</t>
        </is>
      </c>
      <c r="E74" s="29" t="n"/>
      <c r="F74" s="29" t="n"/>
    </row>
    <row r="75" ht="24" customHeight="1">
      <c r="B75" s="12" t="inlineStr">
        <is>
          <t>65 Kip_Pile Cap Adequacy Check (03.22.17).pdf</t>
        </is>
      </c>
      <c r="C75" s="53" t="inlineStr">
        <is>
          <t>NO TEXT</t>
        </is>
      </c>
      <c r="D75" s="17" t="inlineStr">
        <is>
          <t>Scanned calculation, the 65-kip case.</t>
        </is>
      </c>
      <c r="E75" s="29" t="n"/>
      <c r="F75" s="29" t="n"/>
    </row>
    <row r="76" ht="24" customHeight="1">
      <c r="B76" s="12" t="inlineStr">
        <is>
          <t>198 Randolph Street_Alt.2_11-23-2016.pdf</t>
        </is>
      </c>
      <c r="C76" s="53" t="inlineStr">
        <is>
          <t>NO TEXT</t>
        </is>
      </c>
      <c r="D76" s="17" t="inlineStr">
        <is>
          <t>Scanned drawing set. 198 Randolph is the smaller sibling of this building.</t>
        </is>
      </c>
      <c r="E76" s="29" t="n"/>
      <c r="F76" s="29" t="n"/>
    </row>
    <row r="77" ht="24" customHeight="1">
      <c r="B77" s="12" t="inlineStr">
        <is>
          <t>198 Randolph Street_11-23-2016.dwg</t>
        </is>
      </c>
      <c r="C77" s="53" t="inlineStr">
        <is>
          <t>NOT READABLE</t>
        </is>
      </c>
      <c r="D77" s="17" t="inlineStr">
        <is>
          <t>AutoCAD binary. Needs CAD software.</t>
        </is>
      </c>
      <c r="E77" s="29" t="n"/>
      <c r="F77" s="29" t="n"/>
    </row>
    <row r="78" ht="24" customHeight="1">
      <c r="B78" s="12" t="inlineStr">
        <is>
          <t>20180907 Randolph.dwg</t>
        </is>
      </c>
      <c r="C78" s="53" t="inlineStr">
        <is>
          <t>NOT READABLE</t>
        </is>
      </c>
      <c r="D78" s="17" t="inlineStr">
        <is>
          <t>AutoCAD binary.</t>
        </is>
      </c>
      <c r="E78" s="29" t="n"/>
      <c r="F78" s="29" t="n"/>
    </row>
    <row r="79" ht="24" customHeight="1">
      <c r="B79" s="12" t="inlineStr">
        <is>
          <t>20181207_555 Johnson Schematic Design Drawings.pdf</t>
        </is>
      </c>
      <c r="C79" s="53" t="inlineStr">
        <is>
          <t>NO TEXT</t>
        </is>
      </c>
      <c r="D79" s="17" t="inlineStr">
        <is>
          <t>12.9 MB vector drawing set by Relativity Architects — the documents Schimenti priced against.</t>
        </is>
      </c>
      <c r="E79" s="29" t="n"/>
      <c r="F79" s="29" t="n"/>
    </row>
    <row r="80" ht="24" customHeight="1">
      <c r="B80" s="12" t="inlineStr">
        <is>
          <t>20180613_NF Campus_PLANS &amp; RENDERS.pdf</t>
        </is>
      </c>
      <c r="C80" s="53" t="inlineStr">
        <is>
          <t>NO TEXT</t>
        </is>
      </c>
      <c r="D80" s="17" t="inlineStr">
        <is>
          <t>Vector plans and renders.</t>
        </is>
      </c>
      <c r="E80" s="29" t="n"/>
      <c r="F80" s="29" t="n"/>
    </row>
    <row r="81" ht="24" customHeight="1">
      <c r="B81" s="12" t="inlineStr">
        <is>
          <t>Acoustical Data.pdf</t>
        </is>
      </c>
      <c r="C81" s="53" t="inlineStr">
        <is>
          <t>NO TEXT</t>
        </is>
      </c>
      <c r="D81" s="17" t="inlineStr">
        <is>
          <t>Scanned. Would inform the acoustic treatment line, which is a licence-to-operate item.</t>
        </is>
      </c>
      <c r="E81" s="29" t="n"/>
      <c r="F81" s="29" t="n"/>
    </row>
    <row r="82" ht="24" customHeight="1">
      <c r="B82" s="12" t="inlineStr">
        <is>
          <t>20190403 SK-01 DEMISING PARTITION.pdf</t>
        </is>
      </c>
      <c r="C82" s="53" t="inlineStr">
        <is>
          <t>NO TEXT</t>
        </is>
      </c>
      <c r="D82" s="17" t="inlineStr">
        <is>
          <t>Vector sketch.</t>
        </is>
      </c>
      <c r="E82" s="29" t="n"/>
      <c r="F82" s="29" t="n"/>
    </row>
    <row r="83" ht="24" customHeight="1">
      <c r="B83" s="12" t="inlineStr">
        <is>
          <t>A1 01032017.pdf / A1 12262016.pdf</t>
        </is>
      </c>
      <c r="C83" s="53" t="inlineStr">
        <is>
          <t>NO TEXT</t>
        </is>
      </c>
      <c r="D83" s="17" t="inlineStr">
        <is>
          <t>Two revisions of an A1 sheet.</t>
        </is>
      </c>
      <c r="E83" s="29" t="n"/>
      <c r="F83" s="29" t="n"/>
    </row>
    <row r="84" ht="24" customHeight="1">
      <c r="B84" s="12" t="inlineStr">
        <is>
          <t>1302046 &amp; 1302047.pdf</t>
        </is>
      </c>
      <c r="C84" s="53" t="inlineStr">
        <is>
          <t>NO TEXT</t>
        </is>
      </c>
      <c r="D84" s="17" t="inlineStr">
        <is>
          <t>Scanned — looks like DOB job numbers.</t>
        </is>
      </c>
      <c r="E84" s="29" t="n"/>
      <c r="F84" s="29" t="n"/>
    </row>
    <row r="85" ht="24" customHeight="1">
      <c r="B85" s="12" t="inlineStr">
        <is>
          <t>20170523 Covered.jpg / 20170523 Roof Soccer Night.jpg</t>
        </is>
      </c>
      <c r="C85" s="53" t="inlineStr">
        <is>
          <t>IMAGE</t>
        </is>
      </c>
      <c r="D85" s="17" t="inlineStr">
        <is>
          <t>Photographs of a covered roof and a rooftop pitch at night.</t>
        </is>
      </c>
      <c r="E85" s="29" t="n"/>
      <c r="F85" s="29" t="n"/>
    </row>
  </sheetData>
  <mergeCells count="31">
    <mergeCell ref="D76:F76"/>
    <mergeCell ref="D70:F70"/>
    <mergeCell ref="D66:F66"/>
    <mergeCell ref="D75:F75"/>
    <mergeCell ref="C57:F57"/>
    <mergeCell ref="D78:F78"/>
    <mergeCell ref="D72:F72"/>
    <mergeCell ref="C53:F53"/>
    <mergeCell ref="D71:F71"/>
    <mergeCell ref="B23:F23"/>
    <mergeCell ref="D74:F74"/>
    <mergeCell ref="D68:F68"/>
    <mergeCell ref="D83:F83"/>
    <mergeCell ref="C58:F58"/>
    <mergeCell ref="D73:F73"/>
    <mergeCell ref="D64:F64"/>
    <mergeCell ref="D82:F82"/>
    <mergeCell ref="D67:F67"/>
    <mergeCell ref="D79:F79"/>
    <mergeCell ref="D85:F85"/>
    <mergeCell ref="C54:F54"/>
    <mergeCell ref="D69:F69"/>
    <mergeCell ref="C55:F55"/>
    <mergeCell ref="D63:F63"/>
    <mergeCell ref="D81:F81"/>
    <mergeCell ref="C56:F56"/>
    <mergeCell ref="D80:F80"/>
    <mergeCell ref="D84:F84"/>
    <mergeCell ref="D65:F65"/>
    <mergeCell ref="B5:F5"/>
    <mergeCell ref="D77:F7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7"/>
  <sheetViews>
    <sheetView workbookViewId="0">
      <selection activeCell="A1" sqref="A1"/>
    </sheetView>
  </sheetViews>
  <sheetFormatPr baseColWidth="8" defaultRowHeight="15"/>
  <cols>
    <col width="3" customWidth="1" min="1" max="1"/>
    <col width="26" customWidth="1" min="2" max="2"/>
    <col width="10" customWidth="1" min="3" max="3"/>
    <col width="12" customWidth="1" min="4" max="4"/>
    <col width="44" customWidth="1" min="5" max="5"/>
    <col width="60" customWidth="1" min="6" max="6"/>
  </cols>
  <sheetData>
    <row r="2">
      <c r="B2" s="1" t="inlineStr">
        <is>
          <t>THE MARKUPS, EXPLAINED</t>
        </is>
      </c>
    </row>
    <row r="3">
      <c r="B3" s="3" t="inlineStr">
        <is>
          <t>What each one is, who gets it, whether it is necessary, and what is actually negotiable.</t>
        </is>
      </c>
    </row>
    <row r="5" ht="32" customHeight="1">
      <c r="B5" s="40" t="inlineStr">
        <is>
          <t>RESTRUCTURED. Trade cost now stands alone at $37.5M and everything else sits BELOW THE LINE as a separate cost. The three markup rates are each applied to trade cost only — they no longer compound on each other. Contractor contingency and owner contingency have been replaced by ONE $5.0M contingency, so no contingency is charged twice. A dollar of trade scope removed now saves $1.30.</t>
        </is>
      </c>
    </row>
    <row r="7">
      <c r="B7" s="7" t="inlineStr">
        <is>
          <t>Line</t>
        </is>
      </c>
      <c r="C7" s="7" t="inlineStr">
        <is>
          <t>Carried</t>
        </is>
      </c>
      <c r="D7" s="7" t="inlineStr">
        <is>
          <t>Target</t>
        </is>
      </c>
      <c r="E7" s="7" t="inlineStr">
        <is>
          <t>What it is / who gets it / is it necessary</t>
        </is>
      </c>
      <c r="F7" s="7" t="inlineStr">
        <is>
          <t>What is actually negotiable</t>
        </is>
      </c>
    </row>
    <row r="8" ht="126" customHeight="1">
      <c r="B8" s="41" t="inlineStr">
        <is>
          <t>Escalation</t>
        </is>
      </c>
      <c r="C8" s="49" t="inlineStr">
        <is>
          <t>10%</t>
        </is>
      </c>
      <c r="D8" s="49" t="inlineStr">
        <is>
          <t>6-8%</t>
        </is>
      </c>
      <c r="E8" s="12" t="inlineStr">
        <is>
          <t>WHAT IT IS: A reserve for the fact that steel, copper, switchgear and labour cost more on the day you BUY them than on the day the estimator PRICED them. It is not work. It is a bet on how much prices move between the estimate and buyout.
WHO GETS IT: Nobody. You hold it. Whatever prices do not move, you keep.
NECESSARY? PARTLY. It only has to cover the gap between today's estimate and the day each package is bought out. 10% implies a long gap. If you buy out the long-lead packages early it collapses.</t>
        </is>
      </c>
      <c r="F8" s="17" t="inlineStr">
        <is>
          <t>Buy out steel, switchgear, elevators and HVAC plant EARLY and lock the price. Every package you fix removes its share of this line. 6% is achievable on an early buyout.</t>
        </is>
      </c>
    </row>
    <row r="9" ht="168" customHeight="1">
      <c r="B9" s="41" t="inlineStr">
        <is>
          <t>General conditions</t>
        </is>
      </c>
      <c r="C9" s="49" t="inlineStr">
        <is>
          <t>11%</t>
        </is>
      </c>
      <c r="D9" s="49" t="inlineStr">
        <is>
          <t>8-9%</t>
        </is>
      </c>
      <c r="E9" s="12" t="inlineStr">
        <is>
          <t>WHAT IT IS: The cost of RUNNING THE SITE, as opposed to building anything. Site superintendent, project engineer, the trailer, temporary power and water, hoisting, dumpsters, daily clean-up, scaffolding, temporary toilets, security, small tools, safety. Real people and real equipment that show up every day and put no material into the building.
WHO GETS IT: The general contractor — but it is reimbursement of actual cost, not profit. On an open-book contract you can see the staffing chart behind it.
NECESSARY? YES. This is cost, not margin. Somebody has to run the site. Refusing to pay it does not make it go away; it just moves into the trade prices where you cannot see it.</t>
        </is>
      </c>
      <c r="F9" s="17" t="inlineStr">
        <is>
          <t>It is DURATION-DRIVEN, not scope-driven. It is a monthly burn dressed up as a percentage. Cut three months off the programme and you cut three months of general conditions. Ask for it as a MONTHLY RATE plus a duration, not a percentage — then the number has to defend itself.</t>
        </is>
      </c>
    </row>
    <row r="10" ht="178.5" customHeight="1">
      <c r="B10" s="41" t="inlineStr">
        <is>
          <t>Overhead, profit &amp; insurance</t>
        </is>
      </c>
      <c r="C10" s="49" t="inlineStr">
        <is>
          <t>9%</t>
        </is>
      </c>
      <c r="D10" s="49" t="inlineStr">
        <is>
          <t>6-7%</t>
        </is>
      </c>
      <c r="E10" s="12" t="inlineStr">
        <is>
          <t>WHAT IT IS: Three different things bundled into one rate. OVERHEAD is the GC's head office — their estimators, accountants, rent, the people who never come to your site. PROFIT is their margin. INSURANCE is the builder's risk policy, general liability, and in New York the big one, Labor Law 240 'scaffold law' coverage, which is genuinely expensive here and is a real cost, not padding.
WHO GETS IT: The general contractor. Profit is theirs to keep; insurance is a real premium they pay out; overhead funds the office.
NECESSARY? YES, all three. A GC with no margin is a GC who makes it back on change orders, which is worse for you. The question is not whether, it is how much and in what form.</t>
        </is>
      </c>
      <c r="F10" s="17" t="inlineStr">
        <is>
          <t>Split it apart and price each piece. Ask for insurance as an ACTUAL PREMIUM (it is a quotable number from their broker), and overhead+profit as a FIXED FEE IN DOLLARS rather than a percentage. A fixed fee means that when scope grows, their fee does not automatically grow with it — which removes their incentive to let it grow.</t>
        </is>
      </c>
    </row>
    <row r="11" ht="210" customHeight="1">
      <c r="B11" s="41" t="inlineStr">
        <is>
          <t>Contingency</t>
        </is>
      </c>
      <c r="C11" s="49" t="inlineStr">
        <is>
          <t>$5,000,000</t>
        </is>
      </c>
      <c r="D11" s="49" t="inlineStr">
        <is>
          <t>hold it</t>
        </is>
      </c>
      <c r="E11" s="12" t="inlineStr">
        <is>
          <t>WHAT IT IS: One pot of money for what nobody can foresee yet: what is actually inside the walls and above the ceiling, what the DOB asks for on review, what the asbestos survey finds, what Con Ed says about the vault. It is NOT for scope you decide to add later — that is a budget increase, not a contingency draw.
WHO GETS IT: YOU — the development entity, your team. Not Live Nation (co-pro partner, not developer) and not Eric (landlord). Unspent contingency stays yours.
NECESSARY? ABSOLUTELY. This is the one line that is not optional. At $5,000,000 against $48.8M of construction cost you are carrying about 10%, which is thin for a design-stage number on a 1920s warehouse with no asbestos survey, no Con Ed feasibility letter and no structural analysis of whether the roof can be lifted at all.</t>
        </is>
      </c>
      <c r="F11" s="17" t="inlineStr">
        <is>
          <t>The RULE is negotiable, not the amount. Write down what a draw requires, who approves it, and what happens to what is left. Then draw it down deliberately as each unknown closes: the ACP-5 comes back, the Con Ed letter arrives, Rooflifters finishes Stage 3. Each one that closes clean releases money back to you.</t>
        </is>
      </c>
    </row>
    <row r="13">
      <c r="B13" s="2" t="inlineStr">
        <is>
          <t>HOW IT STACKS NOW</t>
        </is>
      </c>
    </row>
    <row r="14">
      <c r="B14" s="54" t="inlineStr">
        <is>
          <t>TRADE COST — the work itself</t>
        </is>
      </c>
      <c r="D14" s="55">
        <f>'Detailed Budget'!F473</f>
        <v/>
      </c>
      <c r="E14" s="3" t="inlineStr">
        <is>
          <t>divisions 000-500 plus 800</t>
        </is>
      </c>
    </row>
    <row r="15">
      <c r="B15" s="4" t="inlineStr">
        <is>
          <t>+ Escalation, 10% of trade</t>
        </is>
      </c>
      <c r="D15" s="56">
        <f>'Detailed Budget'!F478</f>
        <v/>
      </c>
      <c r="E15" s="3" t="inlineStr">
        <is>
          <t>on trade cost only</t>
        </is>
      </c>
    </row>
    <row r="16">
      <c r="B16" s="4" t="inlineStr">
        <is>
          <t>+ General conditions, 8.5% of trade</t>
        </is>
      </c>
      <c r="D16" s="56">
        <f>'Detailed Budget'!F479</f>
        <v/>
      </c>
      <c r="E16" s="3" t="inlineStr">
        <is>
          <t>CUT from 11% on the 555 Johnson evidence</t>
        </is>
      </c>
    </row>
    <row r="17">
      <c r="B17" s="4" t="inlineStr">
        <is>
          <t>+ Overhead, profit &amp; insurance, 9% of trade</t>
        </is>
      </c>
      <c r="D17" s="56">
        <f>'Detailed Budget'!F480</f>
        <v/>
      </c>
      <c r="E17" s="3" t="inlineStr">
        <is>
          <t>on trade cost only</t>
        </is>
      </c>
    </row>
    <row r="18">
      <c r="B18" s="54" t="inlineStr">
        <is>
          <t>CONSTRUCTION COST — the work plus its markups</t>
        </is>
      </c>
      <c r="D18" s="55">
        <f>'Detailed Budget'!F483</f>
        <v/>
      </c>
      <c r="E18" s="3" t="inlineStr">
        <is>
          <t>what it costs to build</t>
        </is>
      </c>
    </row>
    <row r="19">
      <c r="B19" s="4" t="inlineStr">
        <is>
          <t>+ Contingency</t>
        </is>
      </c>
      <c r="D19" s="56">
        <f>'Detailed Budget'!F485</f>
        <v/>
      </c>
      <c r="E19" s="3" t="inlineStr">
        <is>
          <t>ONE pot. Was two, stacked. Now a flat dollar figure you set</t>
        </is>
      </c>
    </row>
    <row r="20">
      <c r="B20" s="4" t="inlineStr">
        <is>
          <t>+ FF&amp;E</t>
        </is>
      </c>
      <c r="D20" s="56">
        <f>'Detailed Budget'!F387</f>
        <v/>
      </c>
      <c r="E20" s="3" t="inlineStr">
        <is>
          <t>sound, lights, video, bars, seating, furniture</t>
        </is>
      </c>
    </row>
    <row r="21">
      <c r="B21" s="4" t="inlineStr">
        <is>
          <t>+ Soft costs</t>
        </is>
      </c>
      <c r="D21" s="56">
        <f>'Detailed Budget'!F437</f>
        <v/>
      </c>
      <c r="E21" s="3" t="inlineStr">
        <is>
          <t>design, permits, legal, project management</t>
        </is>
      </c>
    </row>
    <row r="22">
      <c r="B22" s="32" t="inlineStr">
        <is>
          <t>TOTAL DEVELOPMENT COST</t>
        </is>
      </c>
      <c r="D22" s="33">
        <f>'Detailed Budget'!F491</f>
        <v/>
      </c>
      <c r="E22" s="3" t="inlineStr"/>
    </row>
    <row r="25">
      <c r="B25" s="50" t="inlineStr">
        <is>
          <t>TWO THINGS TO UNDERSTAND BEFORE YOU CUT ANY OF THESE</t>
        </is>
      </c>
    </row>
    <row r="26" ht="84" customHeight="1">
      <c r="B26" s="4" t="inlineStr">
        <is>
          <t>•</t>
        </is>
      </c>
      <c r="C26" s="40" t="inlineStr">
        <is>
          <t>CONTINGENCY IS THE ONE NOT TO CUT — and it matters MORE here than on a normal job. Eric owns the building; you are building it out and renting it. If you run out of money mid-construction you cannot pause, cannot walk away, and cannot refinance against the asset, because the improvement is already sunk into someone else's building. Every change order lands on you. $5,000,000 is about 10% of construction cost — thin for a design-stage number on a 1920s warehouse with no asbestos survey, no Con Ed feasibility letter and no structural analysis of whether the roof can be lifted at all. Do not draw it down for scope you choose to add; that is a budget increase, not a contingency draw.</t>
        </is>
      </c>
    </row>
    <row r="27" ht="60" customHeight="1">
      <c r="B27" s="4" t="inlineStr">
        <is>
          <t>•</t>
        </is>
      </c>
      <c r="C27" s="40" t="inlineStr">
        <is>
          <t>THE ROOF LIFT IS THE MOST EXPENSIVE THING IN THE PROJECT. Division 100 is $7,146,288 before markups — 19% of trade cost, and roughly $9.3M of the final number once the markups are applied. $3.5M of that is your quoted lift contract; $3.6M is scope the lifter explicitly excludes. It is also mandatory, so the only two questions are whether it is a LIFT or a REPLACEMENT (a $4.9M difference) and how much of the surrounding scope is already inside the quote ($1.33M of swing). Both are answered by the same phone call.</t>
        </is>
      </c>
    </row>
  </sheetData>
  <mergeCells count="3">
    <mergeCell ref="C27:F27"/>
    <mergeCell ref="C26:F26"/>
    <mergeCell ref="B5:F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71"/>
  <sheetViews>
    <sheetView workbookViewId="0">
      <selection activeCell="A1" sqref="A1"/>
    </sheetView>
  </sheetViews>
  <sheetFormatPr baseColWidth="8" defaultRowHeight="15"/>
  <cols>
    <col width="3" customWidth="1" min="1" max="1"/>
    <col width="7" customWidth="1" min="2" max="2"/>
    <col width="46" customWidth="1" min="3" max="3"/>
    <col width="11" customWidth="1" min="4" max="4"/>
    <col width="14" customWidth="1" min="5" max="5"/>
    <col width="14" customWidth="1" min="6" max="6"/>
    <col width="13" customWidth="1" min="7" max="7"/>
    <col width="66" customWidth="1" min="8" max="8"/>
  </cols>
  <sheetData>
    <row r="2">
      <c r="B2" s="1" t="inlineStr">
        <is>
          <t>WHERE WE CAN CUT</t>
        </is>
      </c>
    </row>
    <row r="3">
      <c r="B3" s="3" t="inlineStr">
        <is>
          <t>Sorted by how much it costs you to take the saving. Free money first.</t>
        </is>
      </c>
    </row>
    <row r="5" ht="30" customHeight="1">
      <c r="B5" s="40" t="inlineStr">
        <is>
          <t>Read the TYPE column before the number. A FIX costs nothing. A VERIFY may vanish entirely once somebody checks. A SCOPE cut means the building is less than it was. Two rows are flagged SLA or CODE — those need a professional to sign off before they are banked.</t>
        </is>
      </c>
    </row>
    <row r="7">
      <c r="B7" s="57" t="inlineStr">
        <is>
          <t>FIX — errors and overpricing. Nothing is lost.</t>
        </is>
      </c>
      <c r="C7" s="11" t="n"/>
      <c r="D7" s="11" t="n"/>
      <c r="E7" s="11" t="n"/>
      <c r="F7" s="11" t="n"/>
      <c r="G7" s="11" t="n"/>
      <c r="H7" s="11" t="n"/>
    </row>
    <row r="8">
      <c r="B8" s="43" t="inlineStr">
        <is>
          <t>Div</t>
        </is>
      </c>
      <c r="C8" s="43" t="inlineStr">
        <is>
          <t>Item</t>
        </is>
      </c>
      <c r="D8" s="43" t="inlineStr">
        <is>
          <t>Carried</t>
        </is>
      </c>
      <c r="E8" s="43" t="inlineStr">
        <is>
          <t>Cut to</t>
        </is>
      </c>
      <c r="F8" s="43" t="inlineStr">
        <is>
          <t>Saving</t>
        </is>
      </c>
      <c r="G8" s="43" t="inlineStr">
        <is>
          <t>Gate</t>
        </is>
      </c>
      <c r="H8" s="43" t="inlineStr">
        <is>
          <t>Why, and what it costs you</t>
        </is>
      </c>
    </row>
    <row r="9">
      <c r="B9" s="58" t="inlineStr">
        <is>
          <t>500</t>
        </is>
      </c>
      <c r="C9" s="12" t="inlineStr">
        <is>
          <t>Toilet accessories, 30 sets @ $7,500</t>
        </is>
      </c>
      <c r="D9" s="44" t="n">
        <v>225000</v>
      </c>
      <c r="E9" s="44" t="n">
        <v>75000</v>
      </c>
      <c r="F9" s="59">
        <f>D9-E9</f>
        <v/>
      </c>
      <c r="G9" s="60" t="inlineStr">
        <is>
          <t>OK</t>
        </is>
      </c>
      <c r="H9" s="17" t="inlineStr">
        <is>
          <t>$7,500 per set is the dev budget's own rate but it reads as a per-RESTROOM allowance, not per fixture group. 189 fixtures across ~10 restroom groups is 10 sets, not 30. Recount off the drawings.</t>
        </is>
      </c>
    </row>
    <row r="10">
      <c r="B10" s="58" t="inlineStr">
        <is>
          <t>500</t>
        </is>
      </c>
      <c r="C10" s="12" t="inlineStr">
        <is>
          <t>Combine existing services</t>
        </is>
      </c>
      <c r="D10" s="44" t="n">
        <v>200000</v>
      </c>
      <c r="E10" s="44" t="n">
        <v>0</v>
      </c>
      <c r="F10" s="59">
        <f>D10-E10</f>
        <v/>
      </c>
      <c r="G10" s="60" t="inlineStr">
        <is>
          <t>OK</t>
        </is>
      </c>
      <c r="H10" s="17" t="inlineStr">
        <is>
          <t>Only needed if you are retaining and merging the old service. With a new 5,000A service from a new vault this line is redundant. Confirm with the electrical engineer.</t>
        </is>
      </c>
    </row>
    <row r="11">
      <c r="B11" s="58" t="inlineStr">
        <is>
          <t>600</t>
        </is>
      </c>
      <c r="C11" s="12" t="inlineStr">
        <is>
          <t>Freight &amp; installation</t>
        </is>
      </c>
      <c r="D11" s="44" t="n">
        <v>375000</v>
      </c>
      <c r="E11" s="44" t="n">
        <v>250000</v>
      </c>
      <c r="F11" s="59">
        <f>D11-E11</f>
        <v/>
      </c>
      <c r="G11" s="60" t="inlineStr">
        <is>
          <t>OK</t>
        </is>
      </c>
      <c r="H11" s="17" t="inlineStr">
        <is>
          <t>Carried from FT/dev budget at $375k against a bar package now less than half the size. Scale it with the equipment.</t>
        </is>
      </c>
    </row>
    <row r="12">
      <c r="B12" s="22" t="n"/>
      <c r="C12" s="32" t="inlineStr">
        <is>
          <t>FIX subtotal</t>
        </is>
      </c>
      <c r="D12" s="22" t="n"/>
      <c r="E12" s="22" t="n"/>
      <c r="F12" s="33">
        <f>SUM(F9:F11)</f>
        <v/>
      </c>
      <c r="G12" s="22" t="n"/>
      <c r="H12" s="22" t="n"/>
    </row>
    <row r="14">
      <c r="B14" s="57" t="inlineStr">
        <is>
          <t>VERIFY — may vanish entirely once someone checks. Cheapest money on the sheet.</t>
        </is>
      </c>
      <c r="C14" s="11" t="n"/>
      <c r="D14" s="11" t="n"/>
      <c r="E14" s="11" t="n"/>
      <c r="F14" s="11" t="n"/>
      <c r="G14" s="11" t="n"/>
      <c r="H14" s="11" t="n"/>
    </row>
    <row r="15">
      <c r="B15" s="43" t="inlineStr">
        <is>
          <t>Div</t>
        </is>
      </c>
      <c r="C15" s="43" t="inlineStr">
        <is>
          <t>Item</t>
        </is>
      </c>
      <c r="D15" s="43" t="inlineStr">
        <is>
          <t>Carried</t>
        </is>
      </c>
      <c r="E15" s="43" t="inlineStr">
        <is>
          <t>Cut to</t>
        </is>
      </c>
      <c r="F15" s="43" t="inlineStr">
        <is>
          <t>Saving</t>
        </is>
      </c>
      <c r="G15" s="43" t="inlineStr">
        <is>
          <t>Gate</t>
        </is>
      </c>
      <c r="H15" s="43" t="inlineStr">
        <is>
          <t>Why, and what it costs you</t>
        </is>
      </c>
    </row>
    <row r="16">
      <c r="B16" s="58" t="inlineStr">
        <is>
          <t>500</t>
        </is>
      </c>
      <c r="C16" s="12" t="inlineStr">
        <is>
          <t>Generator for fire pump backup</t>
        </is>
      </c>
      <c r="D16" s="44" t="n">
        <v>185000</v>
      </c>
      <c r="E16" s="44" t="n">
        <v>0</v>
      </c>
      <c r="F16" s="59">
        <f>D16-E16</f>
        <v/>
      </c>
      <c r="G16" s="61" t="inlineStr">
        <is>
          <t>CODE</t>
        </is>
      </c>
      <c r="H16" s="17" t="inlineStr">
        <is>
          <t>Required only where the water supply cannot support the fire pump on utility power alone. A dedicated generator may not be needed. Ask the fire protection engineer.</t>
        </is>
      </c>
    </row>
    <row r="17">
      <c r="B17" s="58" t="inlineStr">
        <is>
          <t>000</t>
        </is>
      </c>
      <c r="C17" s="12" t="inlineStr">
        <is>
          <t>Roofing felt &amp; mastic abatement</t>
        </is>
      </c>
      <c r="D17" s="44" t="n">
        <v>555750</v>
      </c>
      <c r="E17" s="44" t="n">
        <v>0</v>
      </c>
      <c r="F17" s="59">
        <f>D17-E17</f>
        <v/>
      </c>
      <c r="G17" s="60" t="inlineStr">
        <is>
          <t>OK</t>
        </is>
      </c>
      <c r="H17" s="17" t="inlineStr">
        <is>
          <t>PRESUMED asbestos on a 1948 precast roof. Nobody has sampled it. An ACP-5 survey costs a few thousand and could delete this entire line. HIGHEST VALUE PER DOLLAR SPENT ON THIS SHEET.</t>
        </is>
      </c>
    </row>
    <row r="18">
      <c r="B18" s="58" t="inlineStr">
        <is>
          <t>100</t>
        </is>
      </c>
      <c r="C18" s="12" t="inlineStr">
        <is>
          <t>Fire separation between zones</t>
        </is>
      </c>
      <c r="D18" s="44" t="n">
        <v>200000</v>
      </c>
      <c r="E18" s="44" t="n">
        <v>0</v>
      </c>
      <c r="F18" s="59">
        <f>D18-E18</f>
        <v/>
      </c>
      <c r="G18" s="61" t="inlineStr">
        <is>
          <t>CODE</t>
        </is>
      </c>
      <c r="H18" s="17" t="inlineStr">
        <is>
          <t>The lifter's own exclusion says 'if required'. A single-volume assembly space may need none. Architect to confirm.</t>
        </is>
      </c>
    </row>
    <row r="19">
      <c r="B19" s="58" t="inlineStr">
        <is>
          <t>500</t>
        </is>
      </c>
      <c r="C19" s="12" t="inlineStr">
        <is>
          <t>HVAC — repriced on load rather than area</t>
        </is>
      </c>
      <c r="D19" s="44" t="n">
        <v>5205550</v>
      </c>
      <c r="E19" s="44" t="n">
        <v>4100000</v>
      </c>
      <c r="F19" s="59">
        <f>D19-E19</f>
        <v/>
      </c>
      <c r="G19" s="61" t="inlineStr">
        <is>
          <t>CODE</t>
        </is>
      </c>
      <c r="H19" s="17" t="inlineStr">
        <is>
          <t>The contractor priced $40/SF over 120,000 SF against a 74,100 SF building. Tonnage (400-500) looks right for 7,440 occupants but the COST basis does not. A real load calculation could take $1M+ out. Ask the mechanical engineer whether this was priced on load or on area.</t>
        </is>
      </c>
    </row>
    <row r="20">
      <c r="B20" s="58" t="inlineStr">
        <is>
          <t>500</t>
        </is>
      </c>
      <c r="C20" s="12" t="inlineStr">
        <is>
          <t>Con Ed vault, conduit &amp; feeders</t>
        </is>
      </c>
      <c r="D20" s="44" t="n">
        <v>850000</v>
      </c>
      <c r="E20" s="44" t="n">
        <v>850000</v>
      </c>
      <c r="F20" s="59">
        <f>D20-E20</f>
        <v/>
      </c>
      <c r="G20" s="60" t="inlineStr">
        <is>
          <t>OK</t>
        </is>
      </c>
      <c r="H20" s="17" t="inlineStr">
        <is>
          <t>My estimate with no utility quote behind it. Could go either way by several hundred thousand. Get the Con Ed feasibility letter early — it also drives the schedule.</t>
        </is>
      </c>
    </row>
    <row r="21">
      <c r="B21" s="58" t="inlineStr">
        <is>
          <t>300</t>
        </is>
      </c>
      <c r="C21" s="12" t="inlineStr">
        <is>
          <t>Mezzanine steel at 20 lb/SF</t>
        </is>
      </c>
      <c r="D21" s="44" t="n">
        <v>840000</v>
      </c>
      <c r="E21" s="44" t="n">
        <v>700000</v>
      </c>
      <c r="F21" s="59">
        <f>D21-E21</f>
        <v/>
      </c>
      <c r="G21" s="61" t="inlineStr">
        <is>
          <t>CODE</t>
        </is>
      </c>
      <c r="H21" s="17" t="inlineStr">
        <is>
          <t>20 lb/SF assumes 100 psf assembly loading throughout. If part of the mezzanine is seated rather than dense standing, the design load drops and so does the tonnage. Structural engineer to confirm.</t>
        </is>
      </c>
    </row>
    <row r="22">
      <c r="B22" s="58" t="inlineStr">
        <is>
          <t>200</t>
        </is>
      </c>
      <c r="C22" s="12" t="inlineStr">
        <is>
          <t>Cross-span girders — bay spacing</t>
        </is>
      </c>
      <c r="D22" s="44" t="n">
        <v>325500</v>
      </c>
      <c r="E22" s="44" t="n">
        <v>232500</v>
      </c>
      <c r="F22" s="59">
        <f>D22-E22</f>
        <v/>
      </c>
      <c r="G22" s="62" t="inlineStr">
        <is>
          <t>ASK</t>
        </is>
      </c>
      <c r="H22" s="17" t="inlineStr">
        <is>
          <t>7 girders at 25ft on centre. At 35ft on centre you need 5, not 7, and save $93,000. Ask the production designer whether the house plot actually needs a pick point every 25ft, or whether 35ft plus bridles covers every plot you will really hang.</t>
        </is>
      </c>
    </row>
    <row r="23">
      <c r="B23" s="58" t="inlineStr">
        <is>
          <t>200</t>
        </is>
      </c>
      <c r="C23" s="12" t="inlineStr">
        <is>
          <t>Rigging grid vs. roof capacity</t>
        </is>
      </c>
      <c r="D23" s="44" t="n">
        <v>1363450</v>
      </c>
      <c r="E23" s="44" t="n">
        <v>1363450</v>
      </c>
      <c r="F23" s="59">
        <f>D23-E23</f>
        <v/>
      </c>
      <c r="G23" s="62" t="inlineStr">
        <is>
          <t>ASK</t>
        </is>
      </c>
      <c r="H23" s="17" t="inlineStr">
        <is>
          <t>DO NOT CUT THIS TO SAVE MONEY — check it against the ROOF instead. The grid is what lets the new roof stay at 15 lb/SF. If the estimator has ALSO priced a roof rated to carry rigging, you are paying twice. Confirm the roof steel is designed to carry itself and nothing else.</t>
        </is>
      </c>
    </row>
    <row r="24">
      <c r="B24" s="22" t="n"/>
      <c r="C24" s="32" t="inlineStr">
        <is>
          <t>VERIFY subtotal</t>
        </is>
      </c>
      <c r="D24" s="22" t="n"/>
      <c r="E24" s="22" t="n"/>
      <c r="F24" s="33">
        <f>SUM(F16:F23)</f>
        <v/>
      </c>
      <c r="G24" s="22" t="n"/>
      <c r="H24" s="22" t="n"/>
    </row>
    <row r="26">
      <c r="B26" s="57" t="inlineStr">
        <is>
          <t>ASK ROOFLIFTERS — may already sit inside the $3-4M quote.</t>
        </is>
      </c>
      <c r="C26" s="11" t="n"/>
      <c r="D26" s="11" t="n"/>
      <c r="E26" s="11" t="n"/>
      <c r="F26" s="11" t="n"/>
      <c r="G26" s="11" t="n"/>
      <c r="H26" s="11" t="n"/>
    </row>
    <row r="27">
      <c r="B27" s="43" t="inlineStr">
        <is>
          <t>Div</t>
        </is>
      </c>
      <c r="C27" s="43" t="inlineStr">
        <is>
          <t>Item</t>
        </is>
      </c>
      <c r="D27" s="43" t="inlineStr">
        <is>
          <t>Carried</t>
        </is>
      </c>
      <c r="E27" s="43" t="inlineStr">
        <is>
          <t>Cut to</t>
        </is>
      </c>
      <c r="F27" s="43" t="inlineStr">
        <is>
          <t>Saving</t>
        </is>
      </c>
      <c r="G27" s="43" t="inlineStr">
        <is>
          <t>Gate</t>
        </is>
      </c>
      <c r="H27" s="43" t="inlineStr">
        <is>
          <t>Why, and what it costs you</t>
        </is>
      </c>
    </row>
    <row r="28">
      <c r="B28" s="58" t="inlineStr">
        <is>
          <t>100</t>
        </is>
      </c>
      <c r="C28" s="12" t="inlineStr">
        <is>
          <t>Foundations for the new load path</t>
        </is>
      </c>
      <c r="D28" s="44" t="n">
        <v>1087650</v>
      </c>
      <c r="E28" s="44" t="n">
        <v>0</v>
      </c>
      <c r="F28" s="59">
        <f>D28-E28</f>
        <v/>
      </c>
      <c r="G28" s="62" t="inlineStr">
        <is>
          <t>ASK</t>
        </is>
      </c>
      <c r="H28" s="17" t="inlineStr">
        <is>
          <t>Ask Rooflifters whether footings and underpinning are inside the $3-4M quote. If yes, the whole group comes out.</t>
        </is>
      </c>
    </row>
    <row r="29">
      <c r="B29" s="58" t="inlineStr">
        <is>
          <t>100</t>
        </is>
      </c>
      <c r="C29" s="12" t="inlineStr">
        <is>
          <t>Roof-to-wall closure</t>
        </is>
      </c>
      <c r="D29" s="44" t="n">
        <v>241643</v>
      </c>
      <c r="E29" s="44" t="n">
        <v>0</v>
      </c>
      <c r="F29" s="59">
        <f>D29-E29</f>
        <v/>
      </c>
      <c r="G29" s="62" t="inlineStr">
        <is>
          <t>ASK</t>
        </is>
      </c>
      <c r="H29" s="17" t="inlineStr">
        <is>
          <t>Ask whether the new roof/wall joint is theirs. Their scope includes 'external metal siding to enclose the building' which may already cover it.</t>
        </is>
      </c>
    </row>
    <row r="30">
      <c r="B30" s="22" t="n"/>
      <c r="C30" s="32" t="inlineStr">
        <is>
          <t>ASK ROOFLIFTERS subtotal</t>
        </is>
      </c>
      <c r="D30" s="22" t="n"/>
      <c r="E30" s="22" t="n"/>
      <c r="F30" s="33">
        <f>SUM(F28:F29)</f>
        <v/>
      </c>
      <c r="G30" s="22" t="n"/>
      <c r="H30" s="22" t="n"/>
    </row>
    <row r="32">
      <c r="B32" s="57" t="inlineStr">
        <is>
          <t>DEFER — pay later, little or no penalty.</t>
        </is>
      </c>
      <c r="C32" s="11" t="n"/>
      <c r="D32" s="11" t="n"/>
      <c r="E32" s="11" t="n"/>
      <c r="F32" s="11" t="n"/>
      <c r="G32" s="11" t="n"/>
      <c r="H32" s="11" t="n"/>
    </row>
    <row r="33">
      <c r="B33" s="43" t="inlineStr">
        <is>
          <t>Div</t>
        </is>
      </c>
      <c r="C33" s="43" t="inlineStr">
        <is>
          <t>Item</t>
        </is>
      </c>
      <c r="D33" s="43" t="inlineStr">
        <is>
          <t>Carried</t>
        </is>
      </c>
      <c r="E33" s="43" t="inlineStr">
        <is>
          <t>Cut to</t>
        </is>
      </c>
      <c r="F33" s="43" t="inlineStr">
        <is>
          <t>Saving</t>
        </is>
      </c>
      <c r="G33" s="43" t="inlineStr">
        <is>
          <t>Gate</t>
        </is>
      </c>
      <c r="H33" s="43" t="inlineStr">
        <is>
          <t>Why, and what it costs you</t>
        </is>
      </c>
    </row>
    <row r="34">
      <c r="B34" s="58" t="inlineStr">
        <is>
          <t>600</t>
        </is>
      </c>
      <c r="C34" s="12" t="inlineStr">
        <is>
          <t>Rent-to-buy the house PA</t>
        </is>
      </c>
      <c r="D34" s="44" t="n">
        <v>2200000</v>
      </c>
      <c r="E34" s="44" t="n">
        <v>0</v>
      </c>
      <c r="F34" s="59">
        <f>D34-E34</f>
        <v/>
      </c>
      <c r="G34" s="60" t="inlineStr">
        <is>
          <t>OK</t>
        </is>
      </c>
      <c r="H34" s="17" t="inlineStr">
        <is>
          <t>Defers the largest single FF&amp;E line. NOT a saving — total cost is higher over the life of the kit. Use it for day-one cash only.</t>
        </is>
      </c>
    </row>
    <row r="35">
      <c r="B35" s="58" t="inlineStr">
        <is>
          <t>400</t>
        </is>
      </c>
      <c r="C35" s="12" t="inlineStr">
        <is>
          <t>Entry mats &amp; stair treads</t>
        </is>
      </c>
      <c r="D35" s="44" t="n">
        <v>32500</v>
      </c>
      <c r="E35" s="44" t="n">
        <v>0</v>
      </c>
      <c r="F35" s="59">
        <f>D35-E35</f>
        <v/>
      </c>
      <c r="G35" s="60" t="inlineStr">
        <is>
          <t>OK</t>
        </is>
      </c>
      <c r="H35" s="17" t="inlineStr">
        <is>
          <t>Fit-out item, no penalty for landing later.</t>
        </is>
      </c>
    </row>
    <row r="36">
      <c r="B36" s="58" t="inlineStr">
        <is>
          <t>600</t>
        </is>
      </c>
      <c r="C36" s="12" t="inlineStr">
        <is>
          <t>Merchandise cases</t>
        </is>
      </c>
      <c r="D36" s="44" t="n">
        <v>26000</v>
      </c>
      <c r="E36" s="44" t="n">
        <v>0</v>
      </c>
      <c r="F36" s="59">
        <f>D36-E36</f>
        <v/>
      </c>
      <c r="G36" s="60" t="inlineStr">
        <is>
          <t>OK</t>
        </is>
      </c>
      <c r="H36" s="17" t="inlineStr">
        <is>
          <t>Furniture. Buy when the merch programme is set.</t>
        </is>
      </c>
    </row>
    <row r="37">
      <c r="B37" s="58" t="inlineStr">
        <is>
          <t>600</t>
        </is>
      </c>
      <c r="C37" s="12" t="inlineStr">
        <is>
          <t>Office furniture</t>
        </is>
      </c>
      <c r="D37" s="44" t="n">
        <v>65000</v>
      </c>
      <c r="E37" s="44" t="n">
        <v>0</v>
      </c>
      <c r="F37" s="59">
        <f>D37-E37</f>
        <v/>
      </c>
      <c r="G37" s="60" t="inlineStr">
        <is>
          <t>OK</t>
        </is>
      </c>
      <c r="H37" s="17" t="inlineStr">
        <is>
          <t>Buy at fit-out, not at buyout.</t>
        </is>
      </c>
    </row>
    <row r="38">
      <c r="B38" s="58" t="inlineStr">
        <is>
          <t>500</t>
        </is>
      </c>
      <c r="C38" s="12" t="inlineStr">
        <is>
          <t>House / architectural lighting BOH</t>
        </is>
      </c>
      <c r="D38" s="44" t="n">
        <v>185000</v>
      </c>
      <c r="E38" s="44" t="n">
        <v>120000</v>
      </c>
      <c r="F38" s="59">
        <f>D38-E38</f>
        <v/>
      </c>
      <c r="G38" s="60" t="inlineStr">
        <is>
          <t>OK</t>
        </is>
      </c>
      <c r="H38" s="17" t="inlineStr">
        <is>
          <t>Circulation and BOH lighting to a working standard now; decorative later.</t>
        </is>
      </c>
    </row>
    <row r="39">
      <c r="B39" s="58" t="inlineStr">
        <is>
          <t>200</t>
        </is>
      </c>
      <c r="C39" s="12" t="inlineStr">
        <is>
          <t>Chain hoists at grid pick points</t>
        </is>
      </c>
      <c r="D39" s="44" t="n">
        <v>91200</v>
      </c>
      <c r="E39" s="44" t="n">
        <v>45600</v>
      </c>
      <c r="F39" s="59">
        <f>D39-E39</f>
        <v/>
      </c>
      <c r="G39" s="60" t="inlineStr">
        <is>
          <t>OK</t>
        </is>
      </c>
      <c r="H39" s="17" t="inlineStr">
        <is>
          <t>32 motors is a full house complement. Buy 16 now, hang the rest of the points with dead-hangs, and add motors as programming demands. The STEEL is what you cannot add later; the motors you can.</t>
        </is>
      </c>
    </row>
    <row r="40">
      <c r="B40" s="22" t="n"/>
      <c r="C40" s="32" t="inlineStr">
        <is>
          <t>DEFER subtotal</t>
        </is>
      </c>
      <c r="D40" s="22" t="n"/>
      <c r="E40" s="22" t="n"/>
      <c r="F40" s="33">
        <f>SUM(F34:F39)</f>
        <v/>
      </c>
      <c r="G40" s="22" t="n"/>
      <c r="H40" s="22" t="n"/>
    </row>
    <row r="42">
      <c r="B42" s="57" t="inlineStr">
        <is>
          <t>SCOPE — real cuts. You lose something.</t>
        </is>
      </c>
      <c r="C42" s="11" t="n"/>
      <c r="D42" s="11" t="n"/>
      <c r="E42" s="11" t="n"/>
      <c r="F42" s="11" t="n"/>
      <c r="G42" s="11" t="n"/>
      <c r="H42" s="11" t="n"/>
    </row>
    <row r="43">
      <c r="B43" s="43" t="inlineStr">
        <is>
          <t>Div</t>
        </is>
      </c>
      <c r="C43" s="43" t="inlineStr">
        <is>
          <t>Item</t>
        </is>
      </c>
      <c r="D43" s="43" t="inlineStr">
        <is>
          <t>Carried</t>
        </is>
      </c>
      <c r="E43" s="43" t="inlineStr">
        <is>
          <t>Cut to</t>
        </is>
      </c>
      <c r="F43" s="43" t="inlineStr">
        <is>
          <t>Saving</t>
        </is>
      </c>
      <c r="G43" s="43" t="inlineStr">
        <is>
          <t>Gate</t>
        </is>
      </c>
      <c r="H43" s="43" t="inlineStr">
        <is>
          <t>Why, and what it costs you</t>
        </is>
      </c>
    </row>
    <row r="44">
      <c r="B44" s="58" t="inlineStr">
        <is>
          <t>400</t>
        </is>
      </c>
      <c r="C44" s="12" t="inlineStr">
        <is>
          <t>Decorative feature above each back bar</t>
        </is>
      </c>
      <c r="D44" s="44" t="n">
        <v>60000</v>
      </c>
      <c r="E44" s="44" t="n">
        <v>0</v>
      </c>
      <c r="F44" s="59">
        <f>D44-E44</f>
        <v/>
      </c>
      <c r="G44" s="60" t="inlineStr">
        <is>
          <t>OK</t>
        </is>
      </c>
      <c r="H44" s="17" t="inlineStr">
        <is>
          <t>Six decorative features at $10,000. Pure aesthetic in a room whose aesthetic is exposed structure.</t>
        </is>
      </c>
    </row>
    <row r="45">
      <c r="B45" s="58" t="inlineStr">
        <is>
          <t>400</t>
        </is>
      </c>
      <c r="C45" s="12" t="inlineStr">
        <is>
          <t>CMU elevator tower at stage</t>
        </is>
      </c>
      <c r="D45" s="44" t="n">
        <v>104195</v>
      </c>
      <c r="E45" s="44" t="n">
        <v>0</v>
      </c>
      <c r="F45" s="59">
        <f>D45-E45</f>
        <v/>
      </c>
      <c r="G45" s="60" t="inlineStr">
        <is>
          <t>OK</t>
        </is>
      </c>
      <c r="H45" s="17" t="inlineStr">
        <is>
          <t>Second elevator tower. With one ADA car and a small BOH lift you do not need two masonry towers.</t>
        </is>
      </c>
    </row>
    <row r="46">
      <c r="B46" s="58" t="inlineStr">
        <is>
          <t>400</t>
        </is>
      </c>
      <c r="C46" s="12" t="inlineStr">
        <is>
          <t>Acoustic panels — reduce coverage</t>
        </is>
      </c>
      <c r="D46" s="44" t="n">
        <v>1120000</v>
      </c>
      <c r="E46" s="44" t="n">
        <v>720000</v>
      </c>
      <c r="F46" s="59">
        <f>D46-E46</f>
        <v/>
      </c>
      <c r="G46" s="61" t="inlineStr">
        <is>
          <t>SLA</t>
        </is>
      </c>
      <c r="H46" s="17" t="inlineStr">
        <is>
          <t>28,000 SF of wall panel at $40. Targeted treatment on first-reflection and rear surfaces rather than blanket coverage gets most of the acoustic benefit. RISK: this is the licence-to-operate item. Do not cut without the acoustician signing off, and do not cut the isolation or flanking control.</t>
        </is>
      </c>
    </row>
    <row r="47">
      <c r="B47" s="58" t="inlineStr">
        <is>
          <t>400</t>
        </is>
      </c>
      <c r="C47" s="12" t="inlineStr">
        <is>
          <t>Polished concrete to sealed concrete</t>
        </is>
      </c>
      <c r="D47" s="44" t="n">
        <v>416000</v>
      </c>
      <c r="E47" s="44" t="n">
        <v>208000</v>
      </c>
      <c r="F47" s="59">
        <f>D47-E47</f>
        <v/>
      </c>
      <c r="G47" s="60" t="inlineStr">
        <is>
          <t>OK</t>
        </is>
      </c>
      <c r="H47" s="17" t="inlineStr">
        <is>
          <t>52,000 SF at $8 polished vs $4 sealed. Sealed is the Infinity aesthetic anyway and it is what most of the room will be under foot traffic.</t>
        </is>
      </c>
    </row>
    <row r="48">
      <c r="B48" s="58" t="inlineStr">
        <is>
          <t>400</t>
        </is>
      </c>
      <c r="C48" s="12" t="inlineStr">
        <is>
          <t>Interior sound/fire rated walls</t>
        </is>
      </c>
      <c r="D48" s="44" t="n">
        <v>360000</v>
      </c>
      <c r="E48" s="44" t="n">
        <v>270000</v>
      </c>
      <c r="F48" s="59">
        <f>D48-E48</f>
        <v/>
      </c>
      <c r="G48" s="61" t="inlineStr">
        <is>
          <t>CODE</t>
        </is>
      </c>
      <c r="H48" s="17" t="inlineStr">
        <is>
          <t>18,000 SF at $20 is my estimate of stair and shaft enclosure. Recount off the drawings — the rated area is fixed by code but my quantity is a guess.</t>
        </is>
      </c>
    </row>
    <row r="49">
      <c r="B49" s="58" t="inlineStr">
        <is>
          <t>600</t>
        </is>
      </c>
      <c r="C49" s="12" t="inlineStr">
        <is>
          <t>Mezzanine box chairs</t>
        </is>
      </c>
      <c r="D49" s="44" t="n">
        <v>197100</v>
      </c>
      <c r="E49" s="44" t="n">
        <v>120000</v>
      </c>
      <c r="F49" s="59">
        <f>D49-E49</f>
        <v/>
      </c>
      <c r="G49" s="61" t="inlineStr">
        <is>
          <t>SLA</t>
        </is>
      </c>
      <c r="H49" s="17" t="inlineStr">
        <is>
          <t>657 chairs at $300. Fewer boxes with rail standing behind. Coordinate with the seat count counsel confirms for the classification.</t>
        </is>
      </c>
    </row>
    <row r="50">
      <c r="B50" s="58" t="inlineStr">
        <is>
          <t>600</t>
        </is>
      </c>
      <c r="C50" s="12" t="inlineStr">
        <is>
          <t>Exterior building signage</t>
        </is>
      </c>
      <c r="D50" s="44" t="n">
        <v>150000</v>
      </c>
      <c r="E50" s="44" t="n">
        <v>90000</v>
      </c>
      <c r="F50" s="59">
        <f>D50-E50</f>
        <v/>
      </c>
      <c r="G50" s="60" t="inlineStr">
        <is>
          <t>OK</t>
        </is>
      </c>
      <c r="H50" s="17" t="inlineStr">
        <is>
          <t>Identification and wayfinding, not a facade programme.</t>
        </is>
      </c>
    </row>
    <row r="51">
      <c r="B51" s="58" t="inlineStr">
        <is>
          <t>600</t>
        </is>
      </c>
      <c r="C51" s="12" t="inlineStr">
        <is>
          <t>FF&amp;E installation labour</t>
        </is>
      </c>
      <c r="D51" s="44" t="n">
        <v>600000</v>
      </c>
      <c r="E51" s="44" t="n">
        <v>420000</v>
      </c>
      <c r="F51" s="59">
        <f>D51-E51</f>
        <v/>
      </c>
      <c r="G51" s="60" t="inlineStr">
        <is>
          <t>OK</t>
        </is>
      </c>
      <c r="H51" s="17" t="inlineStr">
        <is>
          <t>Dev budget's own $600k against an FF&amp;E package now 16% smaller. Scale it.</t>
        </is>
      </c>
    </row>
    <row r="52">
      <c r="B52" s="58" t="inlineStr">
        <is>
          <t>200</t>
        </is>
      </c>
      <c r="C52" s="12" t="inlineStr">
        <is>
          <t>VIP platforms, FOH &amp; decking</t>
        </is>
      </c>
      <c r="D52" s="44" t="n">
        <v>278488</v>
      </c>
      <c r="E52" s="44" t="n">
        <v>200000</v>
      </c>
      <c r="F52" s="59">
        <f>D52-E52</f>
        <v/>
      </c>
      <c r="G52" s="60" t="inlineStr">
        <is>
          <t>OK</t>
        </is>
      </c>
      <c r="H52" s="17" t="inlineStr">
        <is>
          <t>FT actuals for an open-air stage with a larger VIP programme. Scale to the mezzanine-based VIP here.</t>
        </is>
      </c>
    </row>
    <row r="53">
      <c r="B53" s="58" t="inlineStr">
        <is>
          <t>700</t>
        </is>
      </c>
      <c r="C53" s="12" t="inlineStr">
        <is>
          <t>Project management</t>
        </is>
      </c>
      <c r="D53" s="44" t="n">
        <v>1100000</v>
      </c>
      <c r="E53" s="44" t="n">
        <v>500000</v>
      </c>
      <c r="F53" s="59">
        <f>D53-E53</f>
        <v/>
      </c>
      <c r="G53" s="60" t="inlineStr">
        <is>
          <t>OK</t>
        </is>
      </c>
      <c r="H53" s="17" t="inlineStr">
        <is>
          <t>ALREADY APPLIED at your instruction. Now carried at $500,000 — 1.1% of trade cost — for OUR OWN development team: Thomas as project manager plus consultants. Live Nation is the co-pro / programming partner, not the developer. This is BELOW the 2-4% norm, so it is a number to defend, not one with more room in it. It funds roughly one full-time PM for the duration plus a limited consultant bench.</t>
        </is>
      </c>
    </row>
    <row r="54">
      <c r="B54" s="58" t="inlineStr">
        <is>
          <t>200</t>
        </is>
      </c>
      <c r="C54" s="12" t="inlineStr">
        <is>
          <t>Access catwalk on the header lines</t>
        </is>
      </c>
      <c r="D54" s="44" t="n">
        <v>64750</v>
      </c>
      <c r="E54" s="44" t="n">
        <v>0</v>
      </c>
      <c r="F54" s="59">
        <f>D54-E54</f>
        <v/>
      </c>
      <c r="G54" s="60" t="inlineStr">
        <is>
          <t>OK</t>
        </is>
      </c>
      <c r="H54" s="17" t="inlineStr">
        <is>
          <t>The one soft item in the grid. Focus the rig from a genie lift between load-ins instead of walking a catwalk. Costs you crew hours on changeover, saves $64,750.</t>
        </is>
      </c>
    </row>
    <row r="55">
      <c r="B55" s="22" t="n"/>
      <c r="C55" s="32" t="inlineStr">
        <is>
          <t>SCOPE subtotal</t>
        </is>
      </c>
      <c r="D55" s="22" t="n"/>
      <c r="E55" s="22" t="n"/>
      <c r="F55" s="33">
        <f>SUM(F44:F54)</f>
        <v/>
      </c>
      <c r="G55" s="22" t="n"/>
      <c r="H55" s="22" t="n"/>
    </row>
    <row r="57">
      <c r="B57" s="57" t="inlineStr">
        <is>
          <t>SCHEDULE — programme is the cost driver, not the rate.</t>
        </is>
      </c>
      <c r="C57" s="11" t="n"/>
      <c r="D57" s="11" t="n"/>
      <c r="E57" s="11" t="n"/>
      <c r="F57" s="11" t="n"/>
      <c r="G57" s="11" t="n"/>
      <c r="H57" s="11" t="n"/>
    </row>
    <row r="58">
      <c r="B58" s="43" t="inlineStr">
        <is>
          <t>Div</t>
        </is>
      </c>
      <c r="C58" s="43" t="inlineStr">
        <is>
          <t>Item</t>
        </is>
      </c>
      <c r="D58" s="43" t="inlineStr">
        <is>
          <t>Carried</t>
        </is>
      </c>
      <c r="E58" s="43" t="inlineStr">
        <is>
          <t>Cut to</t>
        </is>
      </c>
      <c r="F58" s="43" t="inlineStr">
        <is>
          <t>Saving</t>
        </is>
      </c>
      <c r="G58" s="43" t="inlineStr">
        <is>
          <t>Gate</t>
        </is>
      </c>
      <c r="H58" s="43" t="inlineStr">
        <is>
          <t>Why, and what it costs you</t>
        </is>
      </c>
    </row>
    <row r="59">
      <c r="B59" s="58" t="inlineStr">
        <is>
          <t>000</t>
        </is>
      </c>
      <c r="C59" s="12" t="inlineStr">
        <is>
          <t>Sidewalk shed rental</t>
        </is>
      </c>
      <c r="D59" s="44" t="n">
        <v>575000</v>
      </c>
      <c r="E59" s="44" t="n">
        <v>431000</v>
      </c>
      <c r="F59" s="59">
        <f>D59-E59</f>
        <v/>
      </c>
      <c r="G59" s="60" t="inlineStr">
        <is>
          <t>OK</t>
        </is>
      </c>
      <c r="H59" s="17" t="inlineStr">
        <is>
          <t>24 months at $23,958/month. Every month of programme costs you $23,958. An 18-month shed duration saves $143,748. Sequence the lift early and strike the shed before fit-out.</t>
        </is>
      </c>
    </row>
    <row r="60">
      <c r="B60" s="58" t="inlineStr">
        <is>
          <t>000</t>
        </is>
      </c>
      <c r="C60" s="12" t="inlineStr">
        <is>
          <t>Temporary heat &amp; dehumidification</t>
        </is>
      </c>
      <c r="D60" s="44" t="n">
        <v>85000</v>
      </c>
      <c r="E60" s="44" t="n">
        <v>45000</v>
      </c>
      <c r="F60" s="59">
        <f>D60-E60</f>
        <v/>
      </c>
      <c r="G60" s="60" t="inlineStr">
        <is>
          <t>OK</t>
        </is>
      </c>
      <c r="H60" s="17" t="inlineStr">
        <is>
          <t>Winter exposure. Sequencing the envelope closure before winter roughly halves it.</t>
        </is>
      </c>
    </row>
    <row r="61">
      <c r="B61" s="22" t="n"/>
      <c r="C61" s="32" t="inlineStr">
        <is>
          <t>SCHEDULE subtotal</t>
        </is>
      </c>
      <c r="D61" s="22" t="n"/>
      <c r="E61" s="22" t="n"/>
      <c r="F61" s="33">
        <f>SUM(F59:F60)</f>
        <v/>
      </c>
      <c r="G61" s="22" t="n"/>
      <c r="H61" s="22" t="n"/>
    </row>
    <row r="63">
      <c r="B63" s="22" t="n"/>
      <c r="C63" s="26" t="inlineStr">
        <is>
          <t>TOTAL IDENTIFIED</t>
        </is>
      </c>
      <c r="D63" s="22" t="n"/>
      <c r="E63" s="22" t="n"/>
      <c r="F63" s="27">
        <f>F12+F24+F30+F40+F55+F61</f>
        <v/>
      </c>
      <c r="G63" s="22" t="n"/>
      <c r="H63" s="22" t="n"/>
    </row>
    <row r="64">
      <c r="C64" s="4" t="inlineStr">
        <is>
          <t>Budget as it stands</t>
        </is>
      </c>
      <c r="F64" s="35">
        <f>'Detailed Budget'!F491</f>
        <v/>
      </c>
    </row>
    <row r="65">
      <c r="C65" s="32" t="inlineStr">
        <is>
          <t>Budget with every cut taken</t>
        </is>
      </c>
      <c r="F65" s="33">
        <f>'Detailed Budget'!F491-F63</f>
        <v/>
      </c>
      <c r="H65" s="6" t="inlineStr">
        <is>
          <t>Not realistic to take all of them — the SCOPE and SLA rows have real consequences. Treat FIX + VERIFY + ASK as the honest target.</t>
        </is>
      </c>
    </row>
    <row r="67">
      <c r="B67" s="50" t="inlineStr">
        <is>
          <t>DO THESE FOUR THINGS FIRST</t>
        </is>
      </c>
    </row>
    <row r="68" ht="24" customHeight="1">
      <c r="B68" s="4" t="inlineStr">
        <is>
          <t>•</t>
        </is>
      </c>
      <c r="C68" s="40" t="inlineStr">
        <is>
          <t>Commission the ACP-5 asbestos survey. A few thousand dollars could delete $555,750 of presumed roof abatement. Best return on this sheet by an order of magnitude.</t>
        </is>
      </c>
    </row>
    <row r="69" ht="24" customHeight="1">
      <c r="B69" s="4" t="inlineStr">
        <is>
          <t>•</t>
        </is>
      </c>
      <c r="C69" s="40" t="inlineStr">
        <is>
          <t>Get the four Rooflifters answers in writing: are footings in, is the roof-to-wall closure in, union or non-union basis, and the quote date. Worth $1.33M of swing.</t>
        </is>
      </c>
    </row>
    <row r="70" ht="24" customHeight="1">
      <c r="B70" s="4" t="inlineStr">
        <is>
          <t>•</t>
        </is>
      </c>
      <c r="C70" s="40" t="inlineStr">
        <is>
          <t>Ask the mechanical engineer whether HVAC was priced on load or on area. The contractor used $40/SF over 120,000 SF against a 74,100 SF building. Worth $1M+.</t>
        </is>
      </c>
    </row>
    <row r="71" ht="24" customHeight="1">
      <c r="B71" s="4" t="inlineStr">
        <is>
          <t>•</t>
        </is>
      </c>
      <c r="C71" s="40" t="inlineStr">
        <is>
          <t>Get the Con Ed feasibility letter. The $850,000 vault and feeder line is my estimate with no utility quote behind it, and the lead time drives the schedule.</t>
        </is>
      </c>
    </row>
  </sheetData>
  <mergeCells count="5">
    <mergeCell ref="C71:H71"/>
    <mergeCell ref="C70:H70"/>
    <mergeCell ref="C69:H69"/>
    <mergeCell ref="B5:H5"/>
    <mergeCell ref="C68:H6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24"/>
  <sheetViews>
    <sheetView workbookViewId="0">
      <selection activeCell="A1" sqref="A1"/>
    </sheetView>
  </sheetViews>
  <sheetFormatPr baseColWidth="8" defaultRowHeight="15"/>
  <cols>
    <col width="3" customWidth="1" min="1" max="1"/>
    <col width="46" customWidth="1" min="2" max="2"/>
    <col width="15" customWidth="1" min="3" max="3"/>
    <col width="15" customWidth="1" min="4" max="4"/>
    <col width="13" customWidth="1" min="5" max="5"/>
    <col width="13" customWidth="1" min="6" max="6"/>
    <col width="62" customWidth="1" min="7" max="7"/>
  </cols>
  <sheetData>
    <row r="2">
      <c r="B2" s="1" t="inlineStr">
        <is>
          <t>HOW TO GET THIS NUMBER DOWN</t>
        </is>
      </c>
    </row>
    <row r="3">
      <c r="B3" s="3" t="inlineStr">
        <is>
          <t>Six options, stacked. Each one includes everything above it.</t>
        </is>
      </c>
    </row>
    <row r="5">
      <c r="B5" s="2" t="inlineStr">
        <is>
          <t>FIRST — LOOK AT THE MARKUP STACK</t>
        </is>
      </c>
    </row>
    <row r="6" ht="30" customHeight="1">
      <c r="B6" s="40" t="inlineStr">
        <is>
          <t>Trade cost is $37.5M. Below the line sits $27.2M more — $11.3M of markups, a $5.0M contingency, $5.6M of FF&amp;E and $5.4M of soft costs. The three markup RATES total 30% of trade cost and buy you no work at all, so every point negotiated off them is free money. Nothing here costs you scope.</t>
        </is>
      </c>
    </row>
    <row r="8">
      <c r="B8" s="43" t="inlineStr">
        <is>
          <t>Rate</t>
        </is>
      </c>
      <c r="C8" s="43" t="inlineStr">
        <is>
          <t>As carried</t>
        </is>
      </c>
      <c r="D8" s="43" t="inlineStr">
        <is>
          <t>Target</t>
        </is>
      </c>
      <c r="E8" s="43" t="inlineStr">
        <is>
          <t>Worth</t>
        </is>
      </c>
      <c r="G8" s="43" t="inlineStr">
        <is>
          <t>Why the target is reasonable</t>
        </is>
      </c>
    </row>
    <row r="9">
      <c r="B9" s="28" t="inlineStr">
        <is>
          <t>Escalation</t>
        </is>
      </c>
      <c r="C9" s="63" t="n">
        <v>0.1</v>
      </c>
      <c r="D9" s="63" t="n">
        <v>0.06</v>
      </c>
      <c r="E9" s="59" t="n">
        <v>1500053</v>
      </c>
      <c r="F9" s="29" t="n"/>
      <c r="G9" s="17" t="inlineStr">
        <is>
          <t>10% assumes a long gap between estimate and buyout. Buy out steel, switchgear, elevators and HVAC plant early and lock the price.</t>
        </is>
      </c>
    </row>
    <row r="10">
      <c r="B10" s="28" t="inlineStr">
        <is>
          <t>General conditions</t>
        </is>
      </c>
      <c r="C10" s="63" t="n">
        <v>0.08500000000000001</v>
      </c>
      <c r="D10" s="63" t="n">
        <v>0.078</v>
      </c>
      <c r="E10" s="59" t="n">
        <v>286246</v>
      </c>
      <c r="F10" s="29" t="n"/>
      <c r="G10" s="17" t="inlineStr">
        <is>
          <t>ALREADY CUT from 11% to 8.5% on the Schimenti evidence. 7.80% is what he actually charged Eric on the full 555 Johnson scheme, so there is one more point in it.</t>
        </is>
      </c>
    </row>
    <row r="11">
      <c r="B11" s="28" t="inlineStr">
        <is>
          <t>Overhead, profit &amp; insurance</t>
        </is>
      </c>
      <c r="C11" s="63" t="n">
        <v>0.09</v>
      </c>
      <c r="D11" s="63" t="n">
        <v>0.065</v>
      </c>
      <c r="E11" s="59" t="n">
        <v>937533</v>
      </c>
      <c r="F11" s="29" t="n"/>
      <c r="G11" s="17" t="inlineStr">
        <is>
          <t>Split it apart: insurance as an actual broker premium, overhead and profit as a FIXED FEE IN DOLLARS so it does not grow when scope grows.</t>
        </is>
      </c>
    </row>
    <row r="12">
      <c r="B12" s="32" t="inlineStr">
        <is>
          <t>Total available on rates alone</t>
        </is>
      </c>
      <c r="C12" s="22" t="n"/>
      <c r="D12" s="22" t="n"/>
      <c r="E12" s="33">
        <f>SUM(E9:E11)</f>
        <v/>
      </c>
      <c r="G12" s="22" t="n"/>
    </row>
    <row r="14">
      <c r="B14" s="2" t="inlineStr">
        <is>
          <t>THE SIX OPTIONS</t>
        </is>
      </c>
    </row>
    <row r="15">
      <c r="B15" s="43" t="inlineStr">
        <is>
          <t>Option</t>
        </is>
      </c>
      <c r="C15" s="43" t="inlineStr">
        <is>
          <t>Total</t>
        </is>
      </c>
      <c r="D15" s="43" t="inlineStr">
        <is>
          <t>$/SF</t>
        </is>
      </c>
      <c r="E15" s="43" t="inlineStr">
        <is>
          <t>$/cap</t>
        </is>
      </c>
      <c r="F15" s="43" t="inlineStr">
        <is>
          <t>Step</t>
        </is>
      </c>
      <c r="G15" s="43" t="inlineStr">
        <is>
          <t>What it costs you</t>
        </is>
      </c>
    </row>
    <row r="16">
      <c r="B16" s="28" t="inlineStr">
        <is>
          <t>0.  As it stands</t>
        </is>
      </c>
      <c r="C16" s="44" t="n">
        <v>73962877</v>
      </c>
      <c r="D16" s="64" t="n">
        <v>998</v>
      </c>
      <c r="E16" s="64" t="n">
        <v>9941</v>
      </c>
      <c r="F16" s="29" t="n"/>
      <c r="G16" s="17" t="inlineStr">
        <is>
          <t>—</t>
        </is>
      </c>
    </row>
    <row r="17">
      <c r="B17" s="28" t="inlineStr">
        <is>
          <t>1.  Take the free cuts</t>
        </is>
      </c>
      <c r="C17" s="44" t="n">
        <v>67244411</v>
      </c>
      <c r="D17" s="64" t="n">
        <v>907</v>
      </c>
      <c r="E17" s="64" t="n">
        <v>9038</v>
      </c>
      <c r="F17" s="16" t="n">
        <v>-6718466</v>
      </c>
      <c r="G17" s="17" t="inlineStr">
        <is>
          <t>Nothing. Asbestos survey, Rooflifters answers, HVAC load basis, two arithmetic errors.</t>
        </is>
      </c>
    </row>
    <row r="18">
      <c r="B18" s="65" t="inlineStr">
        <is>
          <t>2.  + negotiate the markups</t>
        </is>
      </c>
      <c r="C18" s="66" t="n">
        <v>59130282</v>
      </c>
      <c r="D18" s="67" t="n">
        <v>798</v>
      </c>
      <c r="E18" s="67" t="n">
        <v>7948</v>
      </c>
      <c r="F18" s="68" t="n">
        <v>-8114129</v>
      </c>
      <c r="G18" s="69" t="inlineStr">
        <is>
          <t>Nothing in scope. Open-book GMP with shared savings, earlier buyout, contingency to 12%. THIS IS THE TARGET.</t>
        </is>
      </c>
    </row>
    <row r="19">
      <c r="B19" s="28" t="inlineStr">
        <is>
          <t>3.  + landlord funds the roof lift</t>
        </is>
      </c>
      <c r="C19" s="44" t="n">
        <v>48836545</v>
      </c>
      <c r="D19" s="64" t="n">
        <v>659</v>
      </c>
      <c r="E19" s="64" t="n">
        <v>6564</v>
      </c>
      <c r="F19" s="16" t="n">
        <v>-10293737</v>
      </c>
      <c r="G19" s="17" t="inlineStr">
        <is>
          <t>Negotiating capital with Eric. The lift is a permanent improvement to his building that outlives a 20-year lease.</t>
        </is>
      </c>
    </row>
    <row r="20">
      <c r="B20" s="28" t="inlineStr">
        <is>
          <t>4.  + drop the lift 50ft to 40ft</t>
        </is>
      </c>
      <c r="C20" s="44" t="n">
        <v>46900000</v>
      </c>
      <c r="D20" s="64" t="n">
        <v>633</v>
      </c>
      <c r="E20" s="64" t="n">
        <v>6304</v>
      </c>
      <c r="F20" s="16" t="n">
        <v>-1936545</v>
      </c>
      <c r="G20" s="17" t="inlineStr">
        <is>
          <t>THE MOAT. Not recommended — shown only so the number is visible. At 40 ft you lose flown production and the positioning argument.</t>
        </is>
      </c>
    </row>
    <row r="21">
      <c r="B21" s="28" t="inlineStr">
        <is>
          <t>5.  + defer the mezzanine</t>
        </is>
      </c>
      <c r="C21" s="44" t="n">
        <v>43900000</v>
      </c>
      <c r="D21" s="64" t="n">
        <v>592</v>
      </c>
      <c r="E21" s="64" t="n">
        <v>8442</v>
      </c>
      <c r="F21" s="16" t="n">
        <v>-3000000</v>
      </c>
      <c r="G21" s="17" t="inlineStr">
        <is>
          <t>2,240 capacity and the compliance seating location. Opens floor-only at ~5,200. Structure must still go in later at a premium.</t>
        </is>
      </c>
    </row>
    <row r="22">
      <c r="B22" s="28" t="inlineStr">
        <is>
          <t>6.  + owner-furnish, direct trades</t>
        </is>
      </c>
      <c r="C22" s="44" t="n">
        <v>40300000</v>
      </c>
      <c r="D22" s="64" t="n">
        <v>544</v>
      </c>
      <c r="E22" s="64" t="n">
        <v>7750</v>
      </c>
      <c r="F22" s="16" t="n">
        <v>-3600000</v>
      </c>
      <c r="G22" s="17" t="inlineStr">
        <is>
          <t>Delivery risk moves to you. Buy switchgear, HVAC plant and elevators direct; fewer trades under GC markup.</t>
        </is>
      </c>
    </row>
    <row r="24" ht="30" customHeight="1">
      <c r="B24" s="70" t="inlineStr">
        <is>
          <t>RECOMMENDED: Option 2 at $59.1M. It costs nothing in scope — it is arithmetic corrections, evidence-gathering and contract structure. Options 3 through 6 all trade something real away, and Option 4 trades the moat.</t>
        </is>
      </c>
    </row>
  </sheetData>
  <mergeCells count="2">
    <mergeCell ref="B24:G24"/>
    <mergeCell ref="B6:G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73"/>
  <sheetViews>
    <sheetView workbookViewId="0">
      <selection activeCell="A1" sqref="A1"/>
    </sheetView>
  </sheetViews>
  <sheetFormatPr baseColWidth="8" defaultRowHeight="15"/>
  <cols>
    <col width="3" customWidth="1" min="1" max="1"/>
    <col width="6" customWidth="1" min="2" max="2"/>
    <col width="78" customWidth="1" min="3" max="3"/>
    <col width="62" customWidth="1" min="4" max="4"/>
    <col width="15" customWidth="1" min="5" max="5"/>
  </cols>
  <sheetData>
    <row r="2">
      <c r="B2" s="1" t="inlineStr">
        <is>
          <t>QUESTIONS</t>
        </is>
      </c>
    </row>
    <row r="3">
      <c r="B3" s="3" t="inlineStr">
        <is>
          <t>49 questions, by who to ask. Each carries the evidence that makes it hard to deflect.</t>
        </is>
      </c>
    </row>
    <row r="5">
      <c r="B5" s="8" t="inlineStr">
        <is>
          <t>ESTIMATOR / GENERAL CONTRACTOR</t>
        </is>
      </c>
      <c r="C5" s="9" t="n"/>
      <c r="D5" s="9" t="n"/>
      <c r="E5" s="9" t="n"/>
    </row>
    <row r="6">
      <c r="B6" s="43" t="inlineStr">
        <is>
          <t>No.</t>
        </is>
      </c>
      <c r="C6" s="43" t="inlineStr">
        <is>
          <t>Question</t>
        </is>
      </c>
      <c r="D6" s="43" t="inlineStr">
        <is>
          <t>Why it is hard to deflect</t>
        </is>
      </c>
      <c r="E6" s="43" t="inlineStr">
        <is>
          <t>$ at stake</t>
        </is>
      </c>
    </row>
    <row r="7">
      <c r="B7" s="58" t="n">
        <v>1</v>
      </c>
      <c r="C7" s="12" t="inlineStr">
        <is>
          <t>The $1,000,000 black steel mounting structure at the stage — does that number include ANY steel spanning out over the crowd, or does it stop at the stage line?</t>
        </is>
      </c>
      <c r="D7" s="17" t="inlineStr">
        <is>
          <t>It is a one-line lump sum with no take-off behind it. Either it covers the room or it does not, and he has to say which. We are now carrying a separate $1,363,450 rigging grid over the crowd; if his $1M already reaches out over the floor, one of those two numbers comes out.</t>
        </is>
      </c>
      <c r="E7" s="71" t="n">
        <v>1363450</v>
      </c>
    </row>
    <row r="8">
      <c r="B8" s="58" t="n">
        <v>2</v>
      </c>
      <c r="C8" s="12" t="inlineStr">
        <is>
          <t>Is the new roof steel designed to carry ITSELF ONLY, or have you rated it to carry rigging as well?</t>
        </is>
      </c>
      <c r="D8" s="17" t="inlineStr">
        <is>
          <t>The whole logic of the ground-supported grid is that nothing hangs from the building. If he has also rated the roof for rigging load he has bought the same capacity twice. At 74,100 SF the difference between 15 lb/SF and 20 lb/SF is 185 tons of steel.</t>
        </is>
      </c>
      <c r="E8" s="71" t="n">
        <v>1110000</v>
      </c>
    </row>
    <row r="9">
      <c r="B9" s="58" t="n">
        <v>3</v>
      </c>
      <c r="C9" s="12" t="inlineStr">
        <is>
          <t>Can the rigging grid be erected during the roof-off window, picked straight down through the opening?</t>
        </is>
      </c>
      <c r="D9" s="17" t="inlineStr">
        <is>
          <t>Erecting 74 tons of steel by chain hoist inside a closed, finished room is a different price from craning it in from above. This is a sequencing decision that has to be made before the roof closes — after that it is not available at any price.</t>
        </is>
      </c>
      <c r="E9" s="71" t="n">
        <v>185000</v>
      </c>
    </row>
    <row r="10">
      <c r="B10" s="58" t="n">
        <v>4</v>
      </c>
      <c r="C10" s="12" t="inlineStr">
        <is>
          <t>Roughly two-thirds of your trade schedule carries a unit price against a QUANTITY OF ZERO. When are those quantities going in, and what is your own estimate of the total once they are?</t>
        </is>
      </c>
      <c r="D10" s="17" t="inlineStr">
        <is>
          <t>Structural steel is $0 on a project whose scope line reads 'Add Second Level'. Acoustic panels are $0 in a music venue. Millwork, doors, painting, fireproofing, tile — all $0.</t>
        </is>
      </c>
      <c r="E10" s="71" t="inlineStr">
        <is>
          <t>the whole estimate</t>
        </is>
      </c>
    </row>
    <row r="11">
      <c r="B11" s="58" t="n">
        <v>5</v>
      </c>
      <c r="C11" s="12" t="inlineStr">
        <is>
          <t>Roofing row 193 prices 1,592 SF of pavers at $3,312.50/SF. The lines directly above and below, same product, are $31/SF. Is that an error?</t>
        </is>
      </c>
      <c r="D11" s="17" t="inlineStr">
        <is>
          <t>One cell. Marked up through 9% OH&amp;P, 10% contractor contingency and 10% owner contingency.</t>
        </is>
      </c>
      <c r="E11" s="71" t="inlineStr">
        <is>
          <t>$6,890,129</t>
        </is>
      </c>
    </row>
    <row r="12">
      <c r="B12" s="58" t="n">
        <v>6</v>
      </c>
      <c r="C12" s="12" t="inlineStr">
        <is>
          <t>Your escalation line for Building &amp; Fit-Out is blank. The off-site parking garage carries 5%. Why the difference?</t>
        </is>
      </c>
      <c r="D12" s="17" t="inlineStr">
        <is>
          <t>The line exists in your file and was left empty.</t>
        </is>
      </c>
      <c r="E12" s="71" t="inlineStr">
        <is>
          <t>$3,591,389</t>
        </is>
      </c>
    </row>
    <row r="13">
      <c r="B13" s="58" t="n">
        <v>7</v>
      </c>
      <c r="C13" s="12" t="inlineStr">
        <is>
          <t>Your abatement line is $8,750. Your demolition schedule says 74,000 SF of precast roof, 'abatement by others'. Who is 'others', and what have they quoted?</t>
        </is>
      </c>
      <c r="D13" s="17" t="inlineStr">
        <is>
          <t>1948 building. 'By others' is not a scope exclusion the owner gets to keep — someone pays it.</t>
        </is>
      </c>
      <c r="E13" s="71" t="inlineStr">
        <is>
          <t>$555,750</t>
        </is>
      </c>
    </row>
    <row r="14">
      <c r="B14" s="58" t="n">
        <v>8</v>
      </c>
      <c r="C14" s="12" t="inlineStr">
        <is>
          <t>You price HVAC at $40/SF over 120,000 SF. The building is 74,100 SF. Was this priced from a load calculation or from an area assumption?</t>
        </is>
      </c>
      <c r="D14" s="17" t="inlineStr">
        <is>
          <t>The tonnage may well be right. The pricing BASIS is applied to 62% more area than exists.</t>
        </is>
      </c>
      <c r="E14" s="71" t="inlineStr">
        <is>
          <t>$1,100,000+</t>
        </is>
      </c>
    </row>
    <row r="15">
      <c r="B15" s="58" t="n">
        <v>9</v>
      </c>
      <c r="C15" s="12" t="inlineStr">
        <is>
          <t>Your electrical division is $558,750 and contains two switchboards, temporary power and firestopping. Where are the panels, secondary distribution and branch wiring?</t>
        </is>
      </c>
      <c r="D15" s="17" t="inlineStr">
        <is>
          <t>Every distribution line in your file is quantity zero. Nothing can plug in.</t>
        </is>
      </c>
      <c r="E15" s="71" t="inlineStr">
        <is>
          <t>$3,400,000+</t>
        </is>
      </c>
    </row>
    <row r="16">
      <c r="B16" s="58" t="n">
        <v>10</v>
      </c>
      <c r="C16" s="12" t="inlineStr">
        <is>
          <t>What construction duration are your general conditions priced for?</t>
        </is>
      </c>
      <c r="D16" s="17" t="inlineStr">
        <is>
          <t>The only duration stated anywhere in your file is 60 weeks of portable toilets — about 14 months. The underwriting assumes 24.</t>
        </is>
      </c>
      <c r="E16" s="71" t="inlineStr">
        <is>
          <t>$1,200,000</t>
        </is>
      </c>
    </row>
    <row r="17">
      <c r="B17" s="58" t="n">
        <v>11</v>
      </c>
      <c r="C17" s="12" t="inlineStr">
        <is>
          <t>Your summary carries General Conditions at $2,000,000. Your own hidden General Conditions tab totals $2,082,000. Which is right?</t>
        </is>
      </c>
      <c r="D17" s="17" t="inlineStr">
        <is>
          <t>Both numbers are in the file you sent.</t>
        </is>
      </c>
      <c r="E17" s="71" t="inlineStr">
        <is>
          <t>$82,000</t>
        </is>
      </c>
    </row>
    <row r="18">
      <c r="B18" s="58" t="n">
        <v>12</v>
      </c>
      <c r="C18" s="12" t="inlineStr">
        <is>
          <t>You carry 9% overhead, profit and insurance plus a 10% contractor contingency you keep. Will you go open-book with a shared-savings split on unspent contingency?</t>
        </is>
      </c>
      <c r="D18" s="17" t="inlineStr">
        <is>
          <t>A fixed OH&amp;P plus a retained contingency gives you no reason to underspend it.</t>
        </is>
      </c>
      <c r="E18" s="71" t="inlineStr">
        <is>
          <t>$2,400,000</t>
        </is>
      </c>
    </row>
    <row r="19">
      <c r="B19" s="58" t="n">
        <v>13</v>
      </c>
      <c r="C19" s="12" t="inlineStr">
        <is>
          <t>Committed Costs, Invoices and Change Orders are all zero. Nothing has been bought. What would a competitive three-bid process return against this estimate?</t>
        </is>
      </c>
      <c r="D19" s="17" t="inlineStr">
        <is>
          <t>5-10% is normal against a first-pass estimate in this market.</t>
        </is>
      </c>
      <c r="E19" s="71" t="inlineStr">
        <is>
          <t>$1,800,000-3,600,000</t>
        </is>
      </c>
    </row>
    <row r="20">
      <c r="B20" s="58" t="n">
        <v>14</v>
      </c>
      <c r="C20" s="12" t="inlineStr">
        <is>
          <t>Your Project At-a-Glance and Project Summary tabs are broken with #REF!, the cost report is dated 2023-01-31 and the contingency log says March 2020. Is this built on a template from another project?</t>
        </is>
      </c>
      <c r="D20" s="17" t="inlineStr">
        <is>
          <t>It matters because the cost-control apparatus is not actually wired to this job.</t>
        </is>
      </c>
      <c r="E20" s="71" t="inlineStr">
        <is>
          <t>governance</t>
        </is>
      </c>
    </row>
    <row r="21">
      <c r="B21" s="58" t="n">
        <v>15</v>
      </c>
      <c r="C21" s="12" t="inlineStr">
        <is>
          <t>Your Risk Report is empty and exposure is $0. Where do you carry the pending Phase I, the pending structural and MEP assessment, the pending Certificate of Occupancy and the pending FDNY approval?</t>
        </is>
      </c>
      <c r="D21" s="17" t="inlineStr">
        <is>
          <t>Those are the four largest uncertainties on the project and none of them appear in your risk register.</t>
        </is>
      </c>
      <c r="E21" s="71" t="inlineStr">
        <is>
          <t>governance</t>
        </is>
      </c>
    </row>
    <row r="22">
      <c r="B22" s="58" t="n">
        <v>16</v>
      </c>
      <c r="C22" s="12" t="inlineStr">
        <is>
          <t>Are you pricing union or non-union, and what is the delta?</t>
        </is>
      </c>
      <c r="D22" s="17" t="inlineStr">
        <is>
          <t>It is the single biggest unknown in the roof lift and it is not stated anywhere.</t>
        </is>
      </c>
      <c r="E22" s="71" t="inlineStr">
        <is>
          <t>$1,500,000+</t>
        </is>
      </c>
    </row>
    <row r="23">
      <c r="B23" s="58" t="n">
        <v>17</v>
      </c>
      <c r="C23" s="12" t="inlineStr">
        <is>
          <t>Owner's project management is $520,000 — 1.2% of project cost against a 2-4% norm. Is that a real number or a placeholder?</t>
        </is>
      </c>
      <c r="D23" s="17" t="inlineStr">
        <is>
          <t>Under-resourced PM is how change orders get approved without challenge.</t>
        </is>
      </c>
      <c r="E23" s="71" t="inlineStr">
        <is>
          <t>$600,000</t>
        </is>
      </c>
    </row>
    <row r="25">
      <c r="B25" s="8" t="inlineStr">
        <is>
          <t>ARCHITECT  (Wake)</t>
        </is>
      </c>
      <c r="C25" s="9" t="n"/>
      <c r="D25" s="9" t="n"/>
      <c r="E25" s="9" t="n"/>
    </row>
    <row r="26">
      <c r="B26" s="43" t="inlineStr">
        <is>
          <t>No.</t>
        </is>
      </c>
      <c r="C26" s="43" t="inlineStr">
        <is>
          <t>Question</t>
        </is>
      </c>
      <c r="D26" s="43" t="inlineStr">
        <is>
          <t>Why it is hard to deflect</t>
        </is>
      </c>
      <c r="E26" s="43" t="inlineStr">
        <is>
          <t>$ at stake</t>
        </is>
      </c>
    </row>
    <row r="27">
      <c r="B27" s="58" t="n">
        <v>18</v>
      </c>
      <c r="C27" s="12" t="inlineStr">
        <is>
          <t>Does the theater use-classification require seating on a specific floor, fixed or removable, and at what count?</t>
        </is>
      </c>
      <c r="D27" s="17" t="inlineStr">
        <is>
          <t>It carries the liquor licence and the cabaret licence. Everything downstream depends on the answer.</t>
        </is>
      </c>
      <c r="E27" s="71" t="inlineStr">
        <is>
          <t>$3,156,738</t>
        </is>
      </c>
    </row>
    <row r="28">
      <c r="B28" s="58" t="n">
        <v>19</v>
      </c>
      <c r="C28" s="12" t="inlineStr">
        <is>
          <t>Do we actually need four levels? What does the classification require, as opposed to what the test fit proposes?</t>
        </is>
      </c>
      <c r="D28" s="17" t="inlineStr">
        <is>
          <t>Every added level multiplies accessible routes, egress stairs, vertical circulation and fire separation.</t>
        </is>
      </c>
      <c r="E28" s="71" t="inlineStr">
        <is>
          <t>$1,800,000-2,000,000</t>
        </is>
      </c>
    </row>
    <row r="29">
      <c r="B29" s="58" t="n">
        <v>20</v>
      </c>
      <c r="C29" s="12" t="inlineStr">
        <is>
          <t>What is the EGRESS-driven capacity, as distinct from the area-driven capacity?</t>
        </is>
      </c>
      <c r="D29" s="17" t="inlineStr">
        <is>
          <t>Egress caps the room, not floor area. The mezzanine is already egress-capped at 2,240.</t>
        </is>
      </c>
      <c r="E29" s="71" t="inlineStr">
        <is>
          <t>capacity</t>
        </is>
      </c>
    </row>
    <row r="30">
      <c r="B30" s="58" t="n">
        <v>21</v>
      </c>
      <c r="C30" s="12" t="inlineStr">
        <is>
          <t>Your test fit shows 3,714 seated at 7 SF/occ and 5,200 standing at 5 SF/occ. Does that make the floor 26,000 SF and the mezzanine 14,000 SF?</t>
        </is>
      </c>
      <c r="D30" s="17" t="inlineStr">
        <is>
          <t>We derived those areas from your own occupancy loads. Confirm or correct them.</t>
        </is>
      </c>
      <c r="E30" s="71" t="inlineStr">
        <is>
          <t>$1,851,016</t>
        </is>
      </c>
    </row>
    <row r="31">
      <c r="B31" s="58" t="n">
        <v>22</v>
      </c>
      <c r="C31" s="12" t="inlineStr">
        <is>
          <t>Is the roof-deck, restaurant and VIP-lounge programme a client requirement or a design proposal?</t>
        </is>
      </c>
      <c r="D31" s="17" t="inlineStr">
        <is>
          <t>It is priced as though it were a requirement. If it is a proposal it can be deferred or deleted.</t>
        </is>
      </c>
      <c r="E31" s="71" t="inlineStr">
        <is>
          <t>$1,300,000+</t>
        </is>
      </c>
    </row>
    <row r="32">
      <c r="B32" s="58" t="n">
        <v>23</v>
      </c>
      <c r="C32" s="12" t="inlineStr">
        <is>
          <t>Do your drawings assume a roof LIFT or a roof REPLACEMENT?</t>
        </is>
      </c>
      <c r="D32" s="17" t="inlineStr">
        <is>
          <t>The development budget schedules 74,000 SF of precast roof for demolition, which is a replacement. A lift keeps the roof.</t>
        </is>
      </c>
      <c r="E32" s="71" t="inlineStr">
        <is>
          <t>$4,947,067</t>
        </is>
      </c>
    </row>
    <row r="33">
      <c r="B33" s="58" t="n">
        <v>24</v>
      </c>
      <c r="C33" s="12" t="inlineStr">
        <is>
          <t>What is the filing critical path, and which approval gates the Temporary Certificate of Occupancy?</t>
        </is>
      </c>
      <c r="D33" s="17" t="inlineStr">
        <is>
          <t>We need the sequence, not a fee proposal. DOB structural approval alone is 12-18 months.</t>
        </is>
      </c>
      <c r="E33" s="71" t="inlineStr">
        <is>
          <t>schedule</t>
        </is>
      </c>
    </row>
    <row r="34">
      <c r="B34" s="58" t="n">
        <v>25</v>
      </c>
      <c r="C34" s="12" t="inlineStr">
        <is>
          <t>What fire separation between zones is actually required?</t>
        </is>
      </c>
      <c r="D34" s="17" t="inlineStr">
        <is>
          <t>Rooflifters excludes it 'if required'. Nobody has said whether it is.</t>
        </is>
      </c>
      <c r="E34" s="71" t="inlineStr">
        <is>
          <t>$200,000</t>
        </is>
      </c>
    </row>
    <row r="35">
      <c r="B35" s="58" t="n">
        <v>26</v>
      </c>
      <c r="C35" s="12" t="inlineStr">
        <is>
          <t>Confirm the plumbing fixture calculation. The budget carries 189; the underwriting assumed 100.</t>
        </is>
      </c>
      <c r="D35" s="17" t="inlineStr">
        <is>
          <t>It is set by occupant load and occupancy group, so there is a right answer.</t>
        </is>
      </c>
      <c r="E35" s="71" t="inlineStr">
        <is>
          <t>$489,500</t>
        </is>
      </c>
    </row>
    <row r="36">
      <c r="B36" s="58" t="n">
        <v>27</v>
      </c>
      <c r="C36" s="12" t="inlineStr">
        <is>
          <t>Your fee is $2,200,000 with MEP and structural engineering folded into one line. Can we see the breakdown by discipline?</t>
        </is>
      </c>
      <c r="D36" s="17" t="inlineStr">
        <is>
          <t>Factory Town's architect ran 3.9x its approved budget. We would like to see the shape of this one.</t>
        </is>
      </c>
      <c r="E36" s="71" t="inlineStr">
        <is>
          <t>$2,200,000</t>
        </is>
      </c>
    </row>
    <row r="37">
      <c r="B37" s="58" t="n">
        <v>28</v>
      </c>
      <c r="C37" s="12" t="inlineStr">
        <is>
          <t>Does the acoustic treatment need blanket coverage, or targeted treatment on first-reflection and rear surfaces?</t>
        </is>
      </c>
      <c r="D37" s="17" t="inlineStr">
        <is>
          <t>28,000 SF of wall panel at $40/SF is the assumption. It is also the licence-to-operate item, so we will not cut it without you.</t>
        </is>
      </c>
      <c r="E37" s="71" t="inlineStr">
        <is>
          <t>$400,000</t>
        </is>
      </c>
    </row>
    <row r="39">
      <c r="B39" s="8" t="inlineStr">
        <is>
          <t>MECHANICAL ENGINEER</t>
        </is>
      </c>
      <c r="C39" s="9" t="n"/>
      <c r="D39" s="9" t="n"/>
      <c r="E39" s="9" t="n"/>
    </row>
    <row r="40">
      <c r="B40" s="43" t="inlineStr">
        <is>
          <t>No.</t>
        </is>
      </c>
      <c r="C40" s="43" t="inlineStr">
        <is>
          <t>Question</t>
        </is>
      </c>
      <c r="D40" s="43" t="inlineStr">
        <is>
          <t>Why it is hard to deflect</t>
        </is>
      </c>
      <c r="E40" s="43" t="inlineStr">
        <is>
          <t>$ at stake</t>
        </is>
      </c>
    </row>
    <row r="41">
      <c r="B41" s="58" t="n">
        <v>29</v>
      </c>
      <c r="C41" s="12" t="inlineStr">
        <is>
          <t>What is the calculated cooling load in tons, from a real load calculation?</t>
        </is>
      </c>
      <c r="D41" s="17" t="inlineStr">
        <is>
          <t>7,440 occupants alone are roughly 250 tons. We need the number, not a $/SF proxy.</t>
        </is>
      </c>
      <c r="E41" s="71" t="inlineStr">
        <is>
          <t>$1,100,000+</t>
        </is>
      </c>
    </row>
    <row r="42">
      <c r="B42" s="58" t="n">
        <v>30</v>
      </c>
      <c r="C42" s="12" t="inlineStr">
        <is>
          <t>Do we need a building management system at $500,000, or will simpler controls serve a single-volume assembly space?</t>
        </is>
      </c>
      <c r="D42" s="17" t="inlineStr">
        <is>
          <t>A BMS is sized for a building with many zones. This is one big room.</t>
        </is>
      </c>
      <c r="E42" s="71" t="inlineStr">
        <is>
          <t>$250,000</t>
        </is>
      </c>
    </row>
    <row r="43">
      <c r="B43" s="58" t="n">
        <v>31</v>
      </c>
      <c r="C43" s="12" t="inlineStr">
        <is>
          <t>Is mechanical smoke control required at this volume and height, and what does it cost?</t>
        </is>
      </c>
      <c r="D43" s="17" t="inlineStr">
        <is>
          <t>We carry $420,000 as an estimate. It is a code question with a definite answer.</t>
        </is>
      </c>
      <c r="E43" s="71" t="inlineStr">
        <is>
          <t>$420,000</t>
        </is>
      </c>
    </row>
    <row r="44">
      <c r="B44" s="58" t="n">
        <v>32</v>
      </c>
      <c r="C44" s="12" t="inlineStr">
        <is>
          <t>What is the heating strategy at a 50 ft ceiling, and is radiant the right call?</t>
        </is>
      </c>
      <c r="D44" s="17" t="inlineStr">
        <is>
          <t>There is NO heating scope in the contractor's budget at all.</t>
        </is>
      </c>
      <c r="E44" s="71" t="inlineStr">
        <is>
          <t>$815,100</t>
        </is>
      </c>
    </row>
    <row r="45">
      <c r="B45" s="58" t="n">
        <v>33</v>
      </c>
      <c r="C45" s="12" t="inlineStr">
        <is>
          <t>Does the mezzanine add conditioned volume, or only occupants and air distribution?</t>
        </is>
      </c>
      <c r="D45" s="17" t="inlineStr">
        <is>
          <t>It sits inside the existing envelope. It should be a minimal uplift, not a new building.</t>
        </is>
      </c>
      <c r="E45" s="71" t="inlineStr">
        <is>
          <t>$638,120</t>
        </is>
      </c>
    </row>
    <row r="47">
      <c r="B47" s="8" t="inlineStr">
        <is>
          <t>ROOFLIFTERS</t>
        </is>
      </c>
      <c r="C47" s="9" t="n"/>
      <c r="D47" s="9" t="n"/>
      <c r="E47" s="9" t="n"/>
    </row>
    <row r="48">
      <c r="B48" s="43" t="inlineStr">
        <is>
          <t>No.</t>
        </is>
      </c>
      <c r="C48" s="43" t="inlineStr">
        <is>
          <t>Question</t>
        </is>
      </c>
      <c r="D48" s="43" t="inlineStr">
        <is>
          <t>Why it is hard to deflect</t>
        </is>
      </c>
      <c r="E48" s="43" t="inlineStr">
        <is>
          <t>$ at stake</t>
        </is>
      </c>
    </row>
    <row r="49">
      <c r="B49" s="58" t="n">
        <v>34</v>
      </c>
      <c r="C49" s="12" t="inlineStr">
        <is>
          <t>Is the $3-4M lift-only, or does it include the external siding enclosure?</t>
        </is>
      </c>
      <c r="D49" s="17" t="inlineStr">
        <is>
          <t>Your published inclusions list siding. We need it confirmed for this project.</t>
        </is>
      </c>
      <c r="E49" s="71" t="inlineStr">
        <is>
          <t>$1,800,000</t>
        </is>
      </c>
    </row>
    <row r="50">
      <c r="B50" s="58" t="n">
        <v>35</v>
      </c>
      <c r="C50" s="12" t="inlineStr">
        <is>
          <t>Are new column footings and underpinning inside the price?</t>
        </is>
      </c>
      <c r="D50" s="17" t="inlineStr">
        <is>
          <t>We carry $1,087,650 for foundations that may already be yours.</t>
        </is>
      </c>
      <c r="E50" s="71" t="inlineStr">
        <is>
          <t>$1,087,650</t>
        </is>
      </c>
    </row>
    <row r="51">
      <c r="B51" s="58" t="n">
        <v>36</v>
      </c>
      <c r="C51" s="12" t="inlineStr">
        <is>
          <t>Who owns the roof-to-wall closure and its weatherproofing at the new joint?</t>
        </is>
      </c>
      <c r="D51" s="17" t="inlineStr">
        <is>
          <t>We carry $241,643 at $187/LF over 1,089 LF. It may be inside your enclosure scope.</t>
        </is>
      </c>
      <c r="E51" s="71" t="inlineStr">
        <is>
          <t>$241,643</t>
        </is>
      </c>
    </row>
    <row r="52">
      <c r="B52" s="58" t="n">
        <v>37</v>
      </c>
      <c r="C52" s="12" t="inlineStr">
        <is>
          <t>Is the roof MEMBRANE included, or only the external siding?</t>
        </is>
      </c>
      <c r="D52" s="17" t="inlineStr">
        <is>
          <t>Different answers change the number by roughly $2.5M.</t>
        </is>
      </c>
      <c r="E52" s="71" t="inlineStr">
        <is>
          <t>$2,593,500</t>
        </is>
      </c>
    </row>
    <row r="53">
      <c r="B53" s="58" t="n">
        <v>38</v>
      </c>
      <c r="C53" s="12" t="inlineStr">
        <is>
          <t>Union or non-union basis — and can you price both?</t>
        </is>
      </c>
      <c r="D53" s="17" t="inlineStr">
        <is>
          <t>Your rate card says non-union. This is New York.</t>
        </is>
      </c>
      <c r="E53" s="71" t="inlineStr">
        <is>
          <t>$1,500,000+</t>
        </is>
      </c>
    </row>
    <row r="54">
      <c r="B54" s="58" t="n">
        <v>39</v>
      </c>
      <c r="C54" s="12" t="inlineStr">
        <is>
          <t>What is the quote date and how long is it held?</t>
        </is>
      </c>
      <c r="D54" s="17" t="inlineStr">
        <is>
          <t>Your published card is 2022. We are assuming 30-40% escalation and would rather not guess.</t>
        </is>
      </c>
      <c r="E54" s="71" t="inlineStr">
        <is>
          <t>$1,000,000</t>
        </is>
      </c>
    </row>
    <row r="55">
      <c r="B55" s="58" t="n">
        <v>40</v>
      </c>
      <c r="C55" s="12" t="inlineStr">
        <is>
          <t>Can the existing roof structure take being lifted, and will you carry out the Stage 3 on-site structural analysis?</t>
        </is>
      </c>
      <c r="D55" s="17" t="inlineStr">
        <is>
          <t>Your own process says the fee credits against the contract. It decides whether this is a $5.7M lift or a $10.6M replacement.</t>
        </is>
      </c>
      <c r="E55" s="71" t="inlineStr">
        <is>
          <t>$4,947,067</t>
        </is>
      </c>
    </row>
    <row r="57">
      <c r="B57" s="8" t="inlineStr">
        <is>
          <t>LANDLORD  (Eric Cohen)</t>
        </is>
      </c>
      <c r="C57" s="9" t="n"/>
      <c r="D57" s="9" t="n"/>
      <c r="E57" s="9" t="n"/>
    </row>
    <row r="58">
      <c r="B58" s="43" t="inlineStr">
        <is>
          <t>No.</t>
        </is>
      </c>
      <c r="C58" s="43" t="inlineStr">
        <is>
          <t>Question</t>
        </is>
      </c>
      <c r="D58" s="43" t="inlineStr">
        <is>
          <t>Why it is hard to deflect</t>
        </is>
      </c>
      <c r="E58" s="43" t="inlineStr">
        <is>
          <t>$ at stake</t>
        </is>
      </c>
    </row>
    <row r="59">
      <c r="B59" s="58" t="n">
        <v>41</v>
      </c>
      <c r="C59" s="12" t="inlineStr">
        <is>
          <t>Is the 260-space parking garage our scope or yours?</t>
        </is>
      </c>
      <c r="D59" s="17" t="inlineStr">
        <is>
          <t>$2,150,000 appears in the development budget and nowhere in the underwriting.</t>
        </is>
      </c>
      <c r="E59" s="71" t="inlineStr">
        <is>
          <t>$2,257,500</t>
        </is>
      </c>
    </row>
    <row r="60">
      <c r="B60" s="58" t="n">
        <v>42</v>
      </c>
      <c r="C60" s="12" t="inlineStr">
        <is>
          <t>Will you fund the roof lift as base-building work, or provide a TI allowance against it?</t>
        </is>
      </c>
      <c r="D60" s="17" t="inlineStr">
        <is>
          <t>A 30 ft roof raise is a permanent improvement to your building that outlives a 20-year lease.</t>
        </is>
      </c>
      <c r="E60" s="71" t="inlineStr">
        <is>
          <t>$7,146,288</t>
        </is>
      </c>
    </row>
    <row r="61">
      <c r="B61" s="58" t="n">
        <v>43</v>
      </c>
      <c r="C61" s="12" t="inlineStr">
        <is>
          <t>Is the $7.50/SF NNN a negotiated CAP or an estimate of actual charges?</t>
        </is>
      </c>
      <c r="D61" s="17" t="inlineStr">
        <is>
          <t>NYC Class 4 real estate tax alone plausibly runs $19-24/SF on the comps in your own deck.</t>
        </is>
      </c>
      <c r="E61" s="71" t="inlineStr">
        <is>
          <t>$926,250/yr</t>
        </is>
      </c>
    </row>
    <row r="62">
      <c r="B62" s="58" t="n">
        <v>44</v>
      </c>
      <c r="C62" s="12" t="inlineStr">
        <is>
          <t>What build-period base rent abatement is available?</t>
        </is>
      </c>
      <c r="D62" s="17" t="inlineStr">
        <is>
          <t>Rent runs through a 12-18 month DOB approval we do not control, before a ticket is sold.</t>
        </is>
      </c>
      <c r="E62" s="71" t="inlineStr">
        <is>
          <t>$9,000,000+</t>
        </is>
      </c>
    </row>
    <row r="63">
      <c r="B63" s="58" t="n">
        <v>45</v>
      </c>
      <c r="C63" s="12" t="inlineStr">
        <is>
          <t>Is there a renewal option at a pre-agreed rate, and a purchase option at a struck price?</t>
        </is>
      </c>
      <c r="D63" s="17" t="inlineStr">
        <is>
          <t>We are funding $45M+ of improvement on your building with no residual at year 20.</t>
        </is>
      </c>
      <c r="E63" s="71" t="inlineStr">
        <is>
          <t>structural</t>
        </is>
      </c>
    </row>
    <row r="64">
      <c r="B64" s="58" t="n">
        <v>46</v>
      </c>
      <c r="C64" s="12" t="inlineStr">
        <is>
          <t>Will you commit unconditionally, and within a stated time limit, to signing DOB filings as owner of record?</t>
        </is>
      </c>
      <c r="D64" s="17" t="inlineStr">
        <is>
          <t>Every filing needs your signature. A promise to be reasonable is not a term.</t>
        </is>
      </c>
      <c r="E64" s="71" t="inlineStr">
        <is>
          <t>schedule</t>
        </is>
      </c>
    </row>
    <row r="66">
      <c r="B66" s="8" t="inlineStr">
        <is>
          <t>COUNSEL</t>
        </is>
      </c>
      <c r="C66" s="9" t="n"/>
      <c r="D66" s="9" t="n"/>
      <c r="E66" s="9" t="n"/>
    </row>
    <row r="67">
      <c r="B67" s="43" t="inlineStr">
        <is>
          <t>No.</t>
        </is>
      </c>
      <c r="C67" s="43" t="inlineStr">
        <is>
          <t>Question</t>
        </is>
      </c>
      <c r="D67" s="43" t="inlineStr">
        <is>
          <t>Why it is hard to deflect</t>
        </is>
      </c>
      <c r="E67" s="43" t="inlineStr">
        <is>
          <t>$ at stake</t>
        </is>
      </c>
    </row>
    <row r="68">
      <c r="B68" s="58" t="n">
        <v>47</v>
      </c>
      <c r="C68" s="12" t="inlineStr">
        <is>
          <t>Is this use as-of-right in M3-1 — and can we have the written determination with citations?</t>
        </is>
      </c>
      <c r="D68" s="17" t="inlineStr">
        <is>
          <t>The underwriting asserts it in one line. It is the largest binary risk in the deal.</t>
        </is>
      </c>
      <c r="E68" s="71" t="inlineStr">
        <is>
          <t>the deal</t>
        </is>
      </c>
    </row>
    <row r="69">
      <c r="B69" s="58" t="n">
        <v>48</v>
      </c>
      <c r="C69" s="12" t="inlineStr">
        <is>
          <t>Does the mixed programme — venue plus restaurant plus rooftop assembly — create more than one use determination?</t>
        </is>
      </c>
      <c r="D69" s="17" t="inlineStr">
        <is>
          <t>The weakest one governs.</t>
        </is>
      </c>
      <c r="E69" s="71" t="inlineStr">
        <is>
          <t>the deal</t>
        </is>
      </c>
    </row>
    <row r="70">
      <c r="B70" s="58" t="n">
        <v>49</v>
      </c>
      <c r="C70" s="12" t="inlineStr">
        <is>
          <t>What does the theater classification require physically: seat count, fixed vs removable, which floor?</t>
        </is>
      </c>
      <c r="D70" s="17" t="inlineStr">
        <is>
          <t>Every seating number we have is a placeholder until you answer.</t>
        </is>
      </c>
      <c r="E70" s="71" t="inlineStr">
        <is>
          <t>$3,156,738</t>
        </is>
      </c>
    </row>
    <row r="71">
      <c r="B71" s="58" t="n">
        <v>50</v>
      </c>
      <c r="C71" s="12" t="inlineStr">
        <is>
          <t>Does the cabaret licence still exist? NYC repealed the cabaret law in 2017.</t>
        </is>
      </c>
      <c r="D71" s="17" t="inlineStr">
        <is>
          <t>If the team is designing around a repealed licence, that shapes the drawings wrongly.</t>
        </is>
      </c>
      <c r="E71" s="71" t="inlineStr">
        <is>
          <t>design</t>
        </is>
      </c>
    </row>
    <row r="72">
      <c r="B72" s="58" t="n">
        <v>51</v>
      </c>
      <c r="C72" s="12" t="inlineStr">
        <is>
          <t>Does taking the IDA / ICAP sales-tax exemption trigger prevailing wage?</t>
        </is>
      </c>
      <c r="D72" s="17" t="inlineStr">
        <is>
          <t>The exemption is worth $1.1-1.5M. Prevailing wage could cost more than that.</t>
        </is>
      </c>
      <c r="E72" s="71" t="inlineStr">
        <is>
          <t>net negative</t>
        </is>
      </c>
    </row>
    <row r="73">
      <c r="B73" s="58" t="n">
        <v>52</v>
      </c>
      <c r="C73" s="12" t="inlineStr">
        <is>
          <t>Does our liquor licence class carry a food-service requirement?</t>
        </is>
      </c>
      <c r="D73" s="17" t="inlineStr">
        <is>
          <t>We are planning to outsource the kitchen entirely.</t>
        </is>
      </c>
      <c r="E73" s="71" t="inlineStr">
        <is>
          <t>$215,000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J240"/>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52" customWidth="1" min="3" max="3"/>
    <col width="7" customWidth="1" min="4" max="4"/>
    <col width="6" customWidth="1" min="5" max="5"/>
    <col width="11" customWidth="1" min="6" max="6"/>
    <col width="12" customWidth="1" min="7" max="7"/>
    <col width="9" customWidth="1" min="8" max="8"/>
    <col width="66" customWidth="1" min="9" max="9"/>
    <col hidden="1" width="13" customWidth="1" min="10" max="10"/>
  </cols>
  <sheetData>
    <row r="2">
      <c r="B2" s="1" t="inlineStr">
        <is>
          <t>THOMAS’S BUDGET — EVERY LINE, RECONCILED</t>
        </is>
      </c>
    </row>
    <row r="3">
      <c r="B3" s="3" t="inlineStr">
        <is>
          <t>All 199 trade lines from the Master Development Budget dated 7 Sep 2026. Nothing dropped.</t>
        </is>
      </c>
    </row>
    <row r="5" ht="58" customHeight="1">
      <c r="B5" s="2" t="inlineStr">
        <is>
          <t>GENERAL CONDITIONS — PICK ONE, NOT BOTH</t>
        </is>
      </c>
      <c r="F5" s="3" t="inlineStr">
        <is>
          <t>GC line items</t>
        </is>
      </c>
      <c r="G5" s="55">
        <f>SUMIF(I9:I238,"GC*",G9:G238)</f>
        <v/>
      </c>
      <c r="I5" s="40" t="inlineStr">
        <is>
          <t>Thomas carries $1,696,000 of general conditions as TRADE LINES (013000 + 015800: site office, site security, safety plan, portable toilets, clean-up, rubbish, final clean, project labour, field technology). We also apply an 11%% general conditions markup on trade cost, which is $4,125,146. THAT IS THE SAME SITE COST TWICE. The toggle at the top of the Detailed Budget picks one: 1 = the percentage, 0 = his line items. His line items are $2,429,146 CHEAPER — but they are also incomplete, since all of 015800 sits at qty 0.</t>
        </is>
      </c>
    </row>
    <row r="6">
      <c r="B6" s="54" t="inlineStr">
        <is>
          <t>ADD-BACKS TOGGLED ON</t>
        </is>
      </c>
      <c r="G6" s="55">
        <f>SUM(J9:J238)</f>
        <v/>
      </c>
      <c r="I6" s="3" t="inlineStr">
        <is>
          <t>Live total of every non-GC line whose toggle is 1. Feeds the Detailed Budget below the line. Default is zero.</t>
        </is>
      </c>
    </row>
    <row r="8">
      <c r="B8" s="7" t="inlineStr">
        <is>
          <t>CSI</t>
        </is>
      </c>
      <c r="C8" s="7" t="inlineStr">
        <is>
          <t>Description</t>
        </is>
      </c>
      <c r="D8" s="7" t="inlineStr">
        <is>
          <t>Qty</t>
        </is>
      </c>
      <c r="E8" s="7" t="inlineStr">
        <is>
          <t>Unit</t>
        </is>
      </c>
      <c r="F8" s="7" t="inlineStr">
        <is>
          <t>His rate</t>
        </is>
      </c>
      <c r="G8" s="7" t="inlineStr">
        <is>
          <t>His total</t>
        </is>
      </c>
      <c r="H8" s="7" t="inlineStr">
        <is>
          <t>ON=1</t>
        </is>
      </c>
      <c r="I8" s="7" t="inlineStr">
        <is>
          <t>Status — where it lands in this model / why it is off</t>
        </is>
      </c>
    </row>
    <row r="9">
      <c r="B9" s="8" t="inlineStr">
        <is>
          <t>013000   PROJECT REQUIREMENTS</t>
        </is>
      </c>
      <c r="C9" s="9" t="n"/>
      <c r="D9" s="9" t="n"/>
      <c r="E9" s="9" t="n"/>
      <c r="F9" s="9" t="n"/>
      <c r="G9" s="9" t="n"/>
      <c r="H9" s="9" t="n"/>
      <c r="I9" s="9" t="n"/>
    </row>
    <row r="10" ht="22" customHeight="1">
      <c r="B10" s="31" t="inlineStr">
        <is>
          <t>013000</t>
        </is>
      </c>
      <c r="C10" s="12" t="inlineStr">
        <is>
          <t>1. BIM Set Up &amp; Coordination</t>
        </is>
      </c>
      <c r="D10" s="72" t="n">
        <v>1</v>
      </c>
      <c r="E10" s="31" t="inlineStr">
        <is>
          <t>LS</t>
        </is>
      </c>
      <c r="F10" s="16" t="n">
        <v>30000</v>
      </c>
      <c r="G10" s="16" t="n">
        <v>30000</v>
      </c>
      <c r="H10" s="73" t="n">
        <v>0</v>
      </c>
      <c r="I10" s="42" t="inlineStr">
        <is>
          <t>GC — GENERAL CONDITIONS CONTENT — see the master toggle above</t>
        </is>
      </c>
      <c r="J10" s="35" t="n">
        <v>0</v>
      </c>
    </row>
    <row r="11" ht="22" customHeight="1">
      <c r="B11" s="31" t="inlineStr">
        <is>
          <t>013000</t>
        </is>
      </c>
      <c r="C11" s="12" t="inlineStr">
        <is>
          <t>2. Plans / Reprographics</t>
        </is>
      </c>
      <c r="D11" s="72" t="n">
        <v>1</v>
      </c>
      <c r="E11" s="31" t="inlineStr">
        <is>
          <t>LS</t>
        </is>
      </c>
      <c r="F11" s="16" t="n">
        <v>7500</v>
      </c>
      <c r="G11" s="16" t="n">
        <v>7500</v>
      </c>
      <c r="H11" s="73" t="n">
        <v>0</v>
      </c>
      <c r="I11" s="42" t="inlineStr">
        <is>
          <t>GC — GENERAL CONDITIONS CONTENT — see the master toggle above</t>
        </is>
      </c>
      <c r="J11" s="35" t="n">
        <v>0</v>
      </c>
    </row>
    <row r="12" ht="22" customHeight="1">
      <c r="B12" s="31" t="inlineStr">
        <is>
          <t>013000</t>
        </is>
      </c>
      <c r="C12" s="12" t="inlineStr">
        <is>
          <t>3. Site Office &amp; Equipment</t>
        </is>
      </c>
      <c r="D12" s="72" t="n">
        <v>1</v>
      </c>
      <c r="E12" s="31" t="inlineStr">
        <is>
          <t>LS</t>
        </is>
      </c>
      <c r="F12" s="16" t="n">
        <v>12000</v>
      </c>
      <c r="G12" s="16" t="n">
        <v>12000</v>
      </c>
      <c r="H12" s="73" t="n">
        <v>0</v>
      </c>
      <c r="I12" s="42" t="inlineStr">
        <is>
          <t>GC — GENERAL CONDITIONS CONTENT — see the master toggle above</t>
        </is>
      </c>
      <c r="J12" s="35" t="n">
        <v>0</v>
      </c>
    </row>
    <row r="13" ht="33" customHeight="1">
      <c r="B13" s="31" t="inlineStr">
        <is>
          <t>013000</t>
        </is>
      </c>
      <c r="C13" s="12" t="inlineStr">
        <is>
          <t>4. Field Techonology</t>
        </is>
      </c>
      <c r="D13" s="72" t="n">
        <v>1</v>
      </c>
      <c r="E13" s="31" t="inlineStr">
        <is>
          <t>LS</t>
        </is>
      </c>
      <c r="F13" s="16" t="n">
        <v>200000</v>
      </c>
      <c r="G13" s="16" t="n">
        <v>200000</v>
      </c>
      <c r="H13" s="73" t="n">
        <v>0</v>
      </c>
      <c r="I13" s="42" t="inlineStr">
        <is>
          <t>GC — $200,000 of "field technology" is a general conditions item and a big one. Ask what it actually buys — Procore licences and a few tablets are not $200,000.</t>
        </is>
      </c>
      <c r="J13" s="35" t="n">
        <v>0</v>
      </c>
    </row>
    <row r="14" ht="22" customHeight="1">
      <c r="B14" s="31" t="inlineStr">
        <is>
          <t>013000</t>
        </is>
      </c>
      <c r="C14" s="12" t="inlineStr">
        <is>
          <t>5. Construction Signage</t>
        </is>
      </c>
      <c r="D14" s="72" t="n">
        <v>1</v>
      </c>
      <c r="E14" s="31" t="inlineStr">
        <is>
          <t>LS</t>
        </is>
      </c>
      <c r="F14" s="16" t="n">
        <v>4500</v>
      </c>
      <c r="G14" s="16" t="n">
        <v>4500</v>
      </c>
      <c r="H14" s="73" t="n">
        <v>0</v>
      </c>
      <c r="I14" s="42" t="inlineStr">
        <is>
          <t>GC — GENERAL CONDITIONS CONTENT — see the master toggle above</t>
        </is>
      </c>
      <c r="J14" s="35" t="n">
        <v>0</v>
      </c>
    </row>
    <row r="15" ht="22" customHeight="1">
      <c r="B15" s="31" t="inlineStr">
        <is>
          <t>013000</t>
        </is>
      </c>
      <c r="C15" s="12" t="inlineStr">
        <is>
          <t>6. Site Security</t>
        </is>
      </c>
      <c r="D15" s="72" t="n">
        <v>1</v>
      </c>
      <c r="E15" s="31" t="inlineStr">
        <is>
          <t>LS</t>
        </is>
      </c>
      <c r="F15" s="16" t="n">
        <v>13000</v>
      </c>
      <c r="G15" s="16" t="n">
        <v>13000</v>
      </c>
      <c r="H15" s="73" t="n">
        <v>0</v>
      </c>
      <c r="I15" s="42" t="inlineStr">
        <is>
          <t>GC — GENERAL CONDITIONS CONTENT — see the master toggle above</t>
        </is>
      </c>
      <c r="J15" s="35" t="n">
        <v>0</v>
      </c>
    </row>
    <row r="16" ht="33" customHeight="1">
      <c r="B16" s="31" t="inlineStr">
        <is>
          <t>013000</t>
        </is>
      </c>
      <c r="C16" s="12" t="inlineStr">
        <is>
          <t>7. Site Safety Plan / First Aid / TPP / FE's / Safety Inspector</t>
        </is>
      </c>
      <c r="D16" s="72" t="n">
        <v>1</v>
      </c>
      <c r="E16" s="31" t="inlineStr">
        <is>
          <t>LS</t>
        </is>
      </c>
      <c r="F16" s="16" t="n">
        <v>250000</v>
      </c>
      <c r="G16" s="16" t="n">
        <v>250000</v>
      </c>
      <c r="H16" s="73" t="n">
        <v>0</v>
      </c>
      <c r="I16" s="42" t="inlineStr">
        <is>
          <t>GC — $250,000. NYC site safety is real and required, but it belongs in general conditions, not on top of a general conditions percentage.</t>
        </is>
      </c>
      <c r="J16" s="35" t="n">
        <v>0</v>
      </c>
    </row>
    <row r="17" ht="22" customHeight="1">
      <c r="B17" s="31" t="inlineStr">
        <is>
          <t>013000</t>
        </is>
      </c>
      <c r="C17" s="12" t="inlineStr">
        <is>
          <t>8. Portable Toilets</t>
        </is>
      </c>
      <c r="D17" s="72" t="n">
        <v>60</v>
      </c>
      <c r="E17" s="31" t="inlineStr">
        <is>
          <t>WK</t>
        </is>
      </c>
      <c r="F17" s="16" t="n">
        <v>400</v>
      </c>
      <c r="G17" s="16" t="n">
        <v>24000</v>
      </c>
      <c r="H17" s="73" t="n">
        <v>0</v>
      </c>
      <c r="I17" s="42" t="inlineStr">
        <is>
          <t>GC — GENERAL CONDITIONS CONTENT — see the master toggle above</t>
        </is>
      </c>
      <c r="J17" s="35" t="n">
        <v>0</v>
      </c>
    </row>
    <row r="18" ht="22" customHeight="1">
      <c r="B18" s="31" t="inlineStr">
        <is>
          <t>013000</t>
        </is>
      </c>
      <c r="C18" s="12" t="inlineStr">
        <is>
          <t>9. Clean up Materials</t>
        </is>
      </c>
      <c r="D18" s="72" t="n">
        <v>1</v>
      </c>
      <c r="E18" s="31" t="inlineStr">
        <is>
          <t>LS</t>
        </is>
      </c>
      <c r="F18" s="16" t="n">
        <v>45000</v>
      </c>
      <c r="G18" s="16" t="n">
        <v>45000</v>
      </c>
      <c r="H18" s="73" t="n">
        <v>0</v>
      </c>
      <c r="I18" s="42" t="inlineStr">
        <is>
          <t>GC — GENERAL CONDITIONS CONTENT — see the master toggle above</t>
        </is>
      </c>
      <c r="J18" s="35" t="n">
        <v>0</v>
      </c>
    </row>
    <row r="19" ht="22" customHeight="1">
      <c r="B19" s="31" t="inlineStr">
        <is>
          <t>013000</t>
        </is>
      </c>
      <c r="C19" s="12" t="inlineStr">
        <is>
          <t>10. Protection Materials</t>
        </is>
      </c>
      <c r="D19" s="72" t="n">
        <v>1</v>
      </c>
      <c r="E19" s="31" t="inlineStr">
        <is>
          <t>LS</t>
        </is>
      </c>
      <c r="F19" s="16" t="n">
        <v>50000</v>
      </c>
      <c r="G19" s="16" t="n">
        <v>50000</v>
      </c>
      <c r="H19" s="73" t="n">
        <v>0</v>
      </c>
      <c r="I19" s="42" t="inlineStr">
        <is>
          <t>GC — GENERAL CONDITIONS CONTENT — see the master toggle above</t>
        </is>
      </c>
      <c r="J19" s="35" t="n">
        <v>0</v>
      </c>
    </row>
    <row r="20" ht="33" customHeight="1">
      <c r="B20" s="31" t="inlineStr">
        <is>
          <t>013000</t>
        </is>
      </c>
      <c r="C20" s="12" t="inlineStr">
        <is>
          <t>11. Project Labor</t>
        </is>
      </c>
      <c r="D20" s="72" t="n">
        <v>1</v>
      </c>
      <c r="E20" s="31" t="inlineStr">
        <is>
          <t>LS</t>
        </is>
      </c>
      <c r="F20" s="16" t="n">
        <v>900000</v>
      </c>
      <c r="G20" s="16" t="n">
        <v>900000</v>
      </c>
      <c r="H20" s="73" t="n">
        <v>0</v>
      </c>
      <c r="I20" s="42" t="inlineStr">
        <is>
          <t>GC — $900,000 of "project labor" is the single largest general conditions line. This is GC labour on site. It is exactly what the 11% markup is for. Do not pay both.</t>
        </is>
      </c>
      <c r="J20" s="35" t="n">
        <v>0</v>
      </c>
    </row>
    <row r="21" ht="22" customHeight="1">
      <c r="B21" s="31" t="inlineStr">
        <is>
          <t>013000</t>
        </is>
      </c>
      <c r="C21" s="12" t="inlineStr">
        <is>
          <t>12. Project Rubbish Removals</t>
        </is>
      </c>
      <c r="D21" s="72" t="n">
        <v>1</v>
      </c>
      <c r="E21" s="31" t="inlineStr">
        <is>
          <t>LS</t>
        </is>
      </c>
      <c r="F21" s="16" t="n">
        <v>60000</v>
      </c>
      <c r="G21" s="16" t="n">
        <v>60000</v>
      </c>
      <c r="H21" s="73" t="n">
        <v>0</v>
      </c>
      <c r="I21" s="42" t="inlineStr">
        <is>
          <t>GC — GENERAL CONDITIONS CONTENT — see the master toggle above</t>
        </is>
      </c>
      <c r="J21" s="35" t="n">
        <v>0</v>
      </c>
    </row>
    <row r="22" ht="22" customHeight="1">
      <c r="B22" s="31" t="inlineStr">
        <is>
          <t>013000</t>
        </is>
      </c>
      <c r="C22" s="12" t="inlineStr">
        <is>
          <t>13. Final Clean</t>
        </is>
      </c>
      <c r="D22" s="72" t="n">
        <v>1</v>
      </c>
      <c r="E22" s="31" t="inlineStr">
        <is>
          <t>LS</t>
        </is>
      </c>
      <c r="F22" s="16" t="n">
        <v>100000</v>
      </c>
      <c r="G22" s="16" t="n">
        <v>100000</v>
      </c>
      <c r="H22" s="73" t="n">
        <v>0</v>
      </c>
      <c r="I22" s="42" t="inlineStr">
        <is>
          <t>GC — GENERAL CONDITIONS CONTENT — see the master toggle above</t>
        </is>
      </c>
      <c r="J22" s="35" t="n">
        <v>0</v>
      </c>
    </row>
    <row r="23">
      <c r="B23" s="8" t="inlineStr">
        <is>
          <t>015800   SCAFFOLDING &amp; HOARDING</t>
        </is>
      </c>
      <c r="C23" s="9" t="n"/>
      <c r="D23" s="9" t="n"/>
      <c r="E23" s="9" t="n"/>
      <c r="F23" s="9" t="n"/>
      <c r="G23" s="9" t="n"/>
      <c r="H23" s="9" t="n"/>
      <c r="I23" s="9" t="n"/>
    </row>
    <row r="24" ht="33" customHeight="1">
      <c r="B24" s="31" t="inlineStr">
        <is>
          <t>015800</t>
        </is>
      </c>
      <c r="C24" s="12" t="inlineStr">
        <is>
          <t>1. Install sidewalk bridge around building</t>
        </is>
      </c>
      <c r="D24" s="72" t="n">
        <v>0</v>
      </c>
      <c r="E24" s="31" t="inlineStr">
        <is>
          <t>LS</t>
        </is>
      </c>
      <c r="F24" s="16" t="n">
        <v>250000</v>
      </c>
      <c r="G24" s="16" t="n">
        <v>0</v>
      </c>
      <c r="H24" s="73" t="n">
        <v>0</v>
      </c>
      <c r="I24" s="12" t="inlineStr">
        <is>
          <t>IN — Div 000 — we price the shed at $210/LF over 1,089 LF plus 24 months of rental, which is a build-up rather than his $250,000 lump. Ours is the more defensible number.</t>
        </is>
      </c>
      <c r="J24" s="35">
        <f>H24*G24</f>
        <v/>
      </c>
    </row>
    <row r="25" ht="22" customHeight="1">
      <c r="B25" s="31" t="inlineStr">
        <is>
          <t>015800</t>
        </is>
      </c>
      <c r="C25" s="12" t="inlineStr">
        <is>
          <t>2. Roof Protection/Barriers after Demo of roof</t>
        </is>
      </c>
      <c r="D25" s="72" t="n">
        <v>0</v>
      </c>
      <c r="E25" s="31" t="inlineStr">
        <is>
          <t>LS</t>
        </is>
      </c>
      <c r="F25" s="16" t="n">
        <v>50000</v>
      </c>
      <c r="G25" s="16" t="n">
        <v>0</v>
      </c>
      <c r="H25" s="73" t="n">
        <v>0</v>
      </c>
      <c r="I25" s="42" t="inlineStr">
        <is>
          <t>GC — GENERAL CONDITIONS CONTENT — see the master toggle above</t>
        </is>
      </c>
      <c r="J25" s="35" t="n">
        <v>0</v>
      </c>
    </row>
    <row r="26" ht="22" customHeight="1">
      <c r="B26" s="31" t="inlineStr">
        <is>
          <t>015800</t>
        </is>
      </c>
      <c r="C26" s="12" t="inlineStr">
        <is>
          <t>3. Site safety During Erection</t>
        </is>
      </c>
      <c r="D26" s="72" t="n">
        <v>0</v>
      </c>
      <c r="E26" s="31" t="inlineStr">
        <is>
          <t>LS</t>
        </is>
      </c>
      <c r="F26" s="16" t="n">
        <v>20000</v>
      </c>
      <c r="G26" s="16" t="n">
        <v>0</v>
      </c>
      <c r="H26" s="73" t="n">
        <v>0</v>
      </c>
      <c r="I26" s="42" t="inlineStr">
        <is>
          <t>GC — GENERAL CONDITIONS CONTENT — see the master toggle above</t>
        </is>
      </c>
      <c r="J26" s="35" t="n">
        <v>0</v>
      </c>
    </row>
    <row r="27">
      <c r="B27" s="8" t="inlineStr">
        <is>
          <t>024100   DEMOLITION</t>
        </is>
      </c>
      <c r="C27" s="9" t="n"/>
      <c r="D27" s="9" t="n"/>
      <c r="E27" s="9" t="n"/>
      <c r="F27" s="9" t="n"/>
      <c r="G27" s="9" t="n"/>
      <c r="H27" s="9" t="n"/>
      <c r="I27" s="9" t="n"/>
    </row>
    <row r="28" ht="13" customHeight="1">
      <c r="B28" s="31" t="inlineStr">
        <is>
          <t>024100</t>
        </is>
      </c>
      <c r="C28" s="12" t="inlineStr">
        <is>
          <t>1. Demo existing asonry walls at New Entry/Lobby area</t>
        </is>
      </c>
      <c r="D28" s="72" t="n">
        <v>2500</v>
      </c>
      <c r="E28" s="31" t="inlineStr">
        <is>
          <t>SF</t>
        </is>
      </c>
      <c r="F28" s="16" t="n">
        <v>12</v>
      </c>
      <c r="G28" s="16" t="n">
        <v>30000</v>
      </c>
      <c r="H28" s="73" t="n">
        <v>0</v>
      </c>
      <c r="I28" s="12" t="inlineStr">
        <is>
          <t>IN — Div 000 — Demolition, interior</t>
        </is>
      </c>
      <c r="J28" s="35">
        <f>H28*G28</f>
        <v/>
      </c>
    </row>
    <row r="29" ht="13" customHeight="1">
      <c r="B29" s="31" t="inlineStr">
        <is>
          <t>024100</t>
        </is>
      </c>
      <c r="C29" s="12" t="inlineStr">
        <is>
          <t>1. Demo existing windows 1'x10'</t>
        </is>
      </c>
      <c r="D29" s="72" t="n">
        <v>34</v>
      </c>
      <c r="E29" s="31" t="inlineStr">
        <is>
          <t>EA</t>
        </is>
      </c>
      <c r="F29" s="16" t="n">
        <v>12</v>
      </c>
      <c r="G29" s="16" t="n">
        <v>408</v>
      </c>
      <c r="H29" s="73" t="n">
        <v>0</v>
      </c>
      <c r="I29" s="12" t="inlineStr">
        <is>
          <t>IN — Div 000 — Demolition, interior</t>
        </is>
      </c>
      <c r="J29" s="35">
        <f>H29*G29</f>
        <v/>
      </c>
    </row>
    <row r="30" ht="13" customHeight="1">
      <c r="B30" s="31" t="inlineStr">
        <is>
          <t>024100</t>
        </is>
      </c>
      <c r="C30" s="12" t="inlineStr">
        <is>
          <t>2. Demo. Misc. Build out scattered thru out, e.g. piping, CMU, walls</t>
        </is>
      </c>
      <c r="D30" s="72" t="n">
        <v>0</v>
      </c>
      <c r="E30" s="31" t="inlineStr">
        <is>
          <t>SF</t>
        </is>
      </c>
      <c r="F30" s="16" t="n">
        <v>2</v>
      </c>
      <c r="G30" s="16" t="n">
        <v>0</v>
      </c>
      <c r="H30" s="73" t="n">
        <v>0</v>
      </c>
      <c r="I30" s="12" t="inlineStr">
        <is>
          <t>IN — Div 000 — Demolition, interior</t>
        </is>
      </c>
      <c r="J30" s="35">
        <f>H30*G30</f>
        <v/>
      </c>
    </row>
    <row r="31" ht="13" customHeight="1">
      <c r="B31" s="31" t="inlineStr">
        <is>
          <t>024100</t>
        </is>
      </c>
      <c r="C31" s="12" t="inlineStr">
        <is>
          <t>3. Demo. Roofing, deck &amp; framing to create new elevated roof area at Music Hall</t>
        </is>
      </c>
      <c r="D31" s="72" t="n">
        <v>0</v>
      </c>
      <c r="E31" s="31" t="inlineStr">
        <is>
          <t>SF</t>
        </is>
      </c>
      <c r="F31" s="16" t="n">
        <v>15</v>
      </c>
      <c r="G31" s="16" t="n">
        <v>0</v>
      </c>
      <c r="H31" s="73" t="n">
        <v>0</v>
      </c>
      <c r="I31" s="12" t="inlineStr">
        <is>
          <t>IN — Div 000 — Demolition, interior</t>
        </is>
      </c>
      <c r="J31" s="35">
        <f>H31*G31</f>
        <v/>
      </c>
    </row>
    <row r="32" ht="13" customHeight="1">
      <c r="B32" s="31" t="inlineStr">
        <is>
          <t>024100</t>
        </is>
      </c>
      <c r="C32" s="12" t="inlineStr">
        <is>
          <t>4. Demo Floor for New Structural Columns/Footings</t>
        </is>
      </c>
      <c r="D32" s="72" t="n">
        <v>0</v>
      </c>
      <c r="E32" s="31" t="inlineStr">
        <is>
          <t>SF</t>
        </is>
      </c>
      <c r="F32" s="16" t="n">
        <v>10</v>
      </c>
      <c r="G32" s="16" t="n">
        <v>0</v>
      </c>
      <c r="H32" s="73" t="n">
        <v>0</v>
      </c>
      <c r="I32" s="12" t="inlineStr">
        <is>
          <t>IN — Div 000 — Demolition, interior</t>
        </is>
      </c>
      <c r="J32" s="35">
        <f>H32*G32</f>
        <v/>
      </c>
    </row>
    <row r="33" ht="13" customHeight="1">
      <c r="B33" s="31" t="inlineStr">
        <is>
          <t>024100</t>
        </is>
      </c>
      <c r="C33" s="12" t="inlineStr">
        <is>
          <t>5. Allow for Floor trenching for MEPS</t>
        </is>
      </c>
      <c r="D33" s="72" t="n">
        <v>0</v>
      </c>
      <c r="E33" s="31" t="inlineStr">
        <is>
          <t>LS</t>
        </is>
      </c>
      <c r="F33" s="16" t="n">
        <v>50000</v>
      </c>
      <c r="G33" s="16" t="n">
        <v>0</v>
      </c>
      <c r="H33" s="73" t="n">
        <v>0</v>
      </c>
      <c r="I33" s="12" t="inlineStr">
        <is>
          <t>IN — Div 000 — Demolition, interior</t>
        </is>
      </c>
      <c r="J33" s="35">
        <f>H33*G33</f>
        <v/>
      </c>
    </row>
    <row r="34" ht="22" customHeight="1">
      <c r="B34" s="31" t="inlineStr">
        <is>
          <t>024100</t>
        </is>
      </c>
      <c r="C34" s="12" t="inlineStr">
        <is>
          <t>6. Demo floor for Recessed floor - Include Excavation</t>
        </is>
      </c>
      <c r="D34" s="72" t="n">
        <v>0</v>
      </c>
      <c r="E34" s="31" t="inlineStr">
        <is>
          <t>SF</t>
        </is>
      </c>
      <c r="F34" s="16" t="n">
        <v>0</v>
      </c>
      <c r="G34" s="16" t="n">
        <v>0</v>
      </c>
      <c r="H34" s="73" t="n">
        <v>0</v>
      </c>
      <c r="I34" s="12" t="inlineStr">
        <is>
          <t>IN — Div 000 — Demolition, interior  [his note: Included Above]</t>
        </is>
      </c>
      <c r="J34" s="35">
        <f>H34*G34</f>
        <v/>
      </c>
    </row>
    <row r="35" ht="13" customHeight="1">
      <c r="B35" s="31" t="inlineStr">
        <is>
          <t>024100</t>
        </is>
      </c>
      <c r="C35" s="12" t="inlineStr">
        <is>
          <t>7. Misc Façade Demo Along Johnson Ave (Doors, Roll-ups, Windows, etc.)</t>
        </is>
      </c>
      <c r="D35" s="72" t="n">
        <v>0</v>
      </c>
      <c r="E35" s="31" t="inlineStr">
        <is>
          <t>LS</t>
        </is>
      </c>
      <c r="F35" s="16" t="n">
        <v>20000</v>
      </c>
      <c r="G35" s="16" t="n">
        <v>0</v>
      </c>
      <c r="H35" s="73" t="n">
        <v>0</v>
      </c>
      <c r="I35" s="12" t="inlineStr">
        <is>
          <t>IN — Div 000 — Demolition, interior</t>
        </is>
      </c>
      <c r="J35" s="35">
        <f>H35*G35</f>
        <v/>
      </c>
    </row>
    <row r="36">
      <c r="B36" s="8" t="inlineStr">
        <is>
          <t>033000   CONCRETE</t>
        </is>
      </c>
      <c r="C36" s="9" t="n"/>
      <c r="D36" s="9" t="n"/>
      <c r="E36" s="9" t="n"/>
      <c r="F36" s="9" t="n"/>
      <c r="G36" s="9" t="n"/>
      <c r="H36" s="9" t="n"/>
      <c r="I36" s="9" t="n"/>
    </row>
    <row r="37" ht="22" customHeight="1">
      <c r="B37" s="31" t="inlineStr">
        <is>
          <t>033000</t>
        </is>
      </c>
      <c r="C37" s="12" t="inlineStr">
        <is>
          <t>1. Excavation related to New Columns at Music hall</t>
        </is>
      </c>
      <c r="D37" s="72" t="n">
        <v>0</v>
      </c>
      <c r="E37" s="31" t="inlineStr">
        <is>
          <t>SF</t>
        </is>
      </c>
      <c r="F37" s="16" t="n">
        <v>6.5</v>
      </c>
      <c r="G37" s="16" t="n">
        <v>0</v>
      </c>
      <c r="H37" s="73" t="n">
        <v>0</v>
      </c>
      <c r="I37" s="12" t="inlineStr">
        <is>
          <t>IN — Div 200/300 foundations + Div 000 sitework  [his note: Based on Footprint of New Roof]</t>
        </is>
      </c>
      <c r="J37" s="35">
        <f>H37*G37</f>
        <v/>
      </c>
    </row>
    <row r="38" ht="13" customHeight="1">
      <c r="B38" s="31" t="inlineStr">
        <is>
          <t>033000</t>
        </is>
      </c>
      <c r="C38" s="12" t="inlineStr">
        <is>
          <t>2. CMU wall footing excavation allow 2' deep for new Load bearing wall at Music hall- East wall</t>
        </is>
      </c>
      <c r="D38" s="72" t="n">
        <v>0</v>
      </c>
      <c r="E38" s="31" t="inlineStr">
        <is>
          <t>LF</t>
        </is>
      </c>
      <c r="F38" s="16" t="n">
        <v>150</v>
      </c>
      <c r="G38" s="16" t="n">
        <v>0</v>
      </c>
      <c r="H38" s="73" t="n">
        <v>0</v>
      </c>
      <c r="I38" s="12" t="inlineStr">
        <is>
          <t>IN — Div 200/300 foundations + Div 000 sitework</t>
        </is>
      </c>
      <c r="J38" s="35">
        <f>H38*G38</f>
        <v/>
      </c>
    </row>
    <row r="39" ht="13" customHeight="1">
      <c r="B39" s="31" t="inlineStr">
        <is>
          <t>033000</t>
        </is>
      </c>
      <c r="C39" s="12" t="inlineStr">
        <is>
          <t>3. Concrete at New footings</t>
        </is>
      </c>
      <c r="D39" s="72" t="n">
        <v>0</v>
      </c>
      <c r="E39" s="31" t="inlineStr">
        <is>
          <t>EA</t>
        </is>
      </c>
      <c r="F39" s="16" t="n">
        <v>7500</v>
      </c>
      <c r="G39" s="16" t="n">
        <v>0</v>
      </c>
      <c r="H39" s="73" t="n">
        <v>0</v>
      </c>
      <c r="I39" s="12" t="inlineStr">
        <is>
          <t>IN — Div 200/300 foundations + Div 000 sitework</t>
        </is>
      </c>
      <c r="J39" s="35">
        <f>H39*G39</f>
        <v/>
      </c>
    </row>
    <row r="40" ht="13" customHeight="1">
      <c r="B40" s="31" t="inlineStr">
        <is>
          <t>033000</t>
        </is>
      </c>
      <c r="C40" s="12" t="inlineStr">
        <is>
          <t>4. Concrete at CMU footing</t>
        </is>
      </c>
      <c r="D40" s="72" t="n">
        <v>0</v>
      </c>
      <c r="E40" s="31" t="inlineStr">
        <is>
          <t>LF</t>
        </is>
      </c>
      <c r="F40" s="16" t="n">
        <v>100</v>
      </c>
      <c r="G40" s="16" t="n">
        <v>0</v>
      </c>
      <c r="H40" s="73" t="n">
        <v>0</v>
      </c>
      <c r="I40" s="12" t="inlineStr">
        <is>
          <t>IN — Div 200/300 foundations + Div 000 sitework</t>
        </is>
      </c>
      <c r="J40" s="35">
        <f>H40*G40</f>
        <v/>
      </c>
    </row>
    <row r="41" ht="13" customHeight="1">
      <c r="B41" s="31" t="inlineStr">
        <is>
          <t>033000</t>
        </is>
      </c>
      <c r="C41" s="12" t="inlineStr">
        <is>
          <t>5. Patch slab due to New footing</t>
        </is>
      </c>
      <c r="D41" s="72" t="n">
        <v>0</v>
      </c>
      <c r="E41" s="31" t="inlineStr">
        <is>
          <t>SF</t>
        </is>
      </c>
      <c r="F41" s="16" t="n">
        <v>30</v>
      </c>
      <c r="G41" s="16" t="n">
        <v>0</v>
      </c>
      <c r="H41" s="73" t="n">
        <v>0</v>
      </c>
      <c r="I41" s="12" t="inlineStr">
        <is>
          <t>IN — Div 200/300 foundations + Div 000 sitework</t>
        </is>
      </c>
      <c r="J41" s="35">
        <f>H41*G41</f>
        <v/>
      </c>
    </row>
    <row r="42" ht="13" customHeight="1">
      <c r="B42" s="31" t="inlineStr">
        <is>
          <t>033000</t>
        </is>
      </c>
      <c r="C42" s="12" t="inlineStr">
        <is>
          <t>6. Patch conc. At Trenching for MEPS</t>
        </is>
      </c>
      <c r="D42" s="72" t="n">
        <v>0</v>
      </c>
      <c r="E42" s="31" t="inlineStr">
        <is>
          <t>SF</t>
        </is>
      </c>
      <c r="F42" s="16" t="n">
        <v>30</v>
      </c>
      <c r="G42" s="16" t="n">
        <v>0</v>
      </c>
      <c r="H42" s="73" t="n">
        <v>0</v>
      </c>
      <c r="I42" s="12" t="inlineStr">
        <is>
          <t>IN — Div 200/300 foundations + Div 000 sitework</t>
        </is>
      </c>
      <c r="J42" s="35">
        <f>H42*G42</f>
        <v/>
      </c>
    </row>
    <row r="43" ht="13" customHeight="1">
      <c r="B43" s="31" t="inlineStr">
        <is>
          <t>033000</t>
        </is>
      </c>
      <c r="C43" s="12" t="inlineStr">
        <is>
          <t>7. New slab Pour-back at Excavated Areas</t>
        </is>
      </c>
      <c r="D43" s="72" t="n">
        <v>0</v>
      </c>
      <c r="E43" s="31" t="inlineStr">
        <is>
          <t>SF</t>
        </is>
      </c>
      <c r="F43" s="16" t="n">
        <v>30</v>
      </c>
      <c r="G43" s="16" t="n">
        <v>0</v>
      </c>
      <c r="H43" s="73" t="n">
        <v>0</v>
      </c>
      <c r="I43" s="12" t="inlineStr">
        <is>
          <t>IN — Div 200/300 foundations + Div 000 sitework</t>
        </is>
      </c>
      <c r="J43" s="35">
        <f>H43*G43</f>
        <v/>
      </c>
    </row>
    <row r="44" ht="22" customHeight="1">
      <c r="B44" s="31" t="inlineStr">
        <is>
          <t>033000</t>
        </is>
      </c>
      <c r="C44" s="12" t="inlineStr">
        <is>
          <t>8. New slab at Recessed floor</t>
        </is>
      </c>
      <c r="D44" s="72" t="n">
        <v>0</v>
      </c>
      <c r="E44" s="31" t="inlineStr">
        <is>
          <t>SF</t>
        </is>
      </c>
      <c r="F44" s="16" t="n">
        <v>0</v>
      </c>
      <c r="G44" s="16" t="n">
        <v>0</v>
      </c>
      <c r="H44" s="73" t="n">
        <v>0</v>
      </c>
      <c r="I44" s="12" t="inlineStr">
        <is>
          <t>IN — Div 200/300 foundations + Div 000 sitework  [his note: Included Above]</t>
        </is>
      </c>
      <c r="J44" s="35">
        <f>H44*G44</f>
        <v/>
      </c>
    </row>
    <row r="45" ht="13" customHeight="1">
      <c r="B45" s="31" t="inlineStr">
        <is>
          <t>033000</t>
        </is>
      </c>
      <c r="C45" s="12" t="inlineStr">
        <is>
          <t>9. Concrete on Deck for Mezz of Music Hall with Platforms</t>
        </is>
      </c>
      <c r="D45" s="72" t="n">
        <v>0</v>
      </c>
      <c r="E45" s="31" t="inlineStr">
        <is>
          <t>SF</t>
        </is>
      </c>
      <c r="F45" s="16" t="n">
        <v>25</v>
      </c>
      <c r="G45" s="16" t="n">
        <v>0</v>
      </c>
      <c r="H45" s="73" t="n">
        <v>0</v>
      </c>
      <c r="I45" s="12" t="inlineStr">
        <is>
          <t>IN — Div 200/300 foundations + Div 000 sitework</t>
        </is>
      </c>
      <c r="J45" s="35">
        <f>H45*G45</f>
        <v/>
      </c>
    </row>
    <row r="46" ht="22" customHeight="1">
      <c r="B46" s="31" t="inlineStr">
        <is>
          <t>033000</t>
        </is>
      </c>
      <c r="C46" s="12" t="inlineStr">
        <is>
          <t>10. Concrete In-fill on New Pan Stairs</t>
        </is>
      </c>
      <c r="D46" s="72" t="n">
        <v>0</v>
      </c>
      <c r="E46" s="31" t="inlineStr">
        <is>
          <t>EA</t>
        </is>
      </c>
      <c r="F46" s="16" t="n">
        <v>4000</v>
      </c>
      <c r="G46" s="16" t="n">
        <v>0</v>
      </c>
      <c r="H46" s="73" t="n">
        <v>0</v>
      </c>
      <c r="I46" s="12" t="inlineStr">
        <is>
          <t>IN — Div 200/300 foundations + Div 000 sitework  [his note: (2) Feature Stairs, (2) BOH Stairs]</t>
        </is>
      </c>
      <c r="J46" s="35">
        <f>H46*G46</f>
        <v/>
      </c>
    </row>
    <row r="47" ht="13" customHeight="1">
      <c r="B47" s="31" t="inlineStr">
        <is>
          <t>033000</t>
        </is>
      </c>
      <c r="C47" s="12" t="inlineStr">
        <is>
          <t>11. Grouting at Steel Trusses &amp; Column Base Plates</t>
        </is>
      </c>
      <c r="D47" s="72" t="n">
        <v>0</v>
      </c>
      <c r="E47" s="31" t="inlineStr">
        <is>
          <t>LS</t>
        </is>
      </c>
      <c r="F47" s="16" t="n">
        <v>15000</v>
      </c>
      <c r="G47" s="16" t="n">
        <v>0</v>
      </c>
      <c r="H47" s="73" t="n">
        <v>0</v>
      </c>
      <c r="I47" s="12" t="inlineStr">
        <is>
          <t>IN — Div 200/300 foundations + Div 000 sitework</t>
        </is>
      </c>
      <c r="J47" s="35">
        <f>H47*G47</f>
        <v/>
      </c>
    </row>
    <row r="48" ht="13" customHeight="1">
      <c r="B48" s="31" t="inlineStr">
        <is>
          <t>033000</t>
        </is>
      </c>
      <c r="C48" s="12" t="inlineStr">
        <is>
          <t>12. Polished concrete</t>
        </is>
      </c>
      <c r="D48" s="72" t="n">
        <v>0</v>
      </c>
      <c r="E48" s="31" t="inlineStr">
        <is>
          <t>SF</t>
        </is>
      </c>
      <c r="F48" s="16" t="n">
        <v>8</v>
      </c>
      <c r="G48" s="16" t="n">
        <v>0</v>
      </c>
      <c r="H48" s="73" t="n">
        <v>0</v>
      </c>
      <c r="I48" s="12" t="inlineStr">
        <is>
          <t>IN — Div 200/300 foundations + Div 000 sitework</t>
        </is>
      </c>
      <c r="J48" s="35">
        <f>H48*G48</f>
        <v/>
      </c>
    </row>
    <row r="49" ht="13" customHeight="1">
      <c r="B49" s="31" t="inlineStr">
        <is>
          <t>033000</t>
        </is>
      </c>
      <c r="C49" s="12" t="inlineStr">
        <is>
          <t>14. Patch sidewalk</t>
        </is>
      </c>
      <c r="D49" s="72" t="n">
        <v>0</v>
      </c>
      <c r="E49" s="31" t="inlineStr">
        <is>
          <t>LS</t>
        </is>
      </c>
      <c r="F49" s="16" t="n">
        <v>35000</v>
      </c>
      <c r="G49" s="16" t="n">
        <v>0</v>
      </c>
      <c r="H49" s="73" t="n">
        <v>0</v>
      </c>
      <c r="I49" s="12" t="inlineStr">
        <is>
          <t>IN — Div 200/300 foundations + Div 000 sitework</t>
        </is>
      </c>
      <c r="J49" s="35">
        <f>H49*G49</f>
        <v/>
      </c>
    </row>
    <row r="50" ht="13" customHeight="1">
      <c r="B50" s="31" t="inlineStr">
        <is>
          <t>033000</t>
        </is>
      </c>
      <c r="C50" s="12" t="inlineStr">
        <is>
          <t>15. Misc. Equipment Pads</t>
        </is>
      </c>
      <c r="D50" s="72" t="n">
        <v>0</v>
      </c>
      <c r="E50" s="31" t="inlineStr">
        <is>
          <t>LS</t>
        </is>
      </c>
      <c r="F50" s="16" t="n">
        <v>25000</v>
      </c>
      <c r="G50" s="16" t="n">
        <v>0</v>
      </c>
      <c r="H50" s="73" t="n">
        <v>0</v>
      </c>
      <c r="I50" s="12" t="inlineStr">
        <is>
          <t>IN — Div 200/300 foundations + Div 000 sitework</t>
        </is>
      </c>
      <c r="J50" s="35">
        <f>H50*G50</f>
        <v/>
      </c>
    </row>
    <row r="51" ht="13" customHeight="1">
      <c r="B51" s="31" t="inlineStr">
        <is>
          <t>033000</t>
        </is>
      </c>
      <c r="C51" s="12" t="inlineStr">
        <is>
          <t>16. Concrete at Stage Platform 4'6" H on Styrofoam</t>
        </is>
      </c>
      <c r="D51" s="72" t="n">
        <v>0</v>
      </c>
      <c r="E51" s="31" t="inlineStr">
        <is>
          <t>SF</t>
        </is>
      </c>
      <c r="F51" s="16" t="n">
        <v>50</v>
      </c>
      <c r="G51" s="16" t="n">
        <v>0</v>
      </c>
      <c r="H51" s="73" t="n">
        <v>0</v>
      </c>
      <c r="I51" s="12" t="inlineStr">
        <is>
          <t>IN — Div 200/300 foundations + Div 000 sitework</t>
        </is>
      </c>
      <c r="J51" s="35">
        <f>H51*G51</f>
        <v/>
      </c>
    </row>
    <row r="52">
      <c r="B52" s="8" t="inlineStr">
        <is>
          <t>042000   MASONRY</t>
        </is>
      </c>
      <c r="C52" s="9" t="n"/>
      <c r="D52" s="9" t="n"/>
      <c r="E52" s="9" t="n"/>
      <c r="F52" s="9" t="n"/>
      <c r="G52" s="9" t="n"/>
      <c r="H52" s="9" t="n"/>
      <c r="I52" s="9" t="n"/>
    </row>
    <row r="53" ht="13" customHeight="1">
      <c r="B53" s="31" t="inlineStr">
        <is>
          <t>042000</t>
        </is>
      </c>
      <c r="C53" s="12" t="inlineStr">
        <is>
          <t>1. Patch &amp; Repair Existing Masonry Wall</t>
        </is>
      </c>
      <c r="D53" s="72" t="n">
        <v>9972</v>
      </c>
      <c r="E53" s="31" t="inlineStr">
        <is>
          <t>SF</t>
        </is>
      </c>
      <c r="F53" s="16" t="n">
        <v>10</v>
      </c>
      <c r="G53" s="16" t="n">
        <v>99720</v>
      </c>
      <c r="H53" s="73" t="n">
        <v>0</v>
      </c>
      <c r="I53" s="12" t="inlineStr">
        <is>
          <t>IN — Div 400 — Masonry</t>
        </is>
      </c>
      <c r="J53" s="35">
        <f>H53*G53</f>
        <v/>
      </c>
    </row>
    <row r="54" ht="13" customHeight="1">
      <c r="B54" s="31" t="inlineStr">
        <is>
          <t>042000</t>
        </is>
      </c>
      <c r="C54" s="12" t="inlineStr">
        <is>
          <t>2. F&amp;I Brick façade at music hall bump up</t>
        </is>
      </c>
      <c r="D54" s="72" t="n">
        <v>0</v>
      </c>
      <c r="E54" s="31" t="inlineStr">
        <is>
          <t>SF</t>
        </is>
      </c>
      <c r="F54" s="16" t="n">
        <v>35</v>
      </c>
      <c r="G54" s="16" t="n">
        <v>0</v>
      </c>
      <c r="H54" s="73" t="n">
        <v>0</v>
      </c>
      <c r="I54" s="12" t="inlineStr">
        <is>
          <t>IN — Div 400 — Masonry</t>
        </is>
      </c>
      <c r="J54" s="35">
        <f>H54*G54</f>
        <v/>
      </c>
    </row>
    <row r="55" ht="13" customHeight="1">
      <c r="B55" s="31" t="inlineStr">
        <is>
          <t>042000</t>
        </is>
      </c>
      <c r="C55" s="12" t="inlineStr">
        <is>
          <t>3. CMU and Brick infills at old windows and door opening</t>
        </is>
      </c>
      <c r="D55" s="72" t="n">
        <v>0</v>
      </c>
      <c r="E55" s="31" t="inlineStr">
        <is>
          <t>SF</t>
        </is>
      </c>
      <c r="F55" s="16" t="n">
        <v>70</v>
      </c>
      <c r="G55" s="16" t="n">
        <v>0</v>
      </c>
      <c r="H55" s="73" t="n">
        <v>0</v>
      </c>
      <c r="I55" s="12" t="inlineStr">
        <is>
          <t>IN — Div 400 — Masonry</t>
        </is>
      </c>
      <c r="J55" s="35">
        <f>H55*G55</f>
        <v/>
      </c>
    </row>
    <row r="56" ht="13" customHeight="1">
      <c r="B56" s="31" t="inlineStr">
        <is>
          <t>042000</t>
        </is>
      </c>
      <c r="C56" s="12" t="inlineStr">
        <is>
          <t>4. Repair/ cleaning and minor repointing of existing brick facade</t>
        </is>
      </c>
      <c r="D56" s="72" t="n">
        <v>0</v>
      </c>
      <c r="E56" s="31" t="inlineStr">
        <is>
          <t>SF</t>
        </is>
      </c>
      <c r="F56" s="16" t="n">
        <v>10</v>
      </c>
      <c r="G56" s="16" t="n">
        <v>0</v>
      </c>
      <c r="H56" s="73" t="n">
        <v>0</v>
      </c>
      <c r="I56" s="12" t="inlineStr">
        <is>
          <t>IN — Div 400 — Masonry</t>
        </is>
      </c>
      <c r="J56" s="35">
        <f>H56*G56</f>
        <v/>
      </c>
    </row>
    <row r="57" ht="13" customHeight="1">
      <c r="B57" s="31" t="inlineStr">
        <is>
          <t>042000</t>
        </is>
      </c>
      <c r="C57" s="12" t="inlineStr">
        <is>
          <t>5. Misc. Patching allow at penetrations</t>
        </is>
      </c>
      <c r="D57" s="72" t="n">
        <v>0</v>
      </c>
      <c r="E57" s="31" t="inlineStr">
        <is>
          <t>LS</t>
        </is>
      </c>
      <c r="F57" s="16" t="n">
        <v>5000</v>
      </c>
      <c r="G57" s="16" t="n">
        <v>0</v>
      </c>
      <c r="H57" s="73" t="n">
        <v>0</v>
      </c>
      <c r="I57" s="12" t="inlineStr">
        <is>
          <t>IN — Div 400 — Masonry</t>
        </is>
      </c>
      <c r="J57" s="35">
        <f>H57*G57</f>
        <v/>
      </c>
    </row>
    <row r="58">
      <c r="B58" s="8" t="inlineStr">
        <is>
          <t>055100   STRUCTURAL STEEL &amp; MISC METALS</t>
        </is>
      </c>
      <c r="C58" s="9" t="n"/>
      <c r="D58" s="9" t="n"/>
      <c r="E58" s="9" t="n"/>
      <c r="F58" s="9" t="n"/>
      <c r="G58" s="9" t="n"/>
      <c r="H58" s="9" t="n"/>
      <c r="I58" s="9" t="n"/>
    </row>
    <row r="59" ht="13" customHeight="1">
      <c r="B59" s="31" t="inlineStr">
        <is>
          <t>055100</t>
        </is>
      </c>
      <c r="C59" s="12" t="inlineStr">
        <is>
          <t>1. Disconnect roof framing for Demo &amp; Shore at select areas</t>
        </is>
      </c>
      <c r="D59" s="72" t="n">
        <v>0</v>
      </c>
      <c r="E59" s="31" t="inlineStr">
        <is>
          <t>SF</t>
        </is>
      </c>
      <c r="F59" s="16" t="n">
        <v>5</v>
      </c>
      <c r="G59" s="16" t="n">
        <v>0</v>
      </c>
      <c r="H59" s="73" t="n">
        <v>0</v>
      </c>
      <c r="I59" s="12" t="inlineStr">
        <is>
          <t>IN — Div 100/200/300 — structural steel</t>
        </is>
      </c>
      <c r="J59" s="35">
        <f>H59*G59</f>
        <v/>
      </c>
    </row>
    <row r="60" ht="13" customHeight="1">
      <c r="B60" s="31" t="inlineStr">
        <is>
          <t>055100</t>
        </is>
      </c>
      <c r="C60" s="12" t="inlineStr">
        <is>
          <t>2. F&amp;I new Roof Trusses, girders, Columns at Music Hall area</t>
        </is>
      </c>
      <c r="D60" s="72" t="n">
        <v>0</v>
      </c>
      <c r="E60" s="31" t="inlineStr">
        <is>
          <t>TONS</t>
        </is>
      </c>
      <c r="F60" s="16" t="n">
        <v>6000</v>
      </c>
      <c r="G60" s="16" t="n">
        <v>0</v>
      </c>
      <c r="H60" s="73" t="n">
        <v>0</v>
      </c>
      <c r="I60" s="12" t="inlineStr">
        <is>
          <t>IN — Div 100/200/300 — structural steel</t>
        </is>
      </c>
      <c r="J60" s="35">
        <f>H60*G60</f>
        <v/>
      </c>
    </row>
    <row r="61" ht="13" customHeight="1">
      <c r="B61" s="31" t="inlineStr">
        <is>
          <t>055100</t>
        </is>
      </c>
      <c r="C61" s="12" t="inlineStr">
        <is>
          <t>3. F&amp;I Roof deck</t>
        </is>
      </c>
      <c r="D61" s="72" t="n">
        <v>0</v>
      </c>
      <c r="E61" s="31" t="inlineStr">
        <is>
          <t>SF</t>
        </is>
      </c>
      <c r="F61" s="16" t="n">
        <v>4</v>
      </c>
      <c r="G61" s="16" t="n">
        <v>0</v>
      </c>
      <c r="H61" s="73" t="n">
        <v>0</v>
      </c>
      <c r="I61" s="12" t="inlineStr">
        <is>
          <t>IN — Div 100/200/300 — structural steel</t>
        </is>
      </c>
      <c r="J61" s="35">
        <f>H61*G61</f>
        <v/>
      </c>
    </row>
    <row r="62" ht="13" customHeight="1">
      <c r="B62" s="31" t="inlineStr">
        <is>
          <t>055100</t>
        </is>
      </c>
      <c r="C62" s="12" t="inlineStr">
        <is>
          <t>4. Steel Framing at Mezz area - Including Elevated Standing &amp; Box Seating</t>
        </is>
      </c>
      <c r="D62" s="72" t="n">
        <v>0</v>
      </c>
      <c r="E62" s="31" t="inlineStr">
        <is>
          <t>TONS</t>
        </is>
      </c>
      <c r="F62" s="16" t="n">
        <v>6000</v>
      </c>
      <c r="G62" s="16" t="n">
        <v>0</v>
      </c>
      <c r="H62" s="73" t="n">
        <v>0</v>
      </c>
      <c r="I62" s="12" t="inlineStr">
        <is>
          <t>IN — Div 100/200/300 — structural steel</t>
        </is>
      </c>
      <c r="J62" s="35">
        <f>H62*G62</f>
        <v/>
      </c>
    </row>
    <row r="63" ht="55" customHeight="1">
      <c r="B63" s="31" t="inlineStr">
        <is>
          <t>055100</t>
        </is>
      </c>
      <c r="C63" s="12" t="inlineStr">
        <is>
          <t>5. Steel Framing at upper balcony - incluing balcony seating</t>
        </is>
      </c>
      <c r="D63" s="72" t="n">
        <v>0</v>
      </c>
      <c r="E63" s="31" t="inlineStr">
        <is>
          <t>TONS</t>
        </is>
      </c>
      <c r="F63" s="16" t="n">
        <v>6000</v>
      </c>
      <c r="G63" s="16" t="n">
        <v>0</v>
      </c>
      <c r="H63" s="73" t="n">
        <v>0</v>
      </c>
      <c r="I63" s="42" t="inlineStr">
        <is>
          <t>ADD — UPPER BALCONY IS A THIRD LEVEL AND IS NOT IN THIS MODEL. We carry stage + one mezzanine. If the test fit keeps a balcony above the mezzanine it is new steel, new egress, new sprinkler and new seating. Priced at 0 by Thomas so its real cost is unknown. DECISION NEEDED.</t>
        </is>
      </c>
      <c r="J63" s="35">
        <f>H63*G63</f>
        <v/>
      </c>
    </row>
    <row r="64" ht="44" customHeight="1">
      <c r="B64" s="31" t="inlineStr">
        <is>
          <t>055100</t>
        </is>
      </c>
      <c r="C64" s="12" t="inlineStr">
        <is>
          <t>6. Stage Lighting &amp; AV support structure</t>
        </is>
      </c>
      <c r="D64" s="72" t="n">
        <v>0</v>
      </c>
      <c r="E64" s="31" t="inlineStr">
        <is>
          <t>LBS</t>
        </is>
      </c>
      <c r="F64" s="16" t="n">
        <v>8</v>
      </c>
      <c r="G64" s="16" t="n">
        <v>0</v>
      </c>
      <c r="H64" s="73" t="n">
        <v>0</v>
      </c>
      <c r="I64" s="12" t="inlineStr">
        <is>
          <t>IN — THE RIGGING GRID. His rate is $8/LB with qty 0, so he never priced it. Our ground-supported grid is $1,363,450 for roughly 74 tons — that is $9.21/LB, within 15% of his own rate. His rate corroborates ours.</t>
        </is>
      </c>
      <c r="J64" s="35">
        <f>H64*G64</f>
        <v/>
      </c>
    </row>
    <row r="65" ht="13" customHeight="1">
      <c r="B65" s="31" t="inlineStr">
        <is>
          <t>055100</t>
        </is>
      </c>
      <c r="C65" s="12" t="inlineStr">
        <is>
          <t>7. Small stair to access Stage</t>
        </is>
      </c>
      <c r="D65" s="72" t="n">
        <v>0</v>
      </c>
      <c r="E65" s="31" t="inlineStr">
        <is>
          <t>EA</t>
        </is>
      </c>
      <c r="F65" s="16" t="n">
        <v>13000</v>
      </c>
      <c r="G65" s="16" t="n">
        <v>0</v>
      </c>
      <c r="H65" s="73" t="n">
        <v>0</v>
      </c>
      <c r="I65" s="12" t="inlineStr">
        <is>
          <t>IN — Div 100/200/300 — structural steel</t>
        </is>
      </c>
      <c r="J65" s="35">
        <f>H65*G65</f>
        <v/>
      </c>
    </row>
    <row r="66" ht="13" customHeight="1">
      <c r="B66" s="31" t="inlineStr">
        <is>
          <t>055100</t>
        </is>
      </c>
      <c r="C66" s="12" t="inlineStr">
        <is>
          <t>8. Roof Dunnage for HVAC Equipment's</t>
        </is>
      </c>
      <c r="D66" s="72" t="n">
        <v>0</v>
      </c>
      <c r="E66" s="31" t="inlineStr">
        <is>
          <t>LOC</t>
        </is>
      </c>
      <c r="F66" s="16" t="n">
        <v>20000</v>
      </c>
      <c r="G66" s="16" t="n">
        <v>0</v>
      </c>
      <c r="H66" s="73" t="n">
        <v>0</v>
      </c>
      <c r="I66" s="12" t="inlineStr">
        <is>
          <t>IN — Div 100/200/300 — structural steel</t>
        </is>
      </c>
      <c r="J66" s="35">
        <f>H66*G66</f>
        <v/>
      </c>
    </row>
    <row r="67" ht="13" customHeight="1">
      <c r="B67" s="31" t="inlineStr">
        <is>
          <t>055100</t>
        </is>
      </c>
      <c r="C67" s="12" t="inlineStr">
        <is>
          <t>9. Roof Penetrations framing for Toilet exhaust &amp; Kitchen exhaust</t>
        </is>
      </c>
      <c r="D67" s="72" t="n">
        <v>0</v>
      </c>
      <c r="E67" s="31" t="inlineStr">
        <is>
          <t>LS</t>
        </is>
      </c>
      <c r="F67" s="16" t="n">
        <v>25000</v>
      </c>
      <c r="G67" s="16" t="n">
        <v>0</v>
      </c>
      <c r="H67" s="73" t="n">
        <v>0</v>
      </c>
      <c r="I67" s="12" t="inlineStr">
        <is>
          <t>IN — Div 100/200/300 — structural steel</t>
        </is>
      </c>
      <c r="J67" s="35">
        <f>H67*G67</f>
        <v/>
      </c>
    </row>
    <row r="68" ht="13" customHeight="1">
      <c r="B68" s="31" t="inlineStr">
        <is>
          <t>055100</t>
        </is>
      </c>
      <c r="C68" s="12" t="inlineStr">
        <is>
          <t>10. Stairs</t>
        </is>
      </c>
      <c r="D68" s="72" t="n">
        <v>0</v>
      </c>
      <c r="E68" s="31" t="inlineStr">
        <is>
          <t>FL</t>
        </is>
      </c>
      <c r="F68" s="16" t="n">
        <v>30000</v>
      </c>
      <c r="G68" s="16" t="n">
        <v>0</v>
      </c>
      <c r="H68" s="73" t="n">
        <v>0</v>
      </c>
      <c r="I68" s="12" t="inlineStr">
        <is>
          <t>IN — Div 100/200/300 — structural steel</t>
        </is>
      </c>
      <c r="J68" s="35">
        <f>H68*G68</f>
        <v/>
      </c>
    </row>
    <row r="69" ht="13" customHeight="1">
      <c r="B69" s="31" t="inlineStr">
        <is>
          <t>055100</t>
        </is>
      </c>
      <c r="C69" s="12" t="inlineStr">
        <is>
          <t>11. Allow for Unistrut at select area of stage</t>
        </is>
      </c>
      <c r="D69" s="72" t="n">
        <v>0</v>
      </c>
      <c r="E69" s="31" t="inlineStr">
        <is>
          <t>SF</t>
        </is>
      </c>
      <c r="F69" s="16" t="n">
        <v>35</v>
      </c>
      <c r="G69" s="16" t="n">
        <v>0</v>
      </c>
      <c r="H69" s="73" t="n">
        <v>0</v>
      </c>
      <c r="I69" s="12" t="inlineStr">
        <is>
          <t>IN — Div 100/200/300 — structural steel</t>
        </is>
      </c>
      <c r="J69" s="35">
        <f>H69*G69</f>
        <v/>
      </c>
    </row>
    <row r="70" ht="22" customHeight="1">
      <c r="B70" s="31" t="inlineStr">
        <is>
          <t>055100</t>
        </is>
      </c>
      <c r="C70" s="12" t="inlineStr">
        <is>
          <t>12. Railing at Roof Deck</t>
        </is>
      </c>
      <c r="D70" s="72" t="n">
        <v>0</v>
      </c>
      <c r="E70" s="31" t="inlineStr">
        <is>
          <t>LF</t>
        </is>
      </c>
      <c r="F70" s="16" t="n">
        <v>500</v>
      </c>
      <c r="G70" s="16" t="n">
        <v>0</v>
      </c>
      <c r="H70" s="73" t="n">
        <v>0</v>
      </c>
      <c r="I70" s="42" t="inlineStr">
        <is>
          <t>ADD — Roof deck is outdoor terrace programme, not in this model.</t>
        </is>
      </c>
      <c r="J70" s="35">
        <f>H70*G70</f>
        <v/>
      </c>
    </row>
    <row r="71" ht="13" customHeight="1">
      <c r="B71" s="31" t="inlineStr">
        <is>
          <t>055100</t>
        </is>
      </c>
      <c r="C71" s="12" t="inlineStr">
        <is>
          <t>13. Railing at Theatre</t>
        </is>
      </c>
      <c r="D71" s="72" t="n">
        <v>0</v>
      </c>
      <c r="E71" s="31" t="inlineStr">
        <is>
          <t>LF</t>
        </is>
      </c>
      <c r="F71" s="16" t="n">
        <v>275</v>
      </c>
      <c r="G71" s="16" t="n">
        <v>0</v>
      </c>
      <c r="H71" s="73" t="n">
        <v>0</v>
      </c>
      <c r="I71" s="12" t="inlineStr">
        <is>
          <t>IN — Div 100/200/300 — structural steel</t>
        </is>
      </c>
      <c r="J71" s="35">
        <f>H71*G71</f>
        <v/>
      </c>
    </row>
    <row r="72" ht="13" customHeight="1">
      <c r="B72" s="31" t="inlineStr">
        <is>
          <t>055100</t>
        </is>
      </c>
      <c r="C72" s="12" t="inlineStr">
        <is>
          <t>14. Misc. Lintels</t>
        </is>
      </c>
      <c r="D72" s="72" t="n">
        <v>0</v>
      </c>
      <c r="E72" s="31" t="inlineStr">
        <is>
          <t>LS</t>
        </is>
      </c>
      <c r="F72" s="16" t="n">
        <v>10000</v>
      </c>
      <c r="G72" s="16" t="n">
        <v>0</v>
      </c>
      <c r="H72" s="73" t="n">
        <v>0</v>
      </c>
      <c r="I72" s="12" t="inlineStr">
        <is>
          <t>IN — Div 100/200/300 — structural steel</t>
        </is>
      </c>
      <c r="J72" s="35">
        <f>H72*G72</f>
        <v/>
      </c>
    </row>
    <row r="73" ht="13" customHeight="1">
      <c r="B73" s="31" t="inlineStr">
        <is>
          <t>055100</t>
        </is>
      </c>
      <c r="C73" s="12" t="inlineStr">
        <is>
          <t>15. Allow for access Ladders at Stage Overhead lighting grid area</t>
        </is>
      </c>
      <c r="D73" s="72" t="n">
        <v>0</v>
      </c>
      <c r="E73" s="31" t="inlineStr">
        <is>
          <t>LS</t>
        </is>
      </c>
      <c r="F73" s="16" t="n">
        <v>15000</v>
      </c>
      <c r="G73" s="16" t="n">
        <v>0</v>
      </c>
      <c r="H73" s="73" t="n">
        <v>0</v>
      </c>
      <c r="I73" s="12" t="inlineStr">
        <is>
          <t>IN — Div 100/200/300 — structural steel</t>
        </is>
      </c>
      <c r="J73" s="35">
        <f>H73*G73</f>
        <v/>
      </c>
    </row>
    <row r="74">
      <c r="B74" s="8" t="inlineStr">
        <is>
          <t>062000   Rough Carpentry/OSHA Protection</t>
        </is>
      </c>
      <c r="C74" s="9" t="n"/>
      <c r="D74" s="9" t="n"/>
      <c r="E74" s="9" t="n"/>
      <c r="F74" s="9" t="n"/>
      <c r="G74" s="9" t="n"/>
      <c r="H74" s="9" t="n"/>
      <c r="I74" s="9" t="n"/>
    </row>
    <row r="75" ht="13" customHeight="1">
      <c r="B75" s="31" t="inlineStr">
        <is>
          <t>062000</t>
        </is>
      </c>
      <c r="C75" s="12" t="inlineStr">
        <is>
          <t>1. Safety Protection at Roof cut out</t>
        </is>
      </c>
      <c r="D75" s="72" t="n">
        <v>0</v>
      </c>
      <c r="E75" s="31" t="inlineStr">
        <is>
          <t>LS</t>
        </is>
      </c>
      <c r="F75" s="16" t="n">
        <v>35000</v>
      </c>
      <c r="G75" s="16" t="n">
        <v>0</v>
      </c>
      <c r="H75" s="73" t="n">
        <v>0</v>
      </c>
      <c r="I75" s="12" t="inlineStr">
        <is>
          <t>IN — Div 400 — Rough carpentry &amp; protection</t>
        </is>
      </c>
      <c r="J75" s="35">
        <f>H75*G75</f>
        <v/>
      </c>
    </row>
    <row r="76" ht="13" customHeight="1">
      <c r="B76" s="31" t="inlineStr">
        <is>
          <t>062000</t>
        </is>
      </c>
      <c r="C76" s="12" t="inlineStr">
        <is>
          <t>2. Safety Protection at Footings trenches</t>
        </is>
      </c>
      <c r="D76" s="72" t="n">
        <v>0</v>
      </c>
      <c r="E76" s="31" t="inlineStr">
        <is>
          <t>LS</t>
        </is>
      </c>
      <c r="F76" s="16" t="n">
        <v>30000</v>
      </c>
      <c r="G76" s="16" t="n">
        <v>0</v>
      </c>
      <c r="H76" s="73" t="n">
        <v>0</v>
      </c>
      <c r="I76" s="12" t="inlineStr">
        <is>
          <t>IN — Div 400 — Rough carpentry &amp; protection</t>
        </is>
      </c>
      <c r="J76" s="35">
        <f>H76*G76</f>
        <v/>
      </c>
    </row>
    <row r="77" ht="13" customHeight="1">
      <c r="B77" s="31" t="inlineStr">
        <is>
          <t>062000</t>
        </is>
      </c>
      <c r="C77" s="12" t="inlineStr">
        <is>
          <t>2. Entry Barricade</t>
        </is>
      </c>
      <c r="D77" s="72" t="n">
        <v>0</v>
      </c>
      <c r="E77" s="31" t="inlineStr">
        <is>
          <t>SF</t>
        </is>
      </c>
      <c r="F77" s="16" t="n">
        <v>40</v>
      </c>
      <c r="G77" s="16" t="n">
        <v>0</v>
      </c>
      <c r="H77" s="73" t="n">
        <v>0</v>
      </c>
      <c r="I77" s="12" t="inlineStr">
        <is>
          <t>IN — Div 400 — Rough carpentry &amp; protection</t>
        </is>
      </c>
      <c r="J77" s="35">
        <f>H77*G77</f>
        <v/>
      </c>
    </row>
    <row r="78" ht="13" customHeight="1">
      <c r="B78" s="31" t="inlineStr">
        <is>
          <t>062000</t>
        </is>
      </c>
      <c r="C78" s="12" t="inlineStr">
        <is>
          <t>3. Safety at New Mezz Build outs</t>
        </is>
      </c>
      <c r="D78" s="72" t="n">
        <v>0</v>
      </c>
      <c r="E78" s="31" t="inlineStr">
        <is>
          <t>SF</t>
        </is>
      </c>
      <c r="F78" s="16" t="n">
        <v>2</v>
      </c>
      <c r="G78" s="16" t="n">
        <v>0</v>
      </c>
      <c r="H78" s="73" t="n">
        <v>0</v>
      </c>
      <c r="I78" s="12" t="inlineStr">
        <is>
          <t>IN — Div 400 — Rough carpentry &amp; protection</t>
        </is>
      </c>
      <c r="J78" s="35">
        <f>H78*G78</f>
        <v/>
      </c>
    </row>
    <row r="79" ht="13" customHeight="1">
      <c r="B79" s="31" t="inlineStr">
        <is>
          <t>062000</t>
        </is>
      </c>
      <c r="C79" s="12" t="inlineStr">
        <is>
          <t>3. Rough Carpentry work at Stage area</t>
        </is>
      </c>
      <c r="D79" s="72" t="n">
        <v>0</v>
      </c>
      <c r="E79" s="31" t="inlineStr">
        <is>
          <t>SF</t>
        </is>
      </c>
      <c r="F79" s="16" t="n">
        <v>5</v>
      </c>
      <c r="G79" s="16" t="n">
        <v>0</v>
      </c>
      <c r="H79" s="73" t="n">
        <v>0</v>
      </c>
      <c r="I79" s="12" t="inlineStr">
        <is>
          <t>IN — Div 400 — Rough carpentry &amp; protection</t>
        </is>
      </c>
      <c r="J79" s="35">
        <f>H79*G79</f>
        <v/>
      </c>
    </row>
    <row r="80">
      <c r="B80" s="8" t="inlineStr">
        <is>
          <t>064000   MILLWORK</t>
        </is>
      </c>
      <c r="C80" s="9" t="n"/>
      <c r="D80" s="9" t="n"/>
      <c r="E80" s="9" t="n"/>
      <c r="F80" s="9" t="n"/>
      <c r="G80" s="9" t="n"/>
      <c r="H80" s="9" t="n"/>
      <c r="I80" s="9" t="n"/>
    </row>
    <row r="81" ht="13" customHeight="1">
      <c r="B81" s="31" t="inlineStr">
        <is>
          <t>064000</t>
        </is>
      </c>
      <c r="C81" s="12" t="inlineStr">
        <is>
          <t>1. Lobby Bar/Back Bar - Complete</t>
        </is>
      </c>
      <c r="D81" s="72" t="n">
        <v>0</v>
      </c>
      <c r="E81" s="31" t="inlineStr">
        <is>
          <t>LF</t>
        </is>
      </c>
      <c r="F81" s="16" t="n">
        <v>900</v>
      </c>
      <c r="G81" s="16" t="n">
        <v>0</v>
      </c>
      <c r="H81" s="73" t="n">
        <v>0</v>
      </c>
      <c r="I81" s="12" t="inlineStr">
        <is>
          <t>IN — Div 400 — Millwork</t>
        </is>
      </c>
      <c r="J81" s="35">
        <f>H81*G81</f>
        <v/>
      </c>
    </row>
    <row r="82" ht="13" customHeight="1">
      <c r="B82" s="31" t="inlineStr">
        <is>
          <t>064000</t>
        </is>
      </c>
      <c r="C82" s="12" t="inlineStr">
        <is>
          <t>2. VIP Bar/Back Bar - Complete</t>
        </is>
      </c>
      <c r="D82" s="72" t="n">
        <v>0</v>
      </c>
      <c r="E82" s="31" t="inlineStr">
        <is>
          <t>LF</t>
        </is>
      </c>
      <c r="F82" s="16" t="n">
        <v>900</v>
      </c>
      <c r="G82" s="16" t="n">
        <v>0</v>
      </c>
      <c r="H82" s="73" t="n">
        <v>0</v>
      </c>
      <c r="I82" s="12" t="inlineStr">
        <is>
          <t>IN — Div 400 — Millwork</t>
        </is>
      </c>
      <c r="J82" s="35">
        <f>H82*G82</f>
        <v/>
      </c>
    </row>
    <row r="83" ht="13" customHeight="1">
      <c r="B83" s="31" t="inlineStr">
        <is>
          <t>064000</t>
        </is>
      </c>
      <c r="C83" s="12" t="inlineStr">
        <is>
          <t>3. Music Hall GA Bar/Back Bars - Complete</t>
        </is>
      </c>
      <c r="D83" s="72" t="n">
        <v>0</v>
      </c>
      <c r="E83" s="31" t="inlineStr">
        <is>
          <t>LF</t>
        </is>
      </c>
      <c r="F83" s="16" t="n">
        <v>900</v>
      </c>
      <c r="G83" s="16" t="n">
        <v>0</v>
      </c>
      <c r="H83" s="73" t="n">
        <v>0</v>
      </c>
      <c r="I83" s="12" t="inlineStr">
        <is>
          <t>IN — Div 400 — Millwork</t>
        </is>
      </c>
      <c r="J83" s="35">
        <f>H83*G83</f>
        <v/>
      </c>
    </row>
    <row r="84" ht="13" customHeight="1">
      <c r="B84" s="31" t="inlineStr">
        <is>
          <t>064000</t>
        </is>
      </c>
      <c r="C84" s="12" t="inlineStr">
        <is>
          <t>4. Mezzanine Bar/Back Bars - Complete</t>
        </is>
      </c>
      <c r="D84" s="72" t="n">
        <v>0</v>
      </c>
      <c r="E84" s="31" t="inlineStr">
        <is>
          <t>LF</t>
        </is>
      </c>
      <c r="F84" s="16" t="n">
        <v>900</v>
      </c>
      <c r="G84" s="16" t="n">
        <v>0</v>
      </c>
      <c r="H84" s="73" t="n">
        <v>0</v>
      </c>
      <c r="I84" s="12" t="inlineStr">
        <is>
          <t>IN — Div 400 — Millwork</t>
        </is>
      </c>
      <c r="J84" s="35">
        <f>H84*G84</f>
        <v/>
      </c>
    </row>
    <row r="85" ht="13" customHeight="1">
      <c r="B85" s="31" t="inlineStr">
        <is>
          <t>064000</t>
        </is>
      </c>
      <c r="C85" s="12" t="inlineStr">
        <is>
          <t>5. Balcony bar/back bar- complete</t>
        </is>
      </c>
      <c r="D85" s="72" t="n">
        <v>0</v>
      </c>
      <c r="E85" s="31" t="inlineStr">
        <is>
          <t>LF</t>
        </is>
      </c>
      <c r="F85" s="16" t="n">
        <v>900</v>
      </c>
      <c r="G85" s="16" t="n">
        <v>0</v>
      </c>
      <c r="H85" s="73" t="n">
        <v>0</v>
      </c>
      <c r="I85" s="12" t="inlineStr">
        <is>
          <t>IN — Div 400 — Millwork</t>
        </is>
      </c>
      <c r="J85" s="35">
        <f>H85*G85</f>
        <v/>
      </c>
    </row>
    <row r="86" ht="13" customHeight="1">
      <c r="B86" s="31" t="inlineStr">
        <is>
          <t>064000</t>
        </is>
      </c>
      <c r="C86" s="12" t="inlineStr">
        <is>
          <t>6. Upper lounge bar/back bar- complete</t>
        </is>
      </c>
      <c r="D86" s="72" t="n">
        <v>0</v>
      </c>
      <c r="E86" s="31" t="inlineStr">
        <is>
          <t>LF</t>
        </is>
      </c>
      <c r="F86" s="16" t="n">
        <v>900</v>
      </c>
      <c r="G86" s="16" t="n">
        <v>0</v>
      </c>
      <c r="H86" s="73" t="n">
        <v>0</v>
      </c>
      <c r="I86" s="12" t="inlineStr">
        <is>
          <t>IN — Div 400 — Millwork</t>
        </is>
      </c>
      <c r="J86" s="35">
        <f>H86*G86</f>
        <v/>
      </c>
    </row>
    <row r="87" ht="13" customHeight="1">
      <c r="B87" s="31" t="inlineStr">
        <is>
          <t>064000</t>
        </is>
      </c>
      <c r="C87" s="12" t="inlineStr">
        <is>
          <t>7. Lower lounge bar/back bar- complete</t>
        </is>
      </c>
      <c r="D87" s="72" t="n">
        <v>0</v>
      </c>
      <c r="E87" s="31" t="inlineStr">
        <is>
          <t>LF</t>
        </is>
      </c>
      <c r="F87" s="16" t="n">
        <v>900</v>
      </c>
      <c r="G87" s="16" t="n">
        <v>0</v>
      </c>
      <c r="H87" s="73" t="n">
        <v>0</v>
      </c>
      <c r="I87" s="12" t="inlineStr">
        <is>
          <t>IN — Div 400 — Millwork</t>
        </is>
      </c>
      <c r="J87" s="35">
        <f>H87*G87</f>
        <v/>
      </c>
    </row>
    <row r="88" ht="13" customHeight="1">
      <c r="B88" s="31" t="inlineStr">
        <is>
          <t>064000</t>
        </is>
      </c>
      <c r="C88" s="12" t="inlineStr">
        <is>
          <t>8. Foundry bar/back bar- complete</t>
        </is>
      </c>
      <c r="D88" s="72" t="n">
        <v>0</v>
      </c>
      <c r="E88" s="31" t="inlineStr">
        <is>
          <t>LF</t>
        </is>
      </c>
      <c r="F88" s="16" t="n">
        <v>900</v>
      </c>
      <c r="G88" s="16" t="n">
        <v>0</v>
      </c>
      <c r="H88" s="73" t="n">
        <v>0</v>
      </c>
      <c r="I88" s="12" t="inlineStr">
        <is>
          <t>IN — Div 400 — Millwork</t>
        </is>
      </c>
      <c r="J88" s="35">
        <f>H88*G88</f>
        <v/>
      </c>
    </row>
    <row r="89" ht="13" customHeight="1">
      <c r="B89" s="31" t="inlineStr">
        <is>
          <t>064000</t>
        </is>
      </c>
      <c r="C89" s="12" t="inlineStr">
        <is>
          <t>9. Decorative Features Above Each Back Bar</t>
        </is>
      </c>
      <c r="D89" s="72" t="n">
        <v>0</v>
      </c>
      <c r="E89" s="31" t="inlineStr">
        <is>
          <t>EA</t>
        </is>
      </c>
      <c r="F89" s="16" t="n">
        <v>10000</v>
      </c>
      <c r="G89" s="16" t="n">
        <v>0</v>
      </c>
      <c r="H89" s="73" t="n">
        <v>0</v>
      </c>
      <c r="I89" s="12" t="inlineStr">
        <is>
          <t>IN — Div 400 — Millwork</t>
        </is>
      </c>
      <c r="J89" s="35">
        <f>H89*G89</f>
        <v/>
      </c>
    </row>
    <row r="90" ht="13" customHeight="1">
      <c r="B90" s="31" t="inlineStr">
        <is>
          <t>064000</t>
        </is>
      </c>
      <c r="C90" s="12" t="inlineStr">
        <is>
          <t>10. Green room Bathrooms &amp; Counter tops</t>
        </is>
      </c>
      <c r="D90" s="72" t="n">
        <v>0</v>
      </c>
      <c r="E90" s="31" t="inlineStr">
        <is>
          <t>LF</t>
        </is>
      </c>
      <c r="F90" s="16" t="n">
        <v>350</v>
      </c>
      <c r="G90" s="16" t="n">
        <v>0</v>
      </c>
      <c r="H90" s="73" t="n">
        <v>0</v>
      </c>
      <c r="I90" s="12" t="inlineStr">
        <is>
          <t>IN — Div 400 — Millwork</t>
        </is>
      </c>
      <c r="J90" s="35">
        <f>H90*G90</f>
        <v/>
      </c>
    </row>
    <row r="91" ht="13" customHeight="1">
      <c r="B91" s="31" t="inlineStr">
        <is>
          <t>064000</t>
        </is>
      </c>
      <c r="C91" s="12" t="inlineStr">
        <is>
          <t>11. Public Bathroom Counter top</t>
        </is>
      </c>
      <c r="D91" s="72" t="n">
        <v>0</v>
      </c>
      <c r="E91" s="31" t="inlineStr">
        <is>
          <t>LF</t>
        </is>
      </c>
      <c r="F91" s="16" t="n">
        <v>400</v>
      </c>
      <c r="G91" s="16" t="n">
        <v>0</v>
      </c>
      <c r="H91" s="73" t="n">
        <v>0</v>
      </c>
      <c r="I91" s="12" t="inlineStr">
        <is>
          <t>IN — Div 400 — Millwork</t>
        </is>
      </c>
      <c r="J91" s="35">
        <f>H91*G91</f>
        <v/>
      </c>
    </row>
    <row r="92" ht="13" customHeight="1">
      <c r="B92" s="31" t="inlineStr">
        <is>
          <t>064000</t>
        </is>
      </c>
      <c r="C92" s="12" t="inlineStr">
        <is>
          <t>12. Millwork at Merchandise</t>
        </is>
      </c>
      <c r="D92" s="72" t="n">
        <v>0</v>
      </c>
      <c r="E92" s="31" t="inlineStr">
        <is>
          <t>LS</t>
        </is>
      </c>
      <c r="F92" s="16" t="n">
        <v>12000</v>
      </c>
      <c r="G92" s="16" t="n">
        <v>0</v>
      </c>
      <c r="H92" s="73" t="n">
        <v>0</v>
      </c>
      <c r="I92" s="12" t="inlineStr">
        <is>
          <t>IN — Div 400 — Millwork</t>
        </is>
      </c>
      <c r="J92" s="35">
        <f>H92*G92</f>
        <v/>
      </c>
    </row>
    <row r="93" ht="13" customHeight="1">
      <c r="B93" s="31" t="inlineStr">
        <is>
          <t>064000</t>
        </is>
      </c>
      <c r="C93" s="12" t="inlineStr">
        <is>
          <t>13. Pantry at Office Area</t>
        </is>
      </c>
      <c r="D93" s="72" t="n">
        <v>0</v>
      </c>
      <c r="E93" s="31" t="inlineStr">
        <is>
          <t>LF</t>
        </is>
      </c>
      <c r="F93" s="16" t="n">
        <v>850</v>
      </c>
      <c r="G93" s="16" t="n">
        <v>0</v>
      </c>
      <c r="H93" s="73" t="n">
        <v>0</v>
      </c>
      <c r="I93" s="12" t="inlineStr">
        <is>
          <t>IN — Div 400 — Millwork</t>
        </is>
      </c>
      <c r="J93" s="35">
        <f>H93*G93</f>
        <v/>
      </c>
    </row>
    <row r="94" ht="13" customHeight="1">
      <c r="B94" s="31" t="inlineStr">
        <is>
          <t>064000</t>
        </is>
      </c>
      <c r="C94" s="12" t="inlineStr">
        <is>
          <t>14. Millwork shelf &amp; Pole at Coat closet area</t>
        </is>
      </c>
      <c r="D94" s="72" t="n">
        <v>0</v>
      </c>
      <c r="E94" s="31" t="inlineStr">
        <is>
          <t>LF</t>
        </is>
      </c>
      <c r="F94" s="16" t="n">
        <v>150</v>
      </c>
      <c r="G94" s="16" t="n">
        <v>0</v>
      </c>
      <c r="H94" s="73" t="n">
        <v>0</v>
      </c>
      <c r="I94" s="12" t="inlineStr">
        <is>
          <t>IN — Div 400 — Millwork</t>
        </is>
      </c>
      <c r="J94" s="35">
        <f>H94*G94</f>
        <v/>
      </c>
    </row>
    <row r="95" ht="13" customHeight="1">
      <c r="B95" s="31" t="inlineStr">
        <is>
          <t>064000</t>
        </is>
      </c>
      <c r="C95" s="12" t="inlineStr">
        <is>
          <t>15. Install Furniture</t>
        </is>
      </c>
      <c r="D95" s="72" t="n">
        <v>0</v>
      </c>
      <c r="E95" s="31" t="inlineStr">
        <is>
          <t>LS</t>
        </is>
      </c>
      <c r="F95" s="16" t="n">
        <v>25000</v>
      </c>
      <c r="G95" s="16" t="n">
        <v>0</v>
      </c>
      <c r="H95" s="73" t="n">
        <v>0</v>
      </c>
      <c r="I95" s="12" t="inlineStr">
        <is>
          <t>IN — Div 400 — Millwork</t>
        </is>
      </c>
      <c r="J95" s="35">
        <f>H95*G95</f>
        <v/>
      </c>
    </row>
    <row r="96" ht="13" customHeight="1">
      <c r="B96" s="31" t="inlineStr">
        <is>
          <t>064000</t>
        </is>
      </c>
      <c r="C96" s="12" t="inlineStr">
        <is>
          <t>16. Additional millwork in public areas</t>
        </is>
      </c>
      <c r="D96" s="72" t="n">
        <v>0</v>
      </c>
      <c r="E96" s="31" t="inlineStr">
        <is>
          <t>LS</t>
        </is>
      </c>
      <c r="F96" s="16" t="n">
        <v>30000</v>
      </c>
      <c r="G96" s="16" t="n">
        <v>0</v>
      </c>
      <c r="H96" s="73" t="n">
        <v>0</v>
      </c>
      <c r="I96" s="12" t="inlineStr">
        <is>
          <t>IN — Div 400 — Millwork</t>
        </is>
      </c>
      <c r="J96" s="35">
        <f>H96*G96</f>
        <v/>
      </c>
    </row>
    <row r="97" ht="13" customHeight="1">
      <c r="B97" s="31" t="inlineStr">
        <is>
          <t>064000</t>
        </is>
      </c>
      <c r="C97" s="12" t="inlineStr">
        <is>
          <t>17. Decorative Millwork at Proscenium</t>
        </is>
      </c>
      <c r="D97" s="72" t="n">
        <v>0</v>
      </c>
      <c r="E97" s="31" t="inlineStr">
        <is>
          <t>EA</t>
        </is>
      </c>
      <c r="F97" s="16" t="n">
        <v>10000</v>
      </c>
      <c r="G97" s="16" t="n">
        <v>0</v>
      </c>
      <c r="H97" s="73" t="n">
        <v>0</v>
      </c>
      <c r="I97" s="12" t="inlineStr">
        <is>
          <t>IN — Div 400 — Millwork</t>
        </is>
      </c>
      <c r="J97" s="35">
        <f>H97*G97</f>
        <v/>
      </c>
    </row>
    <row r="98" ht="13" customHeight="1">
      <c r="B98" s="31" t="inlineStr">
        <is>
          <t>064000</t>
        </is>
      </c>
      <c r="C98" s="12" t="inlineStr">
        <is>
          <t>18. Millwork at BOX Office</t>
        </is>
      </c>
      <c r="D98" s="72" t="n">
        <v>0</v>
      </c>
      <c r="E98" s="31" t="inlineStr">
        <is>
          <t>LF</t>
        </is>
      </c>
      <c r="F98" s="16" t="n">
        <v>500</v>
      </c>
      <c r="G98" s="16" t="n">
        <v>0</v>
      </c>
      <c r="H98" s="73" t="n">
        <v>0</v>
      </c>
      <c r="I98" s="12" t="inlineStr">
        <is>
          <t>IN — Div 400 — Millwork</t>
        </is>
      </c>
      <c r="J98" s="35">
        <f>H98*G98</f>
        <v/>
      </c>
    </row>
    <row r="99">
      <c r="B99" s="8" t="inlineStr">
        <is>
          <t>075000   ROOFING</t>
        </is>
      </c>
      <c r="C99" s="9" t="n"/>
      <c r="D99" s="9" t="n"/>
      <c r="E99" s="9" t="n"/>
      <c r="F99" s="9" t="n"/>
      <c r="G99" s="9" t="n"/>
      <c r="H99" s="9" t="n"/>
      <c r="I99" s="9" t="n"/>
    </row>
    <row r="100" ht="33" customHeight="1">
      <c r="B100" s="31" t="inlineStr">
        <is>
          <t>075000</t>
        </is>
      </c>
      <c r="C100" s="12" t="inlineStr">
        <is>
          <t>1. 2nd Floor Terrace Roof Membrane</t>
        </is>
      </c>
      <c r="D100" s="72" t="n">
        <v>2041</v>
      </c>
      <c r="E100" s="31" t="inlineStr">
        <is>
          <t>SF</t>
        </is>
      </c>
      <c r="F100" s="16" t="n">
        <v>32.5</v>
      </c>
      <c r="G100" s="16" t="n">
        <v>66332.5</v>
      </c>
      <c r="H100" s="73" t="n">
        <v>0</v>
      </c>
      <c r="I100" s="42" t="inlineStr">
        <is>
          <t>ADD — OUTDOOR TERRACE. 2,041 SF of second-floor roof deck. Programme scope — it is not needed to open the room and it is not in this model. His price, $66,333.</t>
        </is>
      </c>
      <c r="J100" s="35">
        <f>H100*G100</f>
        <v/>
      </c>
    </row>
    <row r="101" ht="55" customHeight="1">
      <c r="B101" s="31" t="inlineStr">
        <is>
          <t>075000</t>
        </is>
      </c>
      <c r="C101" s="12" t="inlineStr">
        <is>
          <t>2. 2nd Floor concrete pavers on pedestals</t>
        </is>
      </c>
      <c r="D101" s="72" t="n">
        <v>2041</v>
      </c>
      <c r="E101" s="31" t="inlineStr">
        <is>
          <t>SF</t>
        </is>
      </c>
      <c r="F101" s="16" t="n">
        <v>31</v>
      </c>
      <c r="G101" s="16" t="n">
        <v>63271</v>
      </c>
      <c r="H101" s="73" t="n">
        <v>0</v>
      </c>
      <c r="I101" s="42" t="inlineStr">
        <is>
          <t>ADD — OUTDOOR TERRACE paving on pedestals, 2,041 SF. Pairs with the line above. Note this is the line whose unit price is broken on his summary sheet — $31/SF here, but the summary carries $5,224,148 against it. The detail is right and the summary is wrong.</t>
        </is>
      </c>
      <c r="J101" s="35">
        <f>H101*G101</f>
        <v/>
      </c>
    </row>
    <row r="102" ht="13" customHeight="1">
      <c r="B102" s="31" t="inlineStr">
        <is>
          <t>075000</t>
        </is>
      </c>
      <c r="C102" s="12" t="inlineStr">
        <is>
          <t>3. Remove and replace roof at lower areas</t>
        </is>
      </c>
      <c r="D102" s="72" t="n">
        <v>0</v>
      </c>
      <c r="E102" s="31" t="inlineStr">
        <is>
          <t>SF</t>
        </is>
      </c>
      <c r="F102" s="16" t="n">
        <v>35</v>
      </c>
      <c r="G102" s="16" t="n">
        <v>0</v>
      </c>
      <c r="H102" s="73" t="n">
        <v>0</v>
      </c>
      <c r="I102" s="12" t="inlineStr">
        <is>
          <t>IN — Div 100 — Roof reinstatement</t>
        </is>
      </c>
      <c r="J102" s="35">
        <f>H102*G102</f>
        <v/>
      </c>
    </row>
    <row r="103" ht="13" customHeight="1">
      <c r="B103" s="31" t="inlineStr">
        <is>
          <t>075000</t>
        </is>
      </c>
      <c r="C103" s="12" t="inlineStr">
        <is>
          <t>4. Temp roof above music hall</t>
        </is>
      </c>
      <c r="D103" s="72" t="n">
        <v>0</v>
      </c>
      <c r="E103" s="31" t="inlineStr">
        <is>
          <t>SF</t>
        </is>
      </c>
      <c r="F103" s="16" t="n">
        <v>5</v>
      </c>
      <c r="G103" s="16" t="n">
        <v>0</v>
      </c>
      <c r="H103" s="73" t="n">
        <v>0</v>
      </c>
      <c r="I103" s="12" t="inlineStr">
        <is>
          <t>IN — Div 100 — Roof reinstatement</t>
        </is>
      </c>
      <c r="J103" s="35">
        <f>H103*G103</f>
        <v/>
      </c>
    </row>
    <row r="104" ht="13" customHeight="1">
      <c r="B104" s="31" t="inlineStr">
        <is>
          <t>075000</t>
        </is>
      </c>
      <c r="C104" s="12" t="inlineStr">
        <is>
          <t>5. Patch roofing at Misc. Penetrations</t>
        </is>
      </c>
      <c r="D104" s="72" t="n">
        <v>0</v>
      </c>
      <c r="E104" s="31" t="inlineStr">
        <is>
          <t>LS</t>
        </is>
      </c>
      <c r="F104" s="16" t="n">
        <v>15000</v>
      </c>
      <c r="G104" s="16" t="n">
        <v>0</v>
      </c>
      <c r="H104" s="73" t="n">
        <v>0</v>
      </c>
      <c r="I104" s="12" t="inlineStr">
        <is>
          <t>IN — Div 100 — Roof reinstatement</t>
        </is>
      </c>
      <c r="J104" s="35">
        <f>H104*G104</f>
        <v/>
      </c>
    </row>
    <row r="105">
      <c r="B105" s="8" t="inlineStr">
        <is>
          <t>078100   FIREPROOFING</t>
        </is>
      </c>
      <c r="C105" s="9" t="n"/>
      <c r="D105" s="9" t="n"/>
      <c r="E105" s="9" t="n"/>
      <c r="F105" s="9" t="n"/>
      <c r="G105" s="9" t="n"/>
      <c r="H105" s="9" t="n"/>
      <c r="I105" s="9" t="n"/>
    </row>
    <row r="106" ht="13" customHeight="1">
      <c r="B106" s="31" t="inlineStr">
        <is>
          <t>078100</t>
        </is>
      </c>
      <c r="C106" s="12" t="inlineStr">
        <is>
          <t>1. Allow for fireproofing at New steel at Roof</t>
        </is>
      </c>
      <c r="D106" s="72" t="n">
        <v>0</v>
      </c>
      <c r="E106" s="31" t="inlineStr">
        <is>
          <t>SF</t>
        </is>
      </c>
      <c r="F106" s="16" t="n">
        <v>5</v>
      </c>
      <c r="G106" s="16" t="n">
        <v>0</v>
      </c>
      <c r="H106" s="73" t="n">
        <v>0</v>
      </c>
      <c r="I106" s="12" t="inlineStr">
        <is>
          <t>IN — Div 100/300 — Fireproofing</t>
        </is>
      </c>
      <c r="J106" s="35">
        <f>H106*G106</f>
        <v/>
      </c>
    </row>
    <row r="107" ht="13" customHeight="1">
      <c r="B107" s="31" t="inlineStr">
        <is>
          <t>078100</t>
        </is>
      </c>
      <c r="C107" s="12" t="inlineStr">
        <is>
          <t>2. Allow for fireproofing at New steel at Mezzanine</t>
        </is>
      </c>
      <c r="D107" s="72" t="n">
        <v>0</v>
      </c>
      <c r="E107" s="31" t="inlineStr">
        <is>
          <t>SF</t>
        </is>
      </c>
      <c r="F107" s="16" t="n">
        <v>5</v>
      </c>
      <c r="G107" s="16" t="n">
        <v>0</v>
      </c>
      <c r="H107" s="73" t="n">
        <v>0</v>
      </c>
      <c r="I107" s="12" t="inlineStr">
        <is>
          <t>IN — Div 100/300 — Fireproofing</t>
        </is>
      </c>
      <c r="J107" s="35">
        <f>H107*G107</f>
        <v/>
      </c>
    </row>
    <row r="108" ht="13" customHeight="1">
      <c r="B108" s="31" t="inlineStr">
        <is>
          <t>078100</t>
        </is>
      </c>
      <c r="C108" s="12" t="inlineStr">
        <is>
          <t>3. Add fireproofing to existing roof steel</t>
        </is>
      </c>
      <c r="D108" s="72" t="n">
        <v>0</v>
      </c>
      <c r="E108" s="31" t="inlineStr">
        <is>
          <t>SF</t>
        </is>
      </c>
      <c r="F108" s="16" t="n">
        <v>5</v>
      </c>
      <c r="G108" s="16" t="n">
        <v>0</v>
      </c>
      <c r="H108" s="73" t="n">
        <v>0</v>
      </c>
      <c r="I108" s="12" t="inlineStr">
        <is>
          <t>IN — Div 100/300 — Fireproofing</t>
        </is>
      </c>
      <c r="J108" s="35">
        <f>H108*G108</f>
        <v/>
      </c>
    </row>
    <row r="109">
      <c r="B109" s="8" t="inlineStr">
        <is>
          <t>081000   DOORS, FRAMES &amp; HARDWARE</t>
        </is>
      </c>
      <c r="C109" s="9" t="n"/>
      <c r="D109" s="9" t="n"/>
      <c r="E109" s="9" t="n"/>
      <c r="F109" s="9" t="n"/>
      <c r="G109" s="9" t="n"/>
      <c r="H109" s="9" t="n"/>
      <c r="I109" s="9" t="n"/>
    </row>
    <row r="110" ht="13" customHeight="1">
      <c r="B110" s="31" t="inlineStr">
        <is>
          <t>081000</t>
        </is>
      </c>
      <c r="C110" s="12" t="inlineStr">
        <is>
          <t>1. Single Hollow Metal Doors - Non-Acoustical</t>
        </is>
      </c>
      <c r="D110" s="72" t="n">
        <v>0</v>
      </c>
      <c r="E110" s="31" t="inlineStr">
        <is>
          <t>EA</t>
        </is>
      </c>
      <c r="F110" s="16" t="n">
        <v>1800</v>
      </c>
      <c r="G110" s="16" t="n">
        <v>0</v>
      </c>
      <c r="H110" s="73" t="n">
        <v>0</v>
      </c>
      <c r="I110" s="12" t="inlineStr">
        <is>
          <t>IN — Div 400 — Doors, frames &amp; hardware</t>
        </is>
      </c>
      <c r="J110" s="35">
        <f>H110*G110</f>
        <v/>
      </c>
    </row>
    <row r="111" ht="13" customHeight="1">
      <c r="B111" s="31" t="inlineStr">
        <is>
          <t>081000</t>
        </is>
      </c>
      <c r="C111" s="12" t="inlineStr">
        <is>
          <t>2. Double Hollow Metal Doors - Non-Acoustical</t>
        </is>
      </c>
      <c r="D111" s="72" t="n">
        <v>0</v>
      </c>
      <c r="E111" s="31" t="inlineStr">
        <is>
          <t>EA</t>
        </is>
      </c>
      <c r="F111" s="16" t="n">
        <v>2500</v>
      </c>
      <c r="G111" s="16" t="n">
        <v>0</v>
      </c>
      <c r="H111" s="73" t="n">
        <v>0</v>
      </c>
      <c r="I111" s="12" t="inlineStr">
        <is>
          <t>IN — Div 400 — Doors, frames &amp; hardware</t>
        </is>
      </c>
      <c r="J111" s="35">
        <f>H111*G111</f>
        <v/>
      </c>
    </row>
    <row r="112" ht="13" customHeight="1">
      <c r="B112" s="31" t="inlineStr">
        <is>
          <t>081000</t>
        </is>
      </c>
      <c r="C112" s="12" t="inlineStr">
        <is>
          <t>3. Acoustical doors at Music Hall</t>
        </is>
      </c>
      <c r="D112" s="72" t="n">
        <v>0</v>
      </c>
      <c r="E112" s="31" t="inlineStr">
        <is>
          <t>EA</t>
        </is>
      </c>
      <c r="F112" s="16" t="n">
        <v>6500</v>
      </c>
      <c r="G112" s="16" t="n">
        <v>0</v>
      </c>
      <c r="H112" s="73" t="n">
        <v>0</v>
      </c>
      <c r="I112" s="12" t="inlineStr">
        <is>
          <t>IN — Div 400 — Doors, frames &amp; hardware</t>
        </is>
      </c>
      <c r="J112" s="35">
        <f>H112*G112</f>
        <v/>
      </c>
    </row>
    <row r="113" ht="13" customHeight="1">
      <c r="B113" s="31" t="inlineStr">
        <is>
          <t>081000</t>
        </is>
      </c>
      <c r="C113" s="12" t="inlineStr">
        <is>
          <t>4. Acoustical double doors at Music Hall</t>
        </is>
      </c>
      <c r="D113" s="72" t="n">
        <v>0</v>
      </c>
      <c r="E113" s="31" t="inlineStr">
        <is>
          <t>PAIR</t>
        </is>
      </c>
      <c r="F113" s="16" t="n">
        <v>10000</v>
      </c>
      <c r="G113" s="16" t="n">
        <v>0</v>
      </c>
      <c r="H113" s="73" t="n">
        <v>0</v>
      </c>
      <c r="I113" s="12" t="inlineStr">
        <is>
          <t>IN — Div 400 — Doors, frames &amp; hardware</t>
        </is>
      </c>
      <c r="J113" s="35">
        <f>H113*G113</f>
        <v/>
      </c>
    </row>
    <row r="114">
      <c r="B114" s="8" t="inlineStr">
        <is>
          <t>083000   SPECIAL DOORS</t>
        </is>
      </c>
      <c r="C114" s="9" t="n"/>
      <c r="D114" s="9" t="n"/>
      <c r="E114" s="9" t="n"/>
      <c r="F114" s="9" t="n"/>
      <c r="G114" s="9" t="n"/>
      <c r="H114" s="9" t="n"/>
      <c r="I114" s="9" t="n"/>
    </row>
    <row r="115" ht="13" customHeight="1">
      <c r="B115" s="31" t="inlineStr">
        <is>
          <t>083000</t>
        </is>
      </c>
      <c r="C115" s="12" t="inlineStr">
        <is>
          <t>1. Eliason doors</t>
        </is>
      </c>
      <c r="D115" s="72" t="n">
        <v>2</v>
      </c>
      <c r="E115" s="31" t="inlineStr">
        <is>
          <t>EA</t>
        </is>
      </c>
      <c r="F115" s="16" t="n">
        <v>3000</v>
      </c>
      <c r="G115" s="16" t="n">
        <v>6000</v>
      </c>
      <c r="H115" s="73" t="n">
        <v>0</v>
      </c>
      <c r="I115" s="12" t="inlineStr">
        <is>
          <t>IN — Div 400 — Doors, frames &amp; hardware</t>
        </is>
      </c>
      <c r="J115" s="35">
        <f>H115*G115</f>
        <v/>
      </c>
    </row>
    <row r="116">
      <c r="B116" s="8" t="inlineStr">
        <is>
          <t>084100   STOREFRONT</t>
        </is>
      </c>
      <c r="C116" s="9" t="n"/>
      <c r="D116" s="9" t="n"/>
      <c r="E116" s="9" t="n"/>
      <c r="F116" s="9" t="n"/>
      <c r="G116" s="9" t="n"/>
      <c r="H116" s="9" t="n"/>
      <c r="I116" s="9" t="n"/>
    </row>
    <row r="117" ht="13" customHeight="1">
      <c r="B117" s="31" t="inlineStr">
        <is>
          <t>084100</t>
        </is>
      </c>
      <c r="C117" s="12" t="inlineStr">
        <is>
          <t>1. F&amp;I New Storefront with Doors</t>
        </is>
      </c>
      <c r="D117" s="72" t="n">
        <v>0</v>
      </c>
      <c r="E117" s="31" t="inlineStr">
        <is>
          <t>SF</t>
        </is>
      </c>
      <c r="F117" s="16" t="n">
        <v>250</v>
      </c>
      <c r="G117" s="16" t="n">
        <v>0</v>
      </c>
      <c r="H117" s="73" t="n">
        <v>0</v>
      </c>
      <c r="I117" s="12" t="inlineStr">
        <is>
          <t>IN — Div 400 — Storefront &amp; glazing</t>
        </is>
      </c>
      <c r="J117" s="35">
        <f>H117*G117</f>
        <v/>
      </c>
    </row>
    <row r="118" ht="13" customHeight="1">
      <c r="B118" s="31" t="inlineStr">
        <is>
          <t>084100</t>
        </is>
      </c>
      <c r="C118" s="12" t="inlineStr">
        <is>
          <t>2. F&amp;I New Storefront with doors to roof deck</t>
        </is>
      </c>
      <c r="D118" s="72" t="n">
        <v>0</v>
      </c>
      <c r="E118" s="31" t="inlineStr">
        <is>
          <t>SF</t>
        </is>
      </c>
      <c r="F118" s="16" t="n">
        <v>150</v>
      </c>
      <c r="G118" s="16" t="n">
        <v>0</v>
      </c>
      <c r="H118" s="73" t="n">
        <v>0</v>
      </c>
      <c r="I118" s="42" t="inlineStr">
        <is>
          <t>ADD — Serves the roof terrace. Follows that decision.</t>
        </is>
      </c>
      <c r="J118" s="35">
        <f>H118*G118</f>
        <v/>
      </c>
    </row>
    <row r="119" ht="13" customHeight="1">
      <c r="B119" s="31" t="inlineStr">
        <is>
          <t>084100</t>
        </is>
      </c>
      <c r="C119" s="12" t="inlineStr">
        <is>
          <t>3. Storefront double door to roof deck</t>
        </is>
      </c>
      <c r="D119" s="72" t="n">
        <v>0</v>
      </c>
      <c r="E119" s="31" t="inlineStr">
        <is>
          <t>PAIRS</t>
        </is>
      </c>
      <c r="F119" s="16" t="n">
        <v>4500</v>
      </c>
      <c r="G119" s="16" t="n">
        <v>0</v>
      </c>
      <c r="H119" s="73" t="n">
        <v>0</v>
      </c>
      <c r="I119" s="42" t="inlineStr">
        <is>
          <t>ADD — Serves the roof terrace. Follows that decision.</t>
        </is>
      </c>
      <c r="J119" s="35">
        <f>H119*G119</f>
        <v/>
      </c>
    </row>
    <row r="120" ht="13" customHeight="1">
      <c r="B120" s="31" t="inlineStr">
        <is>
          <t>084100</t>
        </is>
      </c>
      <c r="C120" s="12" t="inlineStr">
        <is>
          <t>4. Interior Storefront at VIP Lounge</t>
        </is>
      </c>
      <c r="D120" s="72" t="n">
        <v>0</v>
      </c>
      <c r="E120" s="31" t="inlineStr">
        <is>
          <t>SF</t>
        </is>
      </c>
      <c r="F120" s="16" t="n">
        <v>75</v>
      </c>
      <c r="G120" s="16" t="n">
        <v>0</v>
      </c>
      <c r="H120" s="73" t="n">
        <v>0</v>
      </c>
      <c r="I120" s="12" t="inlineStr">
        <is>
          <t>IN — Div 400 — Storefront &amp; glazing</t>
        </is>
      </c>
      <c r="J120" s="35">
        <f>H120*G120</f>
        <v/>
      </c>
    </row>
    <row r="121" ht="13" customHeight="1">
      <c r="B121" s="31" t="inlineStr">
        <is>
          <t>084100</t>
        </is>
      </c>
      <c r="C121" s="12" t="inlineStr">
        <is>
          <t>5. Interior Storefront at foundry</t>
        </is>
      </c>
      <c r="D121" s="72" t="n">
        <v>0</v>
      </c>
      <c r="E121" s="31" t="inlineStr">
        <is>
          <t>SF</t>
        </is>
      </c>
      <c r="F121" s="16" t="n">
        <v>75</v>
      </c>
      <c r="G121" s="16" t="n">
        <v>0</v>
      </c>
      <c r="H121" s="73" t="n">
        <v>0</v>
      </c>
      <c r="I121" s="12" t="inlineStr">
        <is>
          <t>IN — Div 400 — Storefront &amp; glazing</t>
        </is>
      </c>
      <c r="J121" s="35">
        <f>H121*G121</f>
        <v/>
      </c>
    </row>
    <row r="122" ht="13" customHeight="1">
      <c r="B122" s="31" t="inlineStr">
        <is>
          <t>084100</t>
        </is>
      </c>
      <c r="C122" s="12" t="inlineStr">
        <is>
          <t>6. Interior double door at VIP Lounge</t>
        </is>
      </c>
      <c r="D122" s="72" t="n">
        <v>0</v>
      </c>
      <c r="E122" s="31" t="inlineStr">
        <is>
          <t>PAIR</t>
        </is>
      </c>
      <c r="F122" s="16" t="n">
        <v>4500</v>
      </c>
      <c r="G122" s="16" t="n">
        <v>0</v>
      </c>
      <c r="H122" s="73" t="n">
        <v>0</v>
      </c>
      <c r="I122" s="12" t="inlineStr">
        <is>
          <t>IN — Div 400 — Storefront &amp; glazing</t>
        </is>
      </c>
      <c r="J122" s="35">
        <f>H122*G122</f>
        <v/>
      </c>
    </row>
    <row r="123">
      <c r="B123" s="8" t="inlineStr">
        <is>
          <t>088000   GLAZING</t>
        </is>
      </c>
      <c r="C123" s="9" t="n"/>
      <c r="D123" s="9" t="n"/>
      <c r="E123" s="9" t="n"/>
      <c r="F123" s="9" t="n"/>
      <c r="G123" s="9" t="n"/>
      <c r="H123" s="9" t="n"/>
      <c r="I123" s="9" t="n"/>
    </row>
    <row r="124" ht="13" customHeight="1">
      <c r="B124" s="31" t="inlineStr">
        <is>
          <t>088000</t>
        </is>
      </c>
      <c r="C124" s="12" t="inlineStr">
        <is>
          <t>2. Mirror at Bathrooms- Public</t>
        </is>
      </c>
      <c r="D124" s="72" t="n">
        <v>0</v>
      </c>
      <c r="E124" s="31" t="inlineStr">
        <is>
          <t>SF</t>
        </is>
      </c>
      <c r="F124" s="16" t="n">
        <v>50</v>
      </c>
      <c r="G124" s="16" t="n">
        <v>0</v>
      </c>
      <c r="H124" s="73" t="n">
        <v>0</v>
      </c>
      <c r="I124" s="12" t="inlineStr">
        <is>
          <t>IN — Div 400 — Storefront &amp; glazing</t>
        </is>
      </c>
      <c r="J124" s="35">
        <f>H124*G124</f>
        <v/>
      </c>
    </row>
    <row r="125" ht="13" customHeight="1">
      <c r="B125" s="31" t="inlineStr">
        <is>
          <t>088000</t>
        </is>
      </c>
      <c r="C125" s="12" t="inlineStr">
        <is>
          <t>3. Mirror at Green room</t>
        </is>
      </c>
      <c r="D125" s="72" t="n">
        <v>0</v>
      </c>
      <c r="E125" s="31" t="inlineStr">
        <is>
          <t>SF</t>
        </is>
      </c>
      <c r="F125" s="16" t="n">
        <v>50</v>
      </c>
      <c r="G125" s="16" t="n">
        <v>0</v>
      </c>
      <c r="H125" s="73" t="n">
        <v>0</v>
      </c>
      <c r="I125" s="12" t="inlineStr">
        <is>
          <t>IN — Div 400 — Storefront &amp; glazing</t>
        </is>
      </c>
      <c r="J125" s="35">
        <f>H125*G125</f>
        <v/>
      </c>
    </row>
    <row r="126" ht="13" customHeight="1">
      <c r="B126" s="31" t="inlineStr">
        <is>
          <t>088000</t>
        </is>
      </c>
      <c r="C126" s="12" t="inlineStr">
        <is>
          <t>4. Mirror behind bars</t>
        </is>
      </c>
      <c r="D126" s="72" t="n">
        <v>0</v>
      </c>
      <c r="E126" s="31" t="inlineStr">
        <is>
          <t>LOT</t>
        </is>
      </c>
      <c r="F126" s="16" t="n">
        <v>35000</v>
      </c>
      <c r="G126" s="16" t="n">
        <v>0</v>
      </c>
      <c r="H126" s="73" t="n">
        <v>0</v>
      </c>
      <c r="I126" s="12" t="inlineStr">
        <is>
          <t>IN — Div 400 — Storefront &amp; glazing</t>
        </is>
      </c>
      <c r="J126" s="35">
        <f>H126*G126</f>
        <v/>
      </c>
    </row>
    <row r="127" ht="13" customHeight="1">
      <c r="B127" s="31" t="inlineStr">
        <is>
          <t>088000</t>
        </is>
      </c>
      <c r="C127" s="12" t="inlineStr">
        <is>
          <t>5. Ballistic Box office window</t>
        </is>
      </c>
      <c r="D127" s="72" t="n">
        <v>0</v>
      </c>
      <c r="E127" s="31" t="inlineStr">
        <is>
          <t>LOT</t>
        </is>
      </c>
      <c r="F127" s="16" t="n">
        <v>10000</v>
      </c>
      <c r="G127" s="16" t="n">
        <v>0</v>
      </c>
      <c r="H127" s="73" t="n">
        <v>0</v>
      </c>
      <c r="I127" s="12" t="inlineStr">
        <is>
          <t>IN — Div 400 — Storefront &amp; glazing</t>
        </is>
      </c>
      <c r="J127" s="35">
        <f>H127*G127</f>
        <v/>
      </c>
    </row>
    <row r="128">
      <c r="B128" s="8" t="inlineStr">
        <is>
          <t>092000   DRYWALL</t>
        </is>
      </c>
      <c r="C128" s="9" t="n"/>
      <c r="D128" s="9" t="n"/>
      <c r="E128" s="9" t="n"/>
      <c r="F128" s="9" t="n"/>
      <c r="G128" s="9" t="n"/>
      <c r="H128" s="9" t="n"/>
      <c r="I128" s="9" t="n"/>
    </row>
    <row r="129" ht="13" customHeight="1">
      <c r="B129" s="31" t="inlineStr">
        <is>
          <t>092000</t>
        </is>
      </c>
      <c r="C129" s="12" t="inlineStr">
        <is>
          <t>1. Perimeter wall partition at existing exterior wall</t>
        </is>
      </c>
      <c r="D129" s="72" t="n">
        <v>9972</v>
      </c>
      <c r="E129" s="31" t="inlineStr">
        <is>
          <t>SF</t>
        </is>
      </c>
      <c r="F129" s="16" t="n">
        <v>12</v>
      </c>
      <c r="G129" s="16" t="n">
        <v>119664</v>
      </c>
      <c r="H129" s="73" t="n">
        <v>0</v>
      </c>
      <c r="I129" s="12" t="inlineStr">
        <is>
          <t>IN — Div 400 — Drywall &amp; partitions</t>
        </is>
      </c>
      <c r="J129" s="35">
        <f>H129*G129</f>
        <v/>
      </c>
    </row>
    <row r="130" ht="13" customHeight="1">
      <c r="B130" s="31" t="inlineStr">
        <is>
          <t>092000</t>
        </is>
      </c>
      <c r="C130" s="12" t="inlineStr">
        <is>
          <t>2. Perimeter wall furring/sheathing at new Music Hall bump up</t>
        </is>
      </c>
      <c r="D130" s="72" t="n">
        <v>0</v>
      </c>
      <c r="E130" s="31" t="inlineStr">
        <is>
          <t>SF</t>
        </is>
      </c>
      <c r="F130" s="16" t="n">
        <v>20</v>
      </c>
      <c r="G130" s="16" t="n">
        <v>0</v>
      </c>
      <c r="H130" s="73" t="n">
        <v>0</v>
      </c>
      <c r="I130" s="12" t="inlineStr">
        <is>
          <t>IN — Div 400 — Drywall &amp; partitions</t>
        </is>
      </c>
      <c r="J130" s="35">
        <f>H130*G130</f>
        <v/>
      </c>
    </row>
    <row r="131" ht="13" customHeight="1">
      <c r="B131" s="31" t="inlineStr">
        <is>
          <t>092000</t>
        </is>
      </c>
      <c r="C131" s="12" t="inlineStr">
        <is>
          <t>3. Interior Sound/Fire rated walls at music hall, stair ways and elevator shafts</t>
        </is>
      </c>
      <c r="D131" s="72" t="n">
        <v>0</v>
      </c>
      <c r="E131" s="31" t="inlineStr">
        <is>
          <t>SF</t>
        </is>
      </c>
      <c r="F131" s="16" t="n">
        <v>20</v>
      </c>
      <c r="G131" s="16" t="n">
        <v>0</v>
      </c>
      <c r="H131" s="73" t="n">
        <v>0</v>
      </c>
      <c r="I131" s="12" t="inlineStr">
        <is>
          <t>IN — Div 400 — Drywall &amp; partitions</t>
        </is>
      </c>
      <c r="J131" s="35">
        <f>H131*G131</f>
        <v/>
      </c>
    </row>
    <row r="132" ht="13" customHeight="1">
      <c r="B132" s="31" t="inlineStr">
        <is>
          <t>092000</t>
        </is>
      </c>
      <c r="C132" s="12" t="inlineStr">
        <is>
          <t>4. Interior Non Sound walls</t>
        </is>
      </c>
      <c r="D132" s="72" t="n">
        <v>0</v>
      </c>
      <c r="E132" s="31" t="inlineStr">
        <is>
          <t>SF</t>
        </is>
      </c>
      <c r="F132" s="16" t="n">
        <v>12</v>
      </c>
      <c r="G132" s="16" t="n">
        <v>0</v>
      </c>
      <c r="H132" s="73" t="n">
        <v>0</v>
      </c>
      <c r="I132" s="12" t="inlineStr">
        <is>
          <t>IN — Div 400 — Drywall &amp; partitions</t>
        </is>
      </c>
      <c r="J132" s="35">
        <f>H132*G132</f>
        <v/>
      </c>
    </row>
    <row r="133" ht="13" customHeight="1">
      <c r="B133" s="31" t="inlineStr">
        <is>
          <t>092000</t>
        </is>
      </c>
      <c r="C133" s="12" t="inlineStr">
        <is>
          <t>5. Drywall ceilings</t>
        </is>
      </c>
      <c r="D133" s="72" t="n">
        <v>0</v>
      </c>
      <c r="E133" s="31" t="inlineStr">
        <is>
          <t>SF</t>
        </is>
      </c>
      <c r="F133" s="16" t="n">
        <v>12</v>
      </c>
      <c r="G133" s="16" t="n">
        <v>0</v>
      </c>
      <c r="H133" s="73" t="n">
        <v>0</v>
      </c>
      <c r="I133" s="12" t="inlineStr">
        <is>
          <t>IN — Div 400 — Drywall &amp; partitions</t>
        </is>
      </c>
      <c r="J133" s="35">
        <f>H133*G133</f>
        <v/>
      </c>
    </row>
    <row r="134" ht="13" customHeight="1">
      <c r="B134" s="31" t="inlineStr">
        <is>
          <t>092000</t>
        </is>
      </c>
      <c r="C134" s="12" t="inlineStr">
        <is>
          <t>6. Acoustical Ceilngs</t>
        </is>
      </c>
      <c r="D134" s="72" t="n">
        <v>0</v>
      </c>
      <c r="E134" s="31" t="inlineStr">
        <is>
          <t>SF</t>
        </is>
      </c>
      <c r="F134" s="16" t="n">
        <v>10</v>
      </c>
      <c r="G134" s="16" t="n">
        <v>0</v>
      </c>
      <c r="H134" s="73" t="n">
        <v>0</v>
      </c>
      <c r="I134" s="12" t="inlineStr">
        <is>
          <t>IN — Div 400 — Drywall &amp; partitions</t>
        </is>
      </c>
      <c r="J134" s="35">
        <f>H134*G134</f>
        <v/>
      </c>
    </row>
    <row r="135" ht="13" customHeight="1">
      <c r="B135" s="31" t="inlineStr">
        <is>
          <t>092000</t>
        </is>
      </c>
      <c r="C135" s="12" t="inlineStr">
        <is>
          <t>7. Install Doors/Frames/Hardware</t>
        </is>
      </c>
      <c r="D135" s="72" t="n">
        <v>0</v>
      </c>
      <c r="E135" s="31" t="inlineStr">
        <is>
          <t>EA</t>
        </is>
      </c>
      <c r="F135" s="16" t="n">
        <v>650</v>
      </c>
      <c r="G135" s="16" t="n">
        <v>0</v>
      </c>
      <c r="H135" s="73" t="n">
        <v>0</v>
      </c>
      <c r="I135" s="12" t="inlineStr">
        <is>
          <t>IN — Div 400 — Drywall &amp; partitions</t>
        </is>
      </c>
      <c r="J135" s="35">
        <f>H135*G135</f>
        <v/>
      </c>
    </row>
    <row r="136" ht="13" customHeight="1">
      <c r="B136" s="31" t="inlineStr">
        <is>
          <t>092000</t>
        </is>
      </c>
      <c r="C136" s="12" t="inlineStr">
        <is>
          <t>8. Blocking</t>
        </is>
      </c>
      <c r="D136" s="72" t="n">
        <v>0</v>
      </c>
      <c r="E136" s="31" t="inlineStr">
        <is>
          <t>LS</t>
        </is>
      </c>
      <c r="F136" s="16" t="n">
        <v>30000</v>
      </c>
      <c r="G136" s="16" t="n">
        <v>0</v>
      </c>
      <c r="H136" s="73" t="n">
        <v>0</v>
      </c>
      <c r="I136" s="12" t="inlineStr">
        <is>
          <t>IN — Div 400 — Drywall &amp; partitions</t>
        </is>
      </c>
      <c r="J136" s="35">
        <f>H136*G136</f>
        <v/>
      </c>
    </row>
    <row r="137" ht="22" customHeight="1">
      <c r="B137" s="31" t="inlineStr">
        <is>
          <t>092000</t>
        </is>
      </c>
      <c r="C137" s="12" t="inlineStr">
        <is>
          <t>9. FRP Kitchen walls</t>
        </is>
      </c>
      <c r="D137" s="72" t="n">
        <v>0</v>
      </c>
      <c r="E137" s="31" t="inlineStr">
        <is>
          <t>SF</t>
        </is>
      </c>
      <c r="F137" s="16" t="n">
        <v>15</v>
      </c>
      <c r="G137" s="16" t="n">
        <v>0</v>
      </c>
      <c r="H137" s="73" t="n">
        <v>0</v>
      </c>
      <c r="I137" s="12" t="inlineStr">
        <is>
          <t>IN — Div 800 — Kitchen L1. Moved out of division 400 so the kitchen toggle controls it.</t>
        </is>
      </c>
      <c r="J137" s="35">
        <f>H137*G137</f>
        <v/>
      </c>
    </row>
    <row r="138" ht="13" customHeight="1">
      <c r="B138" s="31" t="inlineStr">
        <is>
          <t>092000</t>
        </is>
      </c>
      <c r="C138" s="12" t="inlineStr">
        <is>
          <t>10. Diamond wall plates at Loading dock area for wall protection</t>
        </is>
      </c>
      <c r="D138" s="72" t="n">
        <v>0</v>
      </c>
      <c r="E138" s="31" t="inlineStr">
        <is>
          <t>SF</t>
        </is>
      </c>
      <c r="F138" s="16" t="n">
        <v>15</v>
      </c>
      <c r="G138" s="16" t="n">
        <v>0</v>
      </c>
      <c r="H138" s="73" t="n">
        <v>0</v>
      </c>
      <c r="I138" s="12" t="inlineStr">
        <is>
          <t>IN — Div 400 — Drywall &amp; partitions</t>
        </is>
      </c>
      <c r="J138" s="35">
        <f>H138*G138</f>
        <v/>
      </c>
    </row>
    <row r="139" ht="13" customHeight="1">
      <c r="B139" s="31" t="inlineStr">
        <is>
          <t>092000</t>
        </is>
      </c>
      <c r="C139" s="12" t="inlineStr">
        <is>
          <t>11. Install Items Furnished By Others</t>
        </is>
      </c>
      <c r="D139" s="72" t="n">
        <v>0</v>
      </c>
      <c r="E139" s="31" t="inlineStr">
        <is>
          <t>LS</t>
        </is>
      </c>
      <c r="F139" s="16" t="n">
        <v>25000</v>
      </c>
      <c r="G139" s="16" t="n">
        <v>0</v>
      </c>
      <c r="H139" s="73" t="n">
        <v>0</v>
      </c>
      <c r="I139" s="12" t="inlineStr">
        <is>
          <t>IN — Div 400 — Drywall &amp; partitions</t>
        </is>
      </c>
      <c r="J139" s="35">
        <f>H139*G139</f>
        <v/>
      </c>
    </row>
    <row r="140">
      <c r="B140" s="8" t="inlineStr">
        <is>
          <t>092300   TILE</t>
        </is>
      </c>
      <c r="C140" s="9" t="n"/>
      <c r="D140" s="9" t="n"/>
      <c r="E140" s="9" t="n"/>
      <c r="F140" s="9" t="n"/>
      <c r="G140" s="9" t="n"/>
      <c r="H140" s="9" t="n"/>
      <c r="I140" s="9" t="n"/>
    </row>
    <row r="141" ht="13" customHeight="1">
      <c r="B141" s="31" t="inlineStr">
        <is>
          <t>092300</t>
        </is>
      </c>
      <c r="C141" s="12" t="inlineStr">
        <is>
          <t>1. Tile at Restroom/Shower Floors</t>
        </is>
      </c>
      <c r="D141" s="72" t="n">
        <v>0</v>
      </c>
      <c r="E141" s="31" t="inlineStr">
        <is>
          <t>SF</t>
        </is>
      </c>
      <c r="F141" s="16" t="n">
        <v>30</v>
      </c>
      <c r="G141" s="16" t="n">
        <v>0</v>
      </c>
      <c r="H141" s="73" t="n">
        <v>0</v>
      </c>
      <c r="I141" s="12" t="inlineStr">
        <is>
          <t>IN — Div 400 — Finishes</t>
        </is>
      </c>
      <c r="J141" s="35">
        <f>H141*G141</f>
        <v/>
      </c>
    </row>
    <row r="142" ht="13" customHeight="1">
      <c r="B142" s="31" t="inlineStr">
        <is>
          <t>092300</t>
        </is>
      </c>
      <c r="C142" s="12" t="inlineStr">
        <is>
          <t>2. Tile at Restroom Walls</t>
        </is>
      </c>
      <c r="D142" s="72" t="n">
        <v>0</v>
      </c>
      <c r="E142" s="31" t="inlineStr">
        <is>
          <t>SF</t>
        </is>
      </c>
      <c r="F142" s="16" t="n">
        <v>30</v>
      </c>
      <c r="G142" s="16" t="n">
        <v>0</v>
      </c>
      <c r="H142" s="73" t="n">
        <v>0</v>
      </c>
      <c r="I142" s="12" t="inlineStr">
        <is>
          <t>IN — Div 400 — Finishes</t>
        </is>
      </c>
      <c r="J142" s="35">
        <f>H142*G142</f>
        <v/>
      </c>
    </row>
    <row r="143" ht="13" customHeight="1">
      <c r="B143" s="31" t="inlineStr">
        <is>
          <t>092300</t>
        </is>
      </c>
      <c r="C143" s="12" t="inlineStr">
        <is>
          <t>3. Faux brick at Lobby</t>
        </is>
      </c>
      <c r="D143" s="72" t="n">
        <v>0</v>
      </c>
      <c r="E143" s="31" t="inlineStr">
        <is>
          <t>SF</t>
        </is>
      </c>
      <c r="F143" s="16" t="n">
        <v>35</v>
      </c>
      <c r="G143" s="16" t="n">
        <v>0</v>
      </c>
      <c r="H143" s="73" t="n">
        <v>0</v>
      </c>
      <c r="I143" s="12" t="inlineStr">
        <is>
          <t>IN — Div 400 — Finishes</t>
        </is>
      </c>
      <c r="J143" s="35">
        <f>H143*G143</f>
        <v/>
      </c>
    </row>
    <row r="144" ht="13" customHeight="1">
      <c r="B144" s="31" t="inlineStr">
        <is>
          <t>092300</t>
        </is>
      </c>
      <c r="C144" s="12" t="inlineStr">
        <is>
          <t>4. Tile at Bar Floors</t>
        </is>
      </c>
      <c r="D144" s="72" t="n">
        <v>0</v>
      </c>
      <c r="E144" s="31" t="inlineStr">
        <is>
          <t>SF</t>
        </is>
      </c>
      <c r="F144" s="16" t="n">
        <v>20</v>
      </c>
      <c r="G144" s="16" t="n">
        <v>0</v>
      </c>
      <c r="H144" s="73" t="n">
        <v>0</v>
      </c>
      <c r="I144" s="12" t="inlineStr">
        <is>
          <t>IN — Div 400 — Finishes</t>
        </is>
      </c>
      <c r="J144" s="35">
        <f>H144*G144</f>
        <v/>
      </c>
    </row>
    <row r="145" ht="33" customHeight="1">
      <c r="B145" s="31" t="inlineStr">
        <is>
          <t>092300</t>
        </is>
      </c>
      <c r="C145" s="12" t="inlineStr">
        <is>
          <t>5. Tile &amp; Base at Kitchen</t>
        </is>
      </c>
      <c r="D145" s="72" t="n">
        <v>0</v>
      </c>
      <c r="E145" s="31" t="inlineStr">
        <is>
          <t>SF</t>
        </is>
      </c>
      <c r="F145" s="16" t="n">
        <v>20</v>
      </c>
      <c r="G145" s="16" t="n">
        <v>0</v>
      </c>
      <c r="H145" s="73" t="n">
        <v>0</v>
      </c>
      <c r="I145" s="12" t="inlineStr">
        <is>
          <t>IN — Div 800 — Kitchen L1, as quarry tile and coved base. DOH requires a hard non-absorbent coved floor in any prep area.</t>
        </is>
      </c>
      <c r="J145" s="35">
        <f>H145*G145</f>
        <v/>
      </c>
    </row>
    <row r="146">
      <c r="B146" s="8" t="inlineStr">
        <is>
          <t>096000   CARPET/RESILIENT FLOORING</t>
        </is>
      </c>
      <c r="C146" s="9" t="n"/>
      <c r="D146" s="9" t="n"/>
      <c r="E146" s="9" t="n"/>
      <c r="F146" s="9" t="n"/>
      <c r="G146" s="9" t="n"/>
      <c r="H146" s="9" t="n"/>
      <c r="I146" s="9" t="n"/>
    </row>
    <row r="147" ht="13" customHeight="1">
      <c r="B147" s="31" t="inlineStr">
        <is>
          <t>096000</t>
        </is>
      </c>
      <c r="C147" s="12" t="inlineStr">
        <is>
          <t>1. Carpete tile at office and production</t>
        </is>
      </c>
      <c r="D147" s="72" t="n">
        <v>0</v>
      </c>
      <c r="E147" s="31" t="inlineStr">
        <is>
          <t>SF</t>
        </is>
      </c>
      <c r="F147" s="16" t="n">
        <v>5.5</v>
      </c>
      <c r="G147" s="16" t="n">
        <v>0</v>
      </c>
      <c r="H147" s="73" t="n">
        <v>0</v>
      </c>
      <c r="I147" s="12" t="inlineStr">
        <is>
          <t>IN — Div 400 — Finishes</t>
        </is>
      </c>
      <c r="J147" s="35">
        <f>H147*G147</f>
        <v/>
      </c>
    </row>
    <row r="148" ht="13" customHeight="1">
      <c r="B148" s="31" t="inlineStr">
        <is>
          <t>096000</t>
        </is>
      </c>
      <c r="C148" s="12" t="inlineStr">
        <is>
          <t>2. LVT Flooring at Green room areas and Dresssing rooms</t>
        </is>
      </c>
      <c r="D148" s="72" t="n">
        <v>0</v>
      </c>
      <c r="E148" s="31" t="inlineStr">
        <is>
          <t>SF</t>
        </is>
      </c>
      <c r="F148" s="16" t="n">
        <v>10</v>
      </c>
      <c r="G148" s="16" t="n">
        <v>0</v>
      </c>
      <c r="H148" s="73" t="n">
        <v>0</v>
      </c>
      <c r="I148" s="12" t="inlineStr">
        <is>
          <t>IN — Div 400 — Finishes</t>
        </is>
      </c>
      <c r="J148" s="35">
        <f>H148*G148</f>
        <v/>
      </c>
    </row>
    <row r="149" ht="13" customHeight="1">
      <c r="B149" s="31" t="inlineStr">
        <is>
          <t>096000</t>
        </is>
      </c>
      <c r="C149" s="12" t="inlineStr">
        <is>
          <t>3. VCT in coat room/box office</t>
        </is>
      </c>
      <c r="D149" s="72" t="n">
        <v>0</v>
      </c>
      <c r="E149" s="31" t="inlineStr">
        <is>
          <t>SF</t>
        </is>
      </c>
      <c r="F149" s="16" t="n">
        <v>7</v>
      </c>
      <c r="G149" s="16" t="n">
        <v>0</v>
      </c>
      <c r="H149" s="73" t="n">
        <v>0</v>
      </c>
      <c r="I149" s="12" t="inlineStr">
        <is>
          <t>IN — Div 400 — Finishes</t>
        </is>
      </c>
      <c r="J149" s="35">
        <f>H149*G149</f>
        <v/>
      </c>
    </row>
    <row r="150" ht="13" customHeight="1">
      <c r="B150" s="31" t="inlineStr">
        <is>
          <t>096000</t>
        </is>
      </c>
      <c r="C150" s="12" t="inlineStr">
        <is>
          <t>4. F&amp;I Vinyl Base</t>
        </is>
      </c>
      <c r="D150" s="72" t="n">
        <v>0</v>
      </c>
      <c r="E150" s="31" t="inlineStr">
        <is>
          <t>LF</t>
        </is>
      </c>
      <c r="F150" s="16" t="n">
        <v>2.75</v>
      </c>
      <c r="G150" s="16" t="n">
        <v>0</v>
      </c>
      <c r="H150" s="73" t="n">
        <v>0</v>
      </c>
      <c r="I150" s="12" t="inlineStr">
        <is>
          <t>IN — Div 400 — Finishes</t>
        </is>
      </c>
      <c r="J150" s="35">
        <f>H150*G150</f>
        <v/>
      </c>
    </row>
    <row r="151" ht="13" customHeight="1">
      <c r="B151" s="31" t="inlineStr">
        <is>
          <t>096000</t>
        </is>
      </c>
      <c r="C151" s="12" t="inlineStr">
        <is>
          <t>5. Minor Prep floor</t>
        </is>
      </c>
      <c r="D151" s="72" t="n">
        <v>0</v>
      </c>
      <c r="E151" s="31" t="inlineStr">
        <is>
          <t>SF</t>
        </is>
      </c>
      <c r="F151" s="16" t="n">
        <v>1.5</v>
      </c>
      <c r="G151" s="16" t="n">
        <v>0</v>
      </c>
      <c r="H151" s="73" t="n">
        <v>0</v>
      </c>
      <c r="I151" s="12" t="inlineStr">
        <is>
          <t>IN — Div 400 — Finishes</t>
        </is>
      </c>
      <c r="J151" s="35">
        <f>H151*G151</f>
        <v/>
      </c>
    </row>
    <row r="152" ht="13" customHeight="1">
      <c r="B152" s="31" t="inlineStr">
        <is>
          <t>096000</t>
        </is>
      </c>
      <c r="C152" s="12" t="inlineStr">
        <is>
          <t>6. Entry Mats</t>
        </is>
      </c>
      <c r="D152" s="72" t="n">
        <v>0</v>
      </c>
      <c r="E152" s="31" t="inlineStr">
        <is>
          <t>SF</t>
        </is>
      </c>
      <c r="F152" s="16" t="n">
        <v>100</v>
      </c>
      <c r="G152" s="16" t="n">
        <v>0</v>
      </c>
      <c r="H152" s="73" t="n">
        <v>0</v>
      </c>
      <c r="I152" s="12" t="inlineStr">
        <is>
          <t>IN — Div 400 — Finishes</t>
        </is>
      </c>
      <c r="J152" s="35">
        <f>H152*G152</f>
        <v/>
      </c>
    </row>
    <row r="153" ht="13" customHeight="1">
      <c r="B153" s="31" t="inlineStr">
        <is>
          <t>096000</t>
        </is>
      </c>
      <c r="C153" s="12" t="inlineStr">
        <is>
          <t>7. Stair Treads</t>
        </is>
      </c>
      <c r="D153" s="72" t="n">
        <v>0</v>
      </c>
      <c r="E153" s="31" t="inlineStr">
        <is>
          <t>LS</t>
        </is>
      </c>
      <c r="F153" s="16" t="n">
        <v>17500</v>
      </c>
      <c r="G153" s="16" t="n">
        <v>0</v>
      </c>
      <c r="H153" s="73" t="n">
        <v>0</v>
      </c>
      <c r="I153" s="12" t="inlineStr">
        <is>
          <t>IN — Div 400 — Finishes</t>
        </is>
      </c>
      <c r="J153" s="35">
        <f>H153*G153</f>
        <v/>
      </c>
    </row>
    <row r="154">
      <c r="B154" s="8" t="inlineStr">
        <is>
          <t>096050   FLOOR PREPARATION</t>
        </is>
      </c>
      <c r="C154" s="9" t="n"/>
      <c r="D154" s="9" t="n"/>
      <c r="E154" s="9" t="n"/>
      <c r="F154" s="9" t="n"/>
      <c r="G154" s="9" t="n"/>
      <c r="H154" s="9" t="n"/>
      <c r="I154" s="9" t="n"/>
    </row>
    <row r="155" ht="13" customHeight="1">
      <c r="B155" s="31" t="inlineStr">
        <is>
          <t>096050</t>
        </is>
      </c>
      <c r="C155" s="12" t="inlineStr">
        <is>
          <t>1. Allow to prep the floor</t>
        </is>
      </c>
      <c r="D155" s="72" t="n">
        <v>0</v>
      </c>
      <c r="E155" s="31" t="inlineStr">
        <is>
          <t>LS</t>
        </is>
      </c>
      <c r="F155" s="16" t="n">
        <v>25000</v>
      </c>
      <c r="G155" s="16" t="n">
        <v>0</v>
      </c>
      <c r="H155" s="73" t="n">
        <v>0</v>
      </c>
      <c r="I155" s="12" t="inlineStr">
        <is>
          <t>IN — Div 400 — Finishes</t>
        </is>
      </c>
      <c r="J155" s="35">
        <f>H155*G155</f>
        <v/>
      </c>
    </row>
    <row r="156">
      <c r="B156" s="8" t="inlineStr">
        <is>
          <t>096400   WOOD FLOORING</t>
        </is>
      </c>
      <c r="C156" s="9" t="n"/>
      <c r="D156" s="9" t="n"/>
      <c r="E156" s="9" t="n"/>
      <c r="F156" s="9" t="n"/>
      <c r="G156" s="9" t="n"/>
      <c r="H156" s="9" t="n"/>
      <c r="I156" s="9" t="n"/>
    </row>
    <row r="157" ht="13" customHeight="1">
      <c r="B157" s="31" t="inlineStr">
        <is>
          <t>096400</t>
        </is>
      </c>
      <c r="C157" s="12" t="inlineStr">
        <is>
          <t>1. F&amp;I T&amp;G Wood floor at Stage</t>
        </is>
      </c>
      <c r="D157" s="72" t="n">
        <v>0</v>
      </c>
      <c r="E157" s="31" t="inlineStr">
        <is>
          <t>SF</t>
        </is>
      </c>
      <c r="F157" s="16" t="n">
        <v>35</v>
      </c>
      <c r="G157" s="16" t="n">
        <v>0</v>
      </c>
      <c r="H157" s="73" t="n">
        <v>0</v>
      </c>
      <c r="I157" s="12" t="inlineStr">
        <is>
          <t>IN — Div 200 — Stage T&amp;G wood floor</t>
        </is>
      </c>
      <c r="J157" s="35">
        <f>H157*G157</f>
        <v/>
      </c>
    </row>
    <row r="158">
      <c r="B158" s="8" t="inlineStr">
        <is>
          <t>099000   PAINTING/PLASTER</t>
        </is>
      </c>
      <c r="C158" s="9" t="n"/>
      <c r="D158" s="9" t="n"/>
      <c r="E158" s="9" t="n"/>
      <c r="F158" s="9" t="n"/>
      <c r="G158" s="9" t="n"/>
      <c r="H158" s="9" t="n"/>
      <c r="I158" s="9" t="n"/>
    </row>
    <row r="159" ht="13" customHeight="1">
      <c r="B159" s="31" t="inlineStr">
        <is>
          <t>099000</t>
        </is>
      </c>
      <c r="C159" s="12" t="inlineStr">
        <is>
          <t>1. Paint all Walls &amp; Doors &amp; Ceilings</t>
        </is>
      </c>
      <c r="D159" s="72" t="n">
        <v>0</v>
      </c>
      <c r="E159" s="31" t="inlineStr">
        <is>
          <t>SF</t>
        </is>
      </c>
      <c r="F159" s="16" t="n">
        <v>2.5</v>
      </c>
      <c r="G159" s="16" t="n">
        <v>0</v>
      </c>
      <c r="H159" s="73" t="n">
        <v>0</v>
      </c>
      <c r="I159" s="12" t="inlineStr">
        <is>
          <t>IN — Div 400 — Finishes</t>
        </is>
      </c>
      <c r="J159" s="35">
        <f>H159*G159</f>
        <v/>
      </c>
    </row>
    <row r="160" ht="13" customHeight="1">
      <c r="B160" s="31" t="inlineStr">
        <is>
          <t>099000</t>
        </is>
      </c>
      <c r="C160" s="12" t="inlineStr">
        <is>
          <t>2. Upgrade finishes at walls in Green room area</t>
        </is>
      </c>
      <c r="D160" s="72" t="n">
        <v>0</v>
      </c>
      <c r="E160" s="31" t="inlineStr">
        <is>
          <t>LS</t>
        </is>
      </c>
      <c r="F160" s="16" t="n">
        <v>12000</v>
      </c>
      <c r="G160" s="16" t="n">
        <v>0</v>
      </c>
      <c r="H160" s="73" t="n">
        <v>0</v>
      </c>
      <c r="I160" s="12" t="inlineStr">
        <is>
          <t>IN — Div 400 — Finishes</t>
        </is>
      </c>
      <c r="J160" s="35">
        <f>H160*G160</f>
        <v/>
      </c>
    </row>
    <row r="161" ht="13" customHeight="1">
      <c r="B161" s="31" t="inlineStr">
        <is>
          <t>099000</t>
        </is>
      </c>
      <c r="C161" s="12" t="inlineStr">
        <is>
          <t>3. Plaster at VIP Lounge</t>
        </is>
      </c>
      <c r="D161" s="72" t="n">
        <v>0</v>
      </c>
      <c r="E161" s="31" t="inlineStr">
        <is>
          <t>SF</t>
        </is>
      </c>
      <c r="F161" s="16" t="n">
        <v>25</v>
      </c>
      <c r="G161" s="16" t="n">
        <v>0</v>
      </c>
      <c r="H161" s="73" t="n">
        <v>0</v>
      </c>
      <c r="I161" s="12" t="inlineStr">
        <is>
          <t>IN — Div 400 — Finishes</t>
        </is>
      </c>
      <c r="J161" s="35">
        <f>H161*G161</f>
        <v/>
      </c>
    </row>
    <row r="162">
      <c r="B162" s="8" t="inlineStr">
        <is>
          <t>100000   SPECIALTIES</t>
        </is>
      </c>
      <c r="C162" s="9" t="n"/>
      <c r="D162" s="9" t="n"/>
      <c r="E162" s="9" t="n"/>
      <c r="F162" s="9" t="n"/>
      <c r="G162" s="9" t="n"/>
      <c r="H162" s="9" t="n"/>
      <c r="I162" s="9" t="n"/>
    </row>
    <row r="163" ht="13" customHeight="1">
      <c r="B163" s="31" t="inlineStr">
        <is>
          <t>100000</t>
        </is>
      </c>
      <c r="C163" s="12" t="inlineStr">
        <is>
          <t>100001. Fire extinguishers</t>
        </is>
      </c>
      <c r="D163" s="72" t="n">
        <v>0</v>
      </c>
      <c r="E163" s="31" t="inlineStr">
        <is>
          <t>EA</t>
        </is>
      </c>
      <c r="F163" s="16" t="n">
        <v>350</v>
      </c>
      <c r="G163" s="16" t="n">
        <v>0</v>
      </c>
      <c r="H163" s="73" t="n">
        <v>0</v>
      </c>
      <c r="I163" s="12" t="inlineStr">
        <is>
          <t>IN — Div 400 — Specialties</t>
        </is>
      </c>
      <c r="J163" s="35">
        <f>H163*G163</f>
        <v/>
      </c>
    </row>
    <row r="164" ht="44" customHeight="1">
      <c r="B164" s="31" t="inlineStr">
        <is>
          <t>100000</t>
        </is>
      </c>
      <c r="C164" s="12" t="inlineStr">
        <is>
          <t>2. Toilet Acc</t>
        </is>
      </c>
      <c r="D164" s="72" t="n">
        <v>0</v>
      </c>
      <c r="E164" s="31" t="inlineStr">
        <is>
          <t>SET</t>
        </is>
      </c>
      <c r="F164" s="16" t="n">
        <v>7500</v>
      </c>
      <c r="G164" s="16" t="n">
        <v>0</v>
      </c>
      <c r="H164" s="73" t="n">
        <v>0</v>
      </c>
      <c r="I164" s="12" t="inlineStr">
        <is>
          <t>IN — Watch the basis. $7,500 per SET reads as a per-restroom allowance, not per fixture. At 30 sets that is $225,000; roughly 10 restroom groups is the right count and we carry it that way.</t>
        </is>
      </c>
      <c r="J164" s="35">
        <f>H164*G164</f>
        <v/>
      </c>
    </row>
    <row r="165" ht="13" customHeight="1">
      <c r="B165" s="31" t="inlineStr">
        <is>
          <t>100000</t>
        </is>
      </c>
      <c r="C165" s="12" t="inlineStr">
        <is>
          <t>3. Toilet Partitions</t>
        </is>
      </c>
      <c r="D165" s="72" t="n">
        <v>0</v>
      </c>
      <c r="E165" s="31" t="inlineStr">
        <is>
          <t>EA</t>
        </is>
      </c>
      <c r="F165" s="16" t="n">
        <v>1500</v>
      </c>
      <c r="G165" s="16" t="n">
        <v>0</v>
      </c>
      <c r="H165" s="73" t="n">
        <v>0</v>
      </c>
      <c r="I165" s="12" t="inlineStr">
        <is>
          <t>IN — Div 400 — Specialties</t>
        </is>
      </c>
      <c r="J165" s="35">
        <f>H165*G165</f>
        <v/>
      </c>
    </row>
    <row r="166" ht="13" customHeight="1">
      <c r="B166" s="31" t="inlineStr">
        <is>
          <t>100000</t>
        </is>
      </c>
      <c r="C166" s="12" t="inlineStr">
        <is>
          <t>4. Appliances at Pantry</t>
        </is>
      </c>
      <c r="D166" s="72" t="n">
        <v>0</v>
      </c>
      <c r="E166" s="31" t="inlineStr">
        <is>
          <t>LS</t>
        </is>
      </c>
      <c r="F166" s="16" t="n">
        <v>7500</v>
      </c>
      <c r="G166" s="16" t="n">
        <v>0</v>
      </c>
      <c r="H166" s="73" t="n">
        <v>0</v>
      </c>
      <c r="I166" s="12" t="inlineStr">
        <is>
          <t>IN — Div 400 — Specialties</t>
        </is>
      </c>
      <c r="J166" s="35">
        <f>H166*G166</f>
        <v/>
      </c>
    </row>
    <row r="167">
      <c r="B167" s="8" t="inlineStr">
        <is>
          <t>100500   ACOUSTICAL PANELS/ K13</t>
        </is>
      </c>
      <c r="C167" s="9" t="n"/>
      <c r="D167" s="9" t="n"/>
      <c r="E167" s="9" t="n"/>
      <c r="F167" s="9" t="n"/>
      <c r="G167" s="9" t="n"/>
      <c r="H167" s="9" t="n"/>
      <c r="I167" s="9" t="n"/>
    </row>
    <row r="168" ht="13" customHeight="1">
      <c r="B168" s="31" t="inlineStr">
        <is>
          <t>100500</t>
        </is>
      </c>
      <c r="C168" s="12" t="inlineStr">
        <is>
          <t>1. F&amp;I Acoustical Panels at Music hall walls</t>
        </is>
      </c>
      <c r="D168" s="72" t="n">
        <v>0</v>
      </c>
      <c r="E168" s="31" t="inlineStr">
        <is>
          <t>SF</t>
        </is>
      </c>
      <c r="F168" s="16" t="n">
        <v>40</v>
      </c>
      <c r="G168" s="16" t="n">
        <v>0</v>
      </c>
      <c r="H168" s="73" t="n">
        <v>0</v>
      </c>
      <c r="I168" s="12" t="inlineStr">
        <is>
          <t>IN — Div 400 — Acoustic treatment</t>
        </is>
      </c>
      <c r="J168" s="35">
        <f>H168*G168</f>
        <v/>
      </c>
    </row>
    <row r="169" ht="13" customHeight="1">
      <c r="B169" s="31" t="inlineStr">
        <is>
          <t>100500</t>
        </is>
      </c>
      <c r="C169" s="12" t="inlineStr">
        <is>
          <t>2. K13 at Underside of Mezz, Music Hall Ceilings, VIP</t>
        </is>
      </c>
      <c r="D169" s="72" t="n">
        <v>0</v>
      </c>
      <c r="E169" s="31" t="inlineStr">
        <is>
          <t>SF</t>
        </is>
      </c>
      <c r="F169" s="16" t="n">
        <v>12</v>
      </c>
      <c r="G169" s="16" t="n">
        <v>0</v>
      </c>
      <c r="H169" s="73" t="n">
        <v>0</v>
      </c>
      <c r="I169" s="12" t="inlineStr">
        <is>
          <t>IN — Div 400 — Acoustic treatment</t>
        </is>
      </c>
      <c r="J169" s="35">
        <f>H169*G169</f>
        <v/>
      </c>
    </row>
    <row r="170">
      <c r="B170" s="8" t="inlineStr">
        <is>
          <t>101400   SIGNAGE</t>
        </is>
      </c>
      <c r="C170" s="9" t="n"/>
      <c r="D170" s="9" t="n"/>
      <c r="E170" s="9" t="n"/>
      <c r="F170" s="9" t="n"/>
      <c r="G170" s="9" t="n"/>
      <c r="H170" s="9" t="n"/>
      <c r="I170" s="9" t="n"/>
    </row>
    <row r="171" ht="13" customHeight="1">
      <c r="B171" s="31" t="inlineStr">
        <is>
          <t>101400</t>
        </is>
      </c>
      <c r="C171" s="12" t="inlineStr">
        <is>
          <t>1. Allow for interior Door signs</t>
        </is>
      </c>
      <c r="D171" s="72" t="n">
        <v>0</v>
      </c>
      <c r="E171" s="31" t="inlineStr">
        <is>
          <t>EA</t>
        </is>
      </c>
      <c r="F171" s="16" t="n">
        <v>0</v>
      </c>
      <c r="G171" s="16" t="n">
        <v>0</v>
      </c>
      <c r="H171" s="73" t="n">
        <v>0</v>
      </c>
      <c r="I171" s="12" t="inlineStr">
        <is>
          <t>IN — Div 400 — Signage &amp; wayfinding</t>
        </is>
      </c>
      <c r="J171" s="35">
        <f>H171*G171</f>
        <v/>
      </c>
    </row>
    <row r="172" ht="13" customHeight="1">
      <c r="B172" s="31" t="inlineStr">
        <is>
          <t>101400</t>
        </is>
      </c>
      <c r="C172" s="12" t="inlineStr">
        <is>
          <t>2. Allow for Directional signage</t>
        </is>
      </c>
      <c r="D172" s="72" t="n">
        <v>0</v>
      </c>
      <c r="E172" s="31" t="inlineStr">
        <is>
          <t>LOT</t>
        </is>
      </c>
      <c r="F172" s="16" t="n">
        <v>0</v>
      </c>
      <c r="G172" s="16" t="n">
        <v>0</v>
      </c>
      <c r="H172" s="73" t="n">
        <v>0</v>
      </c>
      <c r="I172" s="12" t="inlineStr">
        <is>
          <t>IN — Div 400 — Signage &amp; wayfinding</t>
        </is>
      </c>
      <c r="J172" s="35">
        <f>H172*G172</f>
        <v/>
      </c>
    </row>
    <row r="173" ht="13" customHeight="1">
      <c r="B173" s="31" t="inlineStr">
        <is>
          <t>101400</t>
        </is>
      </c>
      <c r="C173" s="12" t="inlineStr">
        <is>
          <t>3. Install misc signage allowance</t>
        </is>
      </c>
      <c r="D173" s="72" t="n">
        <v>0</v>
      </c>
      <c r="E173" s="31" t="inlineStr">
        <is>
          <t>LOT</t>
        </is>
      </c>
      <c r="F173" s="16" t="n">
        <v>5000</v>
      </c>
      <c r="G173" s="16" t="n">
        <v>0</v>
      </c>
      <c r="H173" s="73" t="n">
        <v>0</v>
      </c>
      <c r="I173" s="12" t="inlineStr">
        <is>
          <t>IN — Div 400 — Signage &amp; wayfinding</t>
        </is>
      </c>
      <c r="J173" s="35">
        <f>H173*G173</f>
        <v/>
      </c>
    </row>
    <row r="174">
      <c r="B174" s="8" t="inlineStr">
        <is>
          <t>114000   FOOD SERVICE EQUIPMENT - BY OWNER</t>
        </is>
      </c>
      <c r="C174" s="9" t="n"/>
      <c r="D174" s="9" t="n"/>
      <c r="E174" s="9" t="n"/>
      <c r="F174" s="9" t="n"/>
      <c r="G174" s="9" t="n"/>
      <c r="H174" s="9" t="n"/>
      <c r="I174" s="9" t="n"/>
    </row>
    <row r="175" ht="33" customHeight="1">
      <c r="B175" s="31" t="inlineStr">
        <is>
          <t>114000</t>
        </is>
      </c>
      <c r="C175" s="12" t="inlineStr">
        <is>
          <t>1. F&amp;I Food service equipment</t>
        </is>
      </c>
      <c r="D175" s="72" t="n">
        <v>0</v>
      </c>
      <c r="E175" s="31" t="inlineStr">
        <is>
          <t>LS</t>
        </is>
      </c>
      <c r="F175" s="16" t="n">
        <v>0</v>
      </c>
      <c r="G175" s="16" t="n">
        <v>0</v>
      </c>
      <c r="H175" s="73" t="n">
        <v>0</v>
      </c>
      <c r="I175" s="12" t="inlineStr">
        <is>
          <t>IN — Div 800 — Kitchen L2. He listed food service equipment, the hood and hood fire suppression as BY OWNER and never put a price on any of them. Division 800 prices all three.</t>
        </is>
      </c>
      <c r="J175" s="35">
        <f>H175*G175</f>
        <v/>
      </c>
    </row>
    <row r="176" ht="33" customHeight="1">
      <c r="B176" s="31" t="inlineStr">
        <is>
          <t>114000</t>
        </is>
      </c>
      <c r="C176" s="12" t="inlineStr">
        <is>
          <t>2. Hood Fire Protection system</t>
        </is>
      </c>
      <c r="D176" s="72" t="n">
        <v>0</v>
      </c>
      <c r="E176" s="31" t="inlineStr">
        <is>
          <t>LS</t>
        </is>
      </c>
      <c r="F176" s="16" t="n">
        <v>0</v>
      </c>
      <c r="G176" s="16" t="n">
        <v>0</v>
      </c>
      <c r="H176" s="73" t="n">
        <v>0</v>
      </c>
      <c r="I176" s="12" t="inlineStr">
        <is>
          <t>IN — Div 800 — Kitchen L2. He listed food service equipment, the hood and hood fire suppression as BY OWNER and never put a price on any of them. Division 800 prices all three.</t>
        </is>
      </c>
      <c r="J176" s="35">
        <f>H176*G176</f>
        <v/>
      </c>
    </row>
    <row r="177" ht="33" customHeight="1">
      <c r="B177" s="31" t="inlineStr">
        <is>
          <t>114000</t>
        </is>
      </c>
      <c r="C177" s="12" t="inlineStr">
        <is>
          <t>3. F&amp;I Kitchen exhaust hood</t>
        </is>
      </c>
      <c r="D177" s="72" t="n">
        <v>0</v>
      </c>
      <c r="E177" s="31" t="inlineStr">
        <is>
          <t>LS</t>
        </is>
      </c>
      <c r="F177" s="16" t="n">
        <v>0</v>
      </c>
      <c r="G177" s="16" t="n">
        <v>0</v>
      </c>
      <c r="H177" s="73" t="n">
        <v>0</v>
      </c>
      <c r="I177" s="12" t="inlineStr">
        <is>
          <t>IN — Div 800 — Kitchen L2. He listed food service equipment, the hood and hood fire suppression as BY OWNER and never put a price on any of them. Division 800 prices all three.</t>
        </is>
      </c>
      <c r="J177" s="35">
        <f>H177*G177</f>
        <v/>
      </c>
    </row>
    <row r="178">
      <c r="B178" s="8" t="inlineStr">
        <is>
          <t>142000   ELEVATOR</t>
        </is>
      </c>
      <c r="C178" s="9" t="n"/>
      <c r="D178" s="9" t="n"/>
      <c r="E178" s="9" t="n"/>
      <c r="F178" s="9" t="n"/>
      <c r="G178" s="9" t="n"/>
      <c r="H178" s="9" t="n"/>
      <c r="I178" s="9" t="n"/>
    </row>
    <row r="179" ht="13" customHeight="1">
      <c r="B179" s="31" t="inlineStr">
        <is>
          <t>142000</t>
        </is>
      </c>
      <c r="C179" s="12" t="inlineStr">
        <is>
          <t>1. Elevator Lobby</t>
        </is>
      </c>
      <c r="D179" s="72" t="n">
        <v>4</v>
      </c>
      <c r="E179" s="31" t="inlineStr">
        <is>
          <t>STOPS</t>
        </is>
      </c>
      <c r="F179" s="16" t="n">
        <v>75000</v>
      </c>
      <c r="G179" s="16" t="n">
        <v>300000</v>
      </c>
      <c r="H179" s="73" t="n">
        <v>0</v>
      </c>
      <c r="I179" s="12" t="inlineStr">
        <is>
          <t>IN — Div 500 — Conveying</t>
        </is>
      </c>
      <c r="J179" s="35">
        <f>H179*G179</f>
        <v/>
      </c>
    </row>
    <row r="180" ht="13" customHeight="1">
      <c r="B180" s="31" t="inlineStr">
        <is>
          <t>142000</t>
        </is>
      </c>
      <c r="C180" s="12" t="inlineStr">
        <is>
          <t>2. Elevator Stage</t>
        </is>
      </c>
      <c r="D180" s="72" t="n">
        <v>4</v>
      </c>
      <c r="E180" s="31" t="inlineStr">
        <is>
          <t>STOPS</t>
        </is>
      </c>
      <c r="F180" s="16" t="n">
        <v>75000</v>
      </c>
      <c r="G180" s="16" t="n">
        <v>300000</v>
      </c>
      <c r="H180" s="73" t="n">
        <v>0</v>
      </c>
      <c r="I180" s="12" t="inlineStr">
        <is>
          <t>IN — Div 500 — Conveying</t>
        </is>
      </c>
      <c r="J180" s="35">
        <f>H180*G180</f>
        <v/>
      </c>
    </row>
    <row r="181" ht="33" customHeight="1">
      <c r="B181" s="31" t="inlineStr">
        <is>
          <t>142000</t>
        </is>
      </c>
      <c r="C181" s="12" t="inlineStr">
        <is>
          <t>3. Hydraulic Lift 12'x6'</t>
        </is>
      </c>
      <c r="D181" s="72" t="n">
        <v>1</v>
      </c>
      <c r="E181" s="31" t="inlineStr"/>
      <c r="F181" s="16" t="n">
        <v>0</v>
      </c>
      <c r="G181" s="16" t="n">
        <v>0</v>
      </c>
      <c r="H181" s="73" t="n">
        <v>0</v>
      </c>
      <c r="I181" s="42" t="inlineStr">
        <is>
          <t>ADD — Priced at nothing. A 12x6 stage lift is real money — budget $85,000-140,000 installed if the production team wants it.</t>
        </is>
      </c>
      <c r="J181" s="35">
        <f>H181*G181</f>
        <v/>
      </c>
    </row>
    <row r="182">
      <c r="B182" s="8" t="inlineStr">
        <is>
          <t>210000   FIRE PROTECTION</t>
        </is>
      </c>
      <c r="C182" s="9" t="n"/>
      <c r="D182" s="9" t="n"/>
      <c r="E182" s="9" t="n"/>
      <c r="F182" s="9" t="n"/>
      <c r="G182" s="9" t="n"/>
      <c r="H182" s="9" t="n"/>
      <c r="I182" s="9" t="n"/>
    </row>
    <row r="183" ht="44" customHeight="1">
      <c r="B183" s="31" t="inlineStr">
        <is>
          <t>210000</t>
        </is>
      </c>
      <c r="C183" s="12" t="inlineStr">
        <is>
          <t>1. First Floor Rework Existing Fire Protection System First</t>
        </is>
      </c>
      <c r="D183" s="72" t="n">
        <v>69000</v>
      </c>
      <c r="E183" s="31" t="inlineStr">
        <is>
          <t>SF</t>
        </is>
      </c>
      <c r="F183" s="16" t="n">
        <v>7</v>
      </c>
      <c r="G183" s="16" t="n">
        <v>483000</v>
      </c>
      <c r="H183" s="73" t="n">
        <v>0</v>
      </c>
      <c r="I183" s="12" t="inlineStr">
        <is>
          <t>IN — HIS BASIS IS 69,000 SF at $7. Sprinkler coverage in this model is 88,100 SF — the floor plus the mezzanine, because the mezzanine needs heads above and below. His 69,000 SF understates it.</t>
        </is>
      </c>
      <c r="J183" s="35">
        <f>H183*G183</f>
        <v/>
      </c>
    </row>
    <row r="184">
      <c r="B184" s="8" t="inlineStr">
        <is>
          <t>220000   PLUMBING</t>
        </is>
      </c>
      <c r="C184" s="9" t="n"/>
      <c r="D184" s="9" t="n"/>
      <c r="E184" s="9" t="n"/>
      <c r="F184" s="9" t="n"/>
      <c r="G184" s="9" t="n"/>
      <c r="H184" s="9" t="n"/>
      <c r="I184" s="9" t="n"/>
    </row>
    <row r="185" ht="13" customHeight="1">
      <c r="B185" s="31" t="inlineStr">
        <is>
          <t>220000</t>
        </is>
      </c>
      <c r="C185" s="12" t="inlineStr">
        <is>
          <t>1. F&amp;I following fixtures</t>
        </is>
      </c>
      <c r="D185" s="72" t="n">
        <v>0</v>
      </c>
      <c r="E185" s="31" t="inlineStr"/>
      <c r="F185" s="16" t="n">
        <v>0</v>
      </c>
      <c r="G185" s="16" t="n">
        <v>0</v>
      </c>
      <c r="H185" s="73" t="n">
        <v>0</v>
      </c>
      <c r="I185" s="12" t="inlineStr">
        <is>
          <t>IN — Div 500 — Plumbing</t>
        </is>
      </c>
      <c r="J185" s="35">
        <f>H185*G185</f>
        <v/>
      </c>
    </row>
    <row r="186" ht="13" customHeight="1">
      <c r="B186" s="31" t="inlineStr">
        <is>
          <t>220000</t>
        </is>
      </c>
      <c r="C186" s="12" t="inlineStr">
        <is>
          <t>2. W/C</t>
        </is>
      </c>
      <c r="D186" s="72" t="n">
        <v>60</v>
      </c>
      <c r="E186" s="31" t="inlineStr">
        <is>
          <t>EA</t>
        </is>
      </c>
      <c r="F186" s="16" t="n">
        <v>5500</v>
      </c>
      <c r="G186" s="16" t="n">
        <v>330000</v>
      </c>
      <c r="H186" s="73" t="n">
        <v>0</v>
      </c>
      <c r="I186" s="12" t="inlineStr">
        <is>
          <t>IN — Div 500 — Plumbing</t>
        </is>
      </c>
      <c r="J186" s="35">
        <f>H186*G186</f>
        <v/>
      </c>
    </row>
    <row r="187" ht="13" customHeight="1">
      <c r="B187" s="31" t="inlineStr">
        <is>
          <t>220000</t>
        </is>
      </c>
      <c r="C187" s="12" t="inlineStr">
        <is>
          <t>3. Lavs</t>
        </is>
      </c>
      <c r="D187" s="72" t="n">
        <v>78</v>
      </c>
      <c r="E187" s="31" t="inlineStr">
        <is>
          <t>EA</t>
        </is>
      </c>
      <c r="F187" s="16" t="n">
        <v>5500</v>
      </c>
      <c r="G187" s="16" t="n">
        <v>429000</v>
      </c>
      <c r="H187" s="73" t="n">
        <v>0</v>
      </c>
      <c r="I187" s="12" t="inlineStr">
        <is>
          <t>IN — Div 500 — Plumbing</t>
        </is>
      </c>
      <c r="J187" s="35">
        <f>H187*G187</f>
        <v/>
      </c>
    </row>
    <row r="188" ht="13" customHeight="1">
      <c r="B188" s="31" t="inlineStr">
        <is>
          <t>220000</t>
        </is>
      </c>
      <c r="C188" s="12" t="inlineStr">
        <is>
          <t>4. Urinals</t>
        </is>
      </c>
      <c r="D188" s="72" t="n">
        <v>51</v>
      </c>
      <c r="E188" s="31" t="inlineStr">
        <is>
          <t>EA</t>
        </is>
      </c>
      <c r="F188" s="16" t="n">
        <v>5500</v>
      </c>
      <c r="G188" s="16" t="n">
        <v>280500</v>
      </c>
      <c r="H188" s="73" t="n">
        <v>0</v>
      </c>
      <c r="I188" s="12" t="inlineStr">
        <is>
          <t>IN — Div 500 — Plumbing</t>
        </is>
      </c>
      <c r="J188" s="35">
        <f>H188*G188</f>
        <v/>
      </c>
    </row>
    <row r="189" ht="13" customHeight="1">
      <c r="B189" s="31" t="inlineStr">
        <is>
          <t>220000</t>
        </is>
      </c>
      <c r="C189" s="12" t="inlineStr">
        <is>
          <t>5. Showers</t>
        </is>
      </c>
      <c r="D189" s="72" t="n">
        <v>6</v>
      </c>
      <c r="E189" s="31" t="inlineStr">
        <is>
          <t>EA</t>
        </is>
      </c>
      <c r="F189" s="16" t="n">
        <v>7500</v>
      </c>
      <c r="G189" s="16" t="n">
        <v>45000</v>
      </c>
      <c r="H189" s="73" t="n">
        <v>0</v>
      </c>
      <c r="I189" s="12" t="inlineStr">
        <is>
          <t>IN — Div 500 — Plumbing</t>
        </is>
      </c>
      <c r="J189" s="35">
        <f>H189*G189</f>
        <v/>
      </c>
    </row>
    <row r="190" ht="13" customHeight="1">
      <c r="B190" s="31" t="inlineStr">
        <is>
          <t>220000</t>
        </is>
      </c>
      <c r="C190" s="12" t="inlineStr">
        <is>
          <t>6. Green room sinks</t>
        </is>
      </c>
      <c r="D190" s="72" t="n">
        <v>6</v>
      </c>
      <c r="E190" s="31" t="inlineStr">
        <is>
          <t>EA</t>
        </is>
      </c>
      <c r="F190" s="16" t="n">
        <v>5500</v>
      </c>
      <c r="G190" s="16" t="n">
        <v>33000</v>
      </c>
      <c r="H190" s="73" t="n">
        <v>0</v>
      </c>
      <c r="I190" s="12" t="inlineStr">
        <is>
          <t>IN — Div 500 — Plumbing</t>
        </is>
      </c>
      <c r="J190" s="35">
        <f>H190*G190</f>
        <v/>
      </c>
    </row>
    <row r="191" ht="13" customHeight="1">
      <c r="B191" s="31" t="inlineStr">
        <is>
          <t>220000</t>
        </is>
      </c>
      <c r="C191" s="12" t="inlineStr">
        <is>
          <t>7. Pantry sinks</t>
        </is>
      </c>
      <c r="D191" s="72" t="n">
        <v>2</v>
      </c>
      <c r="E191" s="31" t="inlineStr">
        <is>
          <t>EA</t>
        </is>
      </c>
      <c r="F191" s="16" t="n">
        <v>6000</v>
      </c>
      <c r="G191" s="16" t="n">
        <v>12000</v>
      </c>
      <c r="H191" s="73" t="n">
        <v>0</v>
      </c>
      <c r="I191" s="12" t="inlineStr">
        <is>
          <t>IN — Div 500 — Plumbing</t>
        </is>
      </c>
      <c r="J191" s="35">
        <f>H191*G191</f>
        <v/>
      </c>
    </row>
    <row r="192" ht="13" customHeight="1">
      <c r="B192" s="31" t="inlineStr">
        <is>
          <t>220000</t>
        </is>
      </c>
      <c r="C192" s="12" t="inlineStr">
        <is>
          <t>8. Floor Drains &amp; Sinks</t>
        </is>
      </c>
      <c r="D192" s="72" t="n">
        <v>40</v>
      </c>
      <c r="E192" s="31" t="inlineStr">
        <is>
          <t>EA</t>
        </is>
      </c>
      <c r="F192" s="16" t="n">
        <v>3500</v>
      </c>
      <c r="G192" s="16" t="n">
        <v>140000</v>
      </c>
      <c r="H192" s="73" t="n">
        <v>0</v>
      </c>
      <c r="I192" s="12" t="inlineStr">
        <is>
          <t>IN — Div 500 — Plumbing</t>
        </is>
      </c>
      <c r="J192" s="35">
        <f>H192*G192</f>
        <v/>
      </c>
    </row>
    <row r="193" ht="13" customHeight="1">
      <c r="B193" s="31" t="inlineStr">
        <is>
          <t>220000</t>
        </is>
      </c>
      <c r="C193" s="12" t="inlineStr">
        <is>
          <t>9. Water Heater- Electrical</t>
        </is>
      </c>
      <c r="D193" s="72" t="n">
        <v>10</v>
      </c>
      <c r="E193" s="31" t="inlineStr">
        <is>
          <t>EA</t>
        </is>
      </c>
      <c r="F193" s="16" t="n">
        <v>7500</v>
      </c>
      <c r="G193" s="16" t="n">
        <v>75000</v>
      </c>
      <c r="H193" s="73" t="n">
        <v>0</v>
      </c>
      <c r="I193" s="12" t="inlineStr">
        <is>
          <t>IN — Div 500 — Plumbing</t>
        </is>
      </c>
      <c r="J193" s="35">
        <f>H193*G193</f>
        <v/>
      </c>
    </row>
    <row r="194" ht="13" customHeight="1">
      <c r="B194" s="31" t="inlineStr">
        <is>
          <t>220000</t>
        </is>
      </c>
      <c r="C194" s="12" t="inlineStr">
        <is>
          <t>10. F&amp;I Bar roughing</t>
        </is>
      </c>
      <c r="D194" s="72" t="n">
        <v>0</v>
      </c>
      <c r="E194" s="31" t="inlineStr"/>
      <c r="F194" s="16" t="n">
        <v>0</v>
      </c>
      <c r="G194" s="16" t="n">
        <v>0</v>
      </c>
      <c r="H194" s="73" t="n">
        <v>0</v>
      </c>
      <c r="I194" s="12" t="inlineStr">
        <is>
          <t>IN — Div 500 — Plumbing</t>
        </is>
      </c>
      <c r="J194" s="35">
        <f>H194*G194</f>
        <v/>
      </c>
    </row>
    <row r="195" ht="13" customHeight="1">
      <c r="B195" s="31" t="inlineStr">
        <is>
          <t>220000</t>
        </is>
      </c>
      <c r="C195" s="12" t="inlineStr">
        <is>
          <t>11. Foundry Bar</t>
        </is>
      </c>
      <c r="D195" s="72" t="n">
        <v>0</v>
      </c>
      <c r="E195" s="31" t="inlineStr">
        <is>
          <t>EA</t>
        </is>
      </c>
      <c r="F195" s="16" t="n">
        <v>75000</v>
      </c>
      <c r="G195" s="16" t="n">
        <v>0</v>
      </c>
      <c r="H195" s="73" t="n">
        <v>0</v>
      </c>
      <c r="I195" s="12" t="inlineStr">
        <is>
          <t>IN — Div 500 — Plumbing</t>
        </is>
      </c>
      <c r="J195" s="35">
        <f>H195*G195</f>
        <v/>
      </c>
    </row>
    <row r="196" ht="13" customHeight="1">
      <c r="B196" s="31" t="inlineStr">
        <is>
          <t>220000</t>
        </is>
      </c>
      <c r="C196" s="12" t="inlineStr">
        <is>
          <t>12. Lobby Bar</t>
        </is>
      </c>
      <c r="D196" s="72" t="n">
        <v>0</v>
      </c>
      <c r="E196" s="31" t="inlineStr">
        <is>
          <t>EA</t>
        </is>
      </c>
      <c r="F196" s="16" t="n">
        <v>50000</v>
      </c>
      <c r="G196" s="16" t="n">
        <v>0</v>
      </c>
      <c r="H196" s="73" t="n">
        <v>0</v>
      </c>
      <c r="I196" s="12" t="inlineStr">
        <is>
          <t>IN — Div 500 — Plumbing</t>
        </is>
      </c>
      <c r="J196" s="35">
        <f>H196*G196</f>
        <v/>
      </c>
    </row>
    <row r="197" ht="13" customHeight="1">
      <c r="B197" s="31" t="inlineStr">
        <is>
          <t>220000</t>
        </is>
      </c>
      <c r="C197" s="12" t="inlineStr">
        <is>
          <t>13. VIP Bars</t>
        </is>
      </c>
      <c r="D197" s="72" t="n">
        <v>0</v>
      </c>
      <c r="E197" s="31" t="inlineStr">
        <is>
          <t>EA</t>
        </is>
      </c>
      <c r="F197" s="16" t="n">
        <v>40000</v>
      </c>
      <c r="G197" s="16" t="n">
        <v>0</v>
      </c>
      <c r="H197" s="73" t="n">
        <v>0</v>
      </c>
      <c r="I197" s="12" t="inlineStr">
        <is>
          <t>IN — Div 500 — Plumbing</t>
        </is>
      </c>
      <c r="J197" s="35">
        <f>H197*G197</f>
        <v/>
      </c>
    </row>
    <row r="198" ht="13" customHeight="1">
      <c r="B198" s="31" t="inlineStr">
        <is>
          <t>220000</t>
        </is>
      </c>
      <c r="C198" s="12" t="inlineStr">
        <is>
          <t>14. Music Bars</t>
        </is>
      </c>
      <c r="D198" s="72" t="n">
        <v>0</v>
      </c>
      <c r="E198" s="31" t="inlineStr">
        <is>
          <t>EA</t>
        </is>
      </c>
      <c r="F198" s="16" t="n">
        <v>40000</v>
      </c>
      <c r="G198" s="16" t="n">
        <v>0</v>
      </c>
      <c r="H198" s="73" t="n">
        <v>0</v>
      </c>
      <c r="I198" s="12" t="inlineStr">
        <is>
          <t>IN — Div 500 — Plumbing</t>
        </is>
      </c>
      <c r="J198" s="35">
        <f>H198*G198</f>
        <v/>
      </c>
    </row>
    <row r="199" ht="33" customHeight="1">
      <c r="B199" s="31" t="inlineStr">
        <is>
          <t>220000</t>
        </is>
      </c>
      <c r="C199" s="12" t="inlineStr">
        <is>
          <t>15. F&amp;I Kitchen roughing</t>
        </is>
      </c>
      <c r="D199" s="72" t="n">
        <v>0</v>
      </c>
      <c r="E199" s="31" t="inlineStr">
        <is>
          <t>LS</t>
        </is>
      </c>
      <c r="F199" s="16" t="n">
        <v>135000</v>
      </c>
      <c r="G199" s="16" t="n">
        <v>0</v>
      </c>
      <c r="H199" s="73" t="n">
        <v>0</v>
      </c>
      <c r="I199" s="12" t="inlineStr">
        <is>
          <t>IN — Div 800 — Kitchen L1. His $135,000 is a full-production number at qty 0; we carry $78,000 at warming scope and the rest arrives at L2.</t>
        </is>
      </c>
      <c r="J199" s="35">
        <f>H199*G199</f>
        <v/>
      </c>
    </row>
    <row r="200" ht="13" customHeight="1">
      <c r="B200" s="31" t="inlineStr">
        <is>
          <t>220000</t>
        </is>
      </c>
      <c r="C200" s="12" t="inlineStr">
        <is>
          <t>16. F&amp;I Roof Drains</t>
        </is>
      </c>
      <c r="D200" s="72" t="n">
        <v>0</v>
      </c>
      <c r="E200" s="31" t="inlineStr">
        <is>
          <t>EA</t>
        </is>
      </c>
      <c r="F200" s="16" t="n">
        <v>8500</v>
      </c>
      <c r="G200" s="16" t="n">
        <v>0</v>
      </c>
      <c r="H200" s="73" t="n">
        <v>0</v>
      </c>
      <c r="I200" s="12" t="inlineStr">
        <is>
          <t>IN — Div 500 — Plumbing</t>
        </is>
      </c>
      <c r="J200" s="35">
        <f>H200*G200</f>
        <v/>
      </c>
    </row>
    <row r="201" ht="13" customHeight="1">
      <c r="B201" s="31" t="inlineStr">
        <is>
          <t>220000</t>
        </is>
      </c>
      <c r="C201" s="12" t="inlineStr">
        <is>
          <t>17. Demo. Disconnects</t>
        </is>
      </c>
      <c r="D201" s="72" t="n">
        <v>0</v>
      </c>
      <c r="E201" s="31" t="inlineStr">
        <is>
          <t>LS</t>
        </is>
      </c>
      <c r="F201" s="16" t="n">
        <v>10000</v>
      </c>
      <c r="G201" s="16" t="n">
        <v>0</v>
      </c>
      <c r="H201" s="73" t="n">
        <v>0</v>
      </c>
      <c r="I201" s="12" t="inlineStr">
        <is>
          <t>IN — Div 500 — Plumbing</t>
        </is>
      </c>
      <c r="J201" s="35">
        <f>H201*G201</f>
        <v/>
      </c>
    </row>
    <row r="202" ht="33" customHeight="1">
      <c r="B202" s="31" t="inlineStr">
        <is>
          <t>220000</t>
        </is>
      </c>
      <c r="C202" s="12" t="inlineStr">
        <is>
          <t>18. Gas Piping to Equipment and Kitchen</t>
        </is>
      </c>
      <c r="D202" s="72" t="n">
        <v>0</v>
      </c>
      <c r="E202" s="31" t="inlineStr">
        <is>
          <t>LS</t>
        </is>
      </c>
      <c r="F202" s="16" t="n">
        <v>55000</v>
      </c>
      <c r="G202" s="16" t="n">
        <v>0</v>
      </c>
      <c r="H202" s="73" t="n">
        <v>0</v>
      </c>
      <c r="I202" s="12" t="inlineStr">
        <is>
          <t>IN — Div 800 — Kitchen L2. His $55,000 is PIPING only. He carries no gas SERVICE at all, which is a separate National Grid application with its own lead time.</t>
        </is>
      </c>
      <c r="J202" s="35">
        <f>H202*G202</f>
        <v/>
      </c>
    </row>
    <row r="203" ht="13" customHeight="1">
      <c r="B203" s="31" t="inlineStr">
        <is>
          <t>220000</t>
        </is>
      </c>
      <c r="C203" s="12" t="inlineStr">
        <is>
          <t>19. Misc Equipment</t>
        </is>
      </c>
      <c r="D203" s="72" t="n">
        <v>0</v>
      </c>
      <c r="E203" s="31" t="inlineStr">
        <is>
          <t>LS</t>
        </is>
      </c>
      <c r="F203" s="16" t="n">
        <v>30000</v>
      </c>
      <c r="G203" s="16" t="n">
        <v>0</v>
      </c>
      <c r="H203" s="73" t="n">
        <v>0</v>
      </c>
      <c r="I203" s="12" t="inlineStr">
        <is>
          <t>IN — Div 500 — Plumbing</t>
        </is>
      </c>
      <c r="J203" s="35">
        <f>H203*G203</f>
        <v/>
      </c>
    </row>
    <row r="204" ht="13" customHeight="1">
      <c r="B204" s="31" t="inlineStr">
        <is>
          <t>220000</t>
        </is>
      </c>
      <c r="C204" s="12" t="inlineStr">
        <is>
          <t>20. Firestopping</t>
        </is>
      </c>
      <c r="D204" s="72" t="n">
        <v>0</v>
      </c>
      <c r="E204" s="31" t="inlineStr">
        <is>
          <t>LS</t>
        </is>
      </c>
      <c r="F204" s="16" t="n">
        <v>15000</v>
      </c>
      <c r="G204" s="16" t="n">
        <v>0</v>
      </c>
      <c r="H204" s="73" t="n">
        <v>0</v>
      </c>
      <c r="I204" s="12" t="inlineStr">
        <is>
          <t>IN — Div 500 — Plumbing</t>
        </is>
      </c>
      <c r="J204" s="35">
        <f>H204*G204</f>
        <v/>
      </c>
    </row>
    <row r="205">
      <c r="B205" s="8" t="inlineStr">
        <is>
          <t>230000   HVAC</t>
        </is>
      </c>
      <c r="C205" s="9" t="n"/>
      <c r="D205" s="9" t="n"/>
      <c r="E205" s="9" t="n"/>
      <c r="F205" s="9" t="n"/>
      <c r="G205" s="9" t="n"/>
      <c r="H205" s="9" t="n"/>
      <c r="I205" s="9" t="n"/>
    </row>
    <row r="206" ht="66" customHeight="1">
      <c r="B206" s="31" t="inlineStr">
        <is>
          <t>230000</t>
        </is>
      </c>
      <c r="C206" s="12" t="inlineStr">
        <is>
          <t>1. HVAC System</t>
        </is>
      </c>
      <c r="D206" s="72" t="n">
        <v>120000</v>
      </c>
      <c r="E206" s="31" t="inlineStr">
        <is>
          <t>SF</t>
        </is>
      </c>
      <c r="F206" s="16" t="n">
        <v>40</v>
      </c>
      <c r="G206" s="16" t="n">
        <v>4800000</v>
      </c>
      <c r="H206" s="73" t="n">
        <v>0</v>
      </c>
      <c r="I206" s="12" t="inlineStr">
        <is>
          <t>IN — HIS BASIS IS 120,000 SF at $40 = $4,800,000, against a 74,100 SF building. Area is the wrong driver anyway — an assembly room is sized on occupant load and latent heat, not floor area. THE OPEN QUESTION FOR THE MECHANICAL ENGINEER: was this priced on a load calculation or on a rate per SF? $1.1M+ turns on the answer.</t>
        </is>
      </c>
      <c r="J206" s="35">
        <f>H206*G206</f>
        <v/>
      </c>
    </row>
    <row r="207" ht="33" customHeight="1">
      <c r="B207" s="31" t="inlineStr">
        <is>
          <t>230000</t>
        </is>
      </c>
      <c r="C207" s="12" t="inlineStr">
        <is>
          <t>2. BMS System</t>
        </is>
      </c>
      <c r="D207" s="72" t="n">
        <v>1</v>
      </c>
      <c r="E207" s="31" t="inlineStr">
        <is>
          <t>LS</t>
        </is>
      </c>
      <c r="F207" s="16" t="n">
        <v>500000</v>
      </c>
      <c r="G207" s="16" t="n">
        <v>500000</v>
      </c>
      <c r="H207" s="73" t="n">
        <v>0</v>
      </c>
      <c r="I207" s="12" t="inlineStr">
        <is>
          <t>IN — $500,000 for building management on a single-tenant venue with a handful of air handlers is a commercial-office number. Ours is lower.</t>
        </is>
      </c>
      <c r="J207" s="35">
        <f>H207*G207</f>
        <v/>
      </c>
    </row>
    <row r="208">
      <c r="B208" s="8" t="inlineStr">
        <is>
          <t>260000   ELECTRIC</t>
        </is>
      </c>
      <c r="C208" s="9" t="n"/>
      <c r="D208" s="9" t="n"/>
      <c r="E208" s="9" t="n"/>
      <c r="F208" s="9" t="n"/>
      <c r="G208" s="9" t="n"/>
      <c r="H208" s="9" t="n"/>
      <c r="I208" s="9" t="n"/>
    </row>
    <row r="209" ht="13" customHeight="1">
      <c r="B209" s="31" t="inlineStr">
        <is>
          <t>260000</t>
        </is>
      </c>
      <c r="C209" s="12" t="inlineStr">
        <is>
          <t>1. F/I Emergency lighting package</t>
        </is>
      </c>
      <c r="D209" s="72" t="n">
        <v>0</v>
      </c>
      <c r="E209" s="31" t="inlineStr">
        <is>
          <t>SF</t>
        </is>
      </c>
      <c r="F209" s="16" t="n">
        <v>1</v>
      </c>
      <c r="G209" s="16" t="n">
        <v>0</v>
      </c>
      <c r="H209" s="73" t="n">
        <v>0</v>
      </c>
      <c r="I209" s="12" t="inlineStr">
        <is>
          <t>IN — Div 500 — Electrical</t>
        </is>
      </c>
      <c r="J209" s="35">
        <f>H209*G209</f>
        <v/>
      </c>
    </row>
    <row r="210" ht="13" customHeight="1">
      <c r="B210" s="31" t="inlineStr">
        <is>
          <t>260000</t>
        </is>
      </c>
      <c r="C210" s="12" t="inlineStr">
        <is>
          <t>2. I/O lighting package throughout provided by others</t>
        </is>
      </c>
      <c r="D210" s="72" t="n">
        <v>0</v>
      </c>
      <c r="E210" s="31" t="inlineStr">
        <is>
          <t>SF</t>
        </is>
      </c>
      <c r="F210" s="16" t="n">
        <v>12</v>
      </c>
      <c r="G210" s="16" t="n">
        <v>0</v>
      </c>
      <c r="H210" s="73" t="n">
        <v>0</v>
      </c>
      <c r="I210" s="12" t="inlineStr">
        <is>
          <t>IN — Div 500 — Electrical</t>
        </is>
      </c>
      <c r="J210" s="35">
        <f>H210*G210</f>
        <v/>
      </c>
    </row>
    <row r="211" ht="13" customHeight="1">
      <c r="B211" s="31" t="inlineStr">
        <is>
          <t>260000</t>
        </is>
      </c>
      <c r="C211" s="12" t="inlineStr">
        <is>
          <t>3. I/O dimming system at conf. rooms</t>
        </is>
      </c>
      <c r="D211" s="72" t="n">
        <v>0</v>
      </c>
      <c r="E211" s="31" t="inlineStr">
        <is>
          <t>SF</t>
        </is>
      </c>
      <c r="F211" s="16" t="n">
        <v>0.75</v>
      </c>
      <c r="G211" s="16" t="n">
        <v>0</v>
      </c>
      <c r="H211" s="73" t="n">
        <v>0</v>
      </c>
      <c r="I211" s="12" t="inlineStr">
        <is>
          <t>IN — Div 500 — Electrical</t>
        </is>
      </c>
      <c r="J211" s="35">
        <f>H211*G211</f>
        <v/>
      </c>
    </row>
    <row r="212" ht="13" customHeight="1">
      <c r="B212" s="31" t="inlineStr">
        <is>
          <t>260000</t>
        </is>
      </c>
      <c r="C212" s="12" t="inlineStr">
        <is>
          <t>4. I/O stage lighting package provided by others</t>
        </is>
      </c>
      <c r="D212" s="72" t="n">
        <v>0</v>
      </c>
      <c r="E212" s="31" t="inlineStr">
        <is>
          <t>SF</t>
        </is>
      </c>
      <c r="F212" s="16" t="n">
        <v>60</v>
      </c>
      <c r="G212" s="16" t="n">
        <v>0</v>
      </c>
      <c r="H212" s="73" t="n">
        <v>0</v>
      </c>
      <c r="I212" s="12" t="inlineStr">
        <is>
          <t>IN — Div 500 — Electrical</t>
        </is>
      </c>
      <c r="J212" s="35">
        <f>H212*G212</f>
        <v/>
      </c>
    </row>
    <row r="213" ht="13" customHeight="1">
      <c r="B213" s="31" t="inlineStr">
        <is>
          <t>260000</t>
        </is>
      </c>
      <c r="C213" s="12" t="inlineStr">
        <is>
          <t>5. I/O dimming system provided by others</t>
        </is>
      </c>
      <c r="D213" s="72" t="n">
        <v>0</v>
      </c>
      <c r="E213" s="31" t="inlineStr">
        <is>
          <t>SF</t>
        </is>
      </c>
      <c r="F213" s="16" t="n">
        <v>1.5</v>
      </c>
      <c r="G213" s="16" t="n">
        <v>0</v>
      </c>
      <c r="H213" s="73" t="n">
        <v>0</v>
      </c>
      <c r="I213" s="12" t="inlineStr">
        <is>
          <t>IN — Div 500 — Electrical</t>
        </is>
      </c>
      <c r="J213" s="35">
        <f>H213*G213</f>
        <v/>
      </c>
    </row>
    <row r="214" ht="13" customHeight="1">
      <c r="B214" s="31" t="inlineStr">
        <is>
          <t>260000</t>
        </is>
      </c>
      <c r="C214" s="12" t="inlineStr">
        <is>
          <t>7. F/I general power throughout - duplex, quadraplex, floor boxes, J boxes, ceiling outlets</t>
        </is>
      </c>
      <c r="D214" s="72" t="n">
        <v>0</v>
      </c>
      <c r="E214" s="31" t="inlineStr">
        <is>
          <t>SF</t>
        </is>
      </c>
      <c r="F214" s="16" t="n">
        <v>3</v>
      </c>
      <c r="G214" s="16" t="n">
        <v>0</v>
      </c>
      <c r="H214" s="73" t="n">
        <v>0</v>
      </c>
      <c r="I214" s="12" t="inlineStr">
        <is>
          <t>IN — Div 500 — Electrical</t>
        </is>
      </c>
      <c r="J214" s="35">
        <f>H214*G214</f>
        <v/>
      </c>
    </row>
    <row r="215" ht="13" customHeight="1">
      <c r="B215" s="31" t="inlineStr">
        <is>
          <t>260000</t>
        </is>
      </c>
      <c r="C215" s="12" t="inlineStr">
        <is>
          <t>8. F/I dedicated circuits at all Kitchen equipment</t>
        </is>
      </c>
      <c r="D215" s="72" t="n">
        <v>0</v>
      </c>
      <c r="E215" s="31" t="inlineStr">
        <is>
          <t>SF</t>
        </is>
      </c>
      <c r="F215" s="16" t="n">
        <v>35</v>
      </c>
      <c r="G215" s="16" t="n">
        <v>0</v>
      </c>
      <c r="H215" s="73" t="n">
        <v>0</v>
      </c>
      <c r="I215" s="12" t="inlineStr">
        <is>
          <t>IN — Div 800 — Kitchen L1 and L2, at his own $35/SF rate.</t>
        </is>
      </c>
      <c r="J215" s="35">
        <f>H215*G215</f>
        <v/>
      </c>
    </row>
    <row r="216" ht="13" customHeight="1">
      <c r="B216" s="31" t="inlineStr">
        <is>
          <t>260000</t>
        </is>
      </c>
      <c r="C216" s="12" t="inlineStr">
        <is>
          <t>9. F/I dedicated power to stage equipment</t>
        </is>
      </c>
      <c r="D216" s="72" t="n">
        <v>0</v>
      </c>
      <c r="E216" s="31" t="inlineStr">
        <is>
          <t>SF</t>
        </is>
      </c>
      <c r="F216" s="16" t="n">
        <v>15</v>
      </c>
      <c r="G216" s="16" t="n">
        <v>0</v>
      </c>
      <c r="H216" s="73" t="n">
        <v>0</v>
      </c>
      <c r="I216" s="12" t="inlineStr">
        <is>
          <t>IN — Div 500 — Electrical</t>
        </is>
      </c>
      <c r="J216" s="35">
        <f>H216*G216</f>
        <v/>
      </c>
    </row>
    <row r="217" ht="13" customHeight="1">
      <c r="B217" s="31" t="inlineStr">
        <is>
          <t>260000</t>
        </is>
      </c>
      <c r="C217" s="12" t="inlineStr">
        <is>
          <t>10. F/I power to Mechanical Equipment</t>
        </is>
      </c>
      <c r="D217" s="72" t="n">
        <v>0</v>
      </c>
      <c r="E217" s="31" t="inlineStr">
        <is>
          <t>SF</t>
        </is>
      </c>
      <c r="F217" s="16" t="n">
        <v>3</v>
      </c>
      <c r="G217" s="16" t="n">
        <v>0</v>
      </c>
      <c r="H217" s="73" t="n">
        <v>0</v>
      </c>
      <c r="I217" s="12" t="inlineStr">
        <is>
          <t>IN — Div 500 — Electrical</t>
        </is>
      </c>
      <c r="J217" s="35">
        <f>H217*G217</f>
        <v/>
      </c>
    </row>
    <row r="218" ht="13" customHeight="1">
      <c r="B218" s="31" t="inlineStr">
        <is>
          <t>260000</t>
        </is>
      </c>
      <c r="C218" s="12" t="inlineStr">
        <is>
          <t>13. Combine Existing Services</t>
        </is>
      </c>
      <c r="D218" s="72" t="n">
        <v>0</v>
      </c>
      <c r="E218" s="31" t="inlineStr">
        <is>
          <t>LS</t>
        </is>
      </c>
      <c r="F218" s="16" t="n">
        <v>200000</v>
      </c>
      <c r="G218" s="16" t="n">
        <v>0</v>
      </c>
      <c r="H218" s="73" t="n">
        <v>0</v>
      </c>
      <c r="I218" s="12" t="inlineStr">
        <is>
          <t>IN — Div 500 — Electrical</t>
        </is>
      </c>
      <c r="J218" s="35">
        <f>H218*G218</f>
        <v/>
      </c>
    </row>
    <row r="219" ht="13" customHeight="1">
      <c r="B219" s="31" t="inlineStr">
        <is>
          <t>260000</t>
        </is>
      </c>
      <c r="C219" s="12" t="inlineStr">
        <is>
          <t>13. New CT Cabinet, Transformer Switches, etc</t>
        </is>
      </c>
      <c r="D219" s="72" t="n">
        <v>0</v>
      </c>
      <c r="E219" s="31" t="inlineStr">
        <is>
          <t>LS</t>
        </is>
      </c>
      <c r="F219" s="16" t="n">
        <v>175000</v>
      </c>
      <c r="G219" s="16" t="n">
        <v>0</v>
      </c>
      <c r="H219" s="73" t="n">
        <v>0</v>
      </c>
      <c r="I219" s="12" t="inlineStr">
        <is>
          <t>IN — Div 500 — Electrical</t>
        </is>
      </c>
      <c r="J219" s="35">
        <f>H219*G219</f>
        <v/>
      </c>
    </row>
    <row r="220" ht="13" customHeight="1">
      <c r="B220" s="31" t="inlineStr">
        <is>
          <t>260000</t>
        </is>
      </c>
      <c r="C220" s="12" t="inlineStr">
        <is>
          <t>14. Provide generator allowance for fire pump backup</t>
        </is>
      </c>
      <c r="D220" s="72" t="n">
        <v>0</v>
      </c>
      <c r="E220" s="31" t="inlineStr">
        <is>
          <t>EA</t>
        </is>
      </c>
      <c r="F220" s="16" t="n">
        <v>0</v>
      </c>
      <c r="G220" s="16" t="n">
        <v>0</v>
      </c>
      <c r="H220" s="73" t="n">
        <v>0</v>
      </c>
      <c r="I220" s="12" t="inlineStr">
        <is>
          <t>IN — Div 500 — Electrical</t>
        </is>
      </c>
      <c r="J220" s="35">
        <f>H220*G220</f>
        <v/>
      </c>
    </row>
    <row r="221" ht="13" customHeight="1">
      <c r="B221" s="31" t="inlineStr">
        <is>
          <t>260000</t>
        </is>
      </c>
      <c r="C221" s="12" t="inlineStr">
        <is>
          <t>15. Panels and Secondary distribution</t>
        </is>
      </c>
      <c r="D221" s="72" t="n">
        <v>0</v>
      </c>
      <c r="E221" s="31" t="inlineStr">
        <is>
          <t>LS</t>
        </is>
      </c>
      <c r="F221" s="16" t="n">
        <v>150000</v>
      </c>
      <c r="G221" s="16" t="n">
        <v>0</v>
      </c>
      <c r="H221" s="73" t="n">
        <v>0</v>
      </c>
      <c r="I221" s="12" t="inlineStr">
        <is>
          <t>IN — Div 500 — Electrical</t>
        </is>
      </c>
      <c r="J221" s="35">
        <f>H221*G221</f>
        <v/>
      </c>
    </row>
    <row r="222" ht="22" customHeight="1">
      <c r="B222" s="31" t="inlineStr">
        <is>
          <t>260000</t>
        </is>
      </c>
      <c r="C222" s="12" t="inlineStr">
        <is>
          <t>16. Provide temp. lighting &amp; power</t>
        </is>
      </c>
      <c r="D222" s="72" t="n">
        <v>125000</v>
      </c>
      <c r="E222" s="31" t="inlineStr">
        <is>
          <t>SF</t>
        </is>
      </c>
      <c r="F222" s="16" t="n">
        <v>1.25</v>
      </c>
      <c r="G222" s="16" t="n">
        <v>156250</v>
      </c>
      <c r="H222" s="73" t="n">
        <v>0</v>
      </c>
      <c r="I222" s="12" t="inlineStr">
        <is>
          <t>IN — HIS BASIS IS 125,000 SF at $1.25. The building is 74,100 SF.</t>
        </is>
      </c>
      <c r="J222" s="35">
        <f>H222*G222</f>
        <v/>
      </c>
    </row>
    <row r="223" ht="13" customHeight="1">
      <c r="B223" s="31" t="inlineStr">
        <is>
          <t>260000</t>
        </is>
      </c>
      <c r="C223" s="12" t="inlineStr">
        <is>
          <t>17. Provide 60 amp 3 phase for Demo/Structural Scope</t>
        </is>
      </c>
      <c r="D223" s="72" t="n">
        <v>0</v>
      </c>
      <c r="E223" s="31" t="inlineStr">
        <is>
          <t>EA</t>
        </is>
      </c>
      <c r="F223" s="16" t="n">
        <v>1000</v>
      </c>
      <c r="G223" s="16" t="n">
        <v>0</v>
      </c>
      <c r="H223" s="73" t="n">
        <v>0</v>
      </c>
      <c r="I223" s="12" t="inlineStr">
        <is>
          <t>IN — Div 500 — Electrical</t>
        </is>
      </c>
      <c r="J223" s="35">
        <f>H223*G223</f>
        <v/>
      </c>
    </row>
    <row r="224" ht="13" customHeight="1">
      <c r="B224" s="31" t="inlineStr">
        <is>
          <t>260000</t>
        </is>
      </c>
      <c r="C224" s="12" t="inlineStr">
        <is>
          <t>18. F/I firestopping at cores &amp; penetrations</t>
        </is>
      </c>
      <c r="D224" s="72" t="n">
        <v>1</v>
      </c>
      <c r="E224" s="31" t="inlineStr">
        <is>
          <t>LS</t>
        </is>
      </c>
      <c r="F224" s="16" t="n">
        <v>12500</v>
      </c>
      <c r="G224" s="16" t="n">
        <v>12500</v>
      </c>
      <c r="H224" s="73" t="n">
        <v>0</v>
      </c>
      <c r="I224" s="12" t="inlineStr">
        <is>
          <t>IN — Div 500 — Electrical</t>
        </is>
      </c>
      <c r="J224" s="35">
        <f>H224*G224</f>
        <v/>
      </c>
    </row>
    <row r="225">
      <c r="B225" s="8" t="inlineStr">
        <is>
          <t>270000   LOW VOLTAGE</t>
        </is>
      </c>
      <c r="C225" s="9" t="n"/>
      <c r="D225" s="9" t="n"/>
      <c r="E225" s="9" t="n"/>
      <c r="F225" s="9" t="n"/>
      <c r="G225" s="9" t="n"/>
      <c r="H225" s="9" t="n"/>
      <c r="I225" s="9" t="n"/>
    </row>
    <row r="226" ht="13" customHeight="1">
      <c r="B226" s="31" t="inlineStr">
        <is>
          <t>270000</t>
        </is>
      </c>
      <c r="C226" s="12" t="inlineStr">
        <is>
          <t>1. Wiring for security Camera</t>
        </is>
      </c>
      <c r="D226" s="72" t="n">
        <v>110</v>
      </c>
      <c r="E226" s="31" t="inlineStr">
        <is>
          <t>EA</t>
        </is>
      </c>
      <c r="F226" s="16" t="n">
        <v>750</v>
      </c>
      <c r="G226" s="16" t="n">
        <v>82500</v>
      </c>
      <c r="H226" s="73" t="n">
        <v>0</v>
      </c>
      <c r="I226" s="12" t="inlineStr">
        <is>
          <t>IN — Div 500 — Low voltage / Div 600 production lighting</t>
        </is>
      </c>
      <c r="J226" s="35">
        <f>H226*G226</f>
        <v/>
      </c>
    </row>
    <row r="227" ht="13" customHeight="1">
      <c r="B227" s="31" t="inlineStr">
        <is>
          <t>270000</t>
        </is>
      </c>
      <c r="C227" s="12" t="inlineStr">
        <is>
          <t>2. Door intrusion entry/exit security</t>
        </is>
      </c>
      <c r="D227" s="72" t="n">
        <v>0</v>
      </c>
      <c r="E227" s="31" t="inlineStr">
        <is>
          <t>LOC</t>
        </is>
      </c>
      <c r="F227" s="16" t="n">
        <v>5000</v>
      </c>
      <c r="G227" s="16" t="n">
        <v>0</v>
      </c>
      <c r="H227" s="73" t="n">
        <v>0</v>
      </c>
      <c r="I227" s="12" t="inlineStr">
        <is>
          <t>IN — Div 500 — Low voltage / Div 600 production lighting</t>
        </is>
      </c>
      <c r="J227" s="35">
        <f>H227*G227</f>
        <v/>
      </c>
    </row>
    <row r="228" ht="13" customHeight="1">
      <c r="B228" s="31" t="inlineStr">
        <is>
          <t>270000</t>
        </is>
      </c>
      <c r="C228" s="12" t="inlineStr">
        <is>
          <t>3. A/V wiring only</t>
        </is>
      </c>
      <c r="D228" s="72" t="n">
        <v>1</v>
      </c>
      <c r="E228" s="31" t="inlineStr">
        <is>
          <t>LS</t>
        </is>
      </c>
      <c r="F228" s="16" t="n">
        <v>60000</v>
      </c>
      <c r="G228" s="16" t="n">
        <v>60000</v>
      </c>
      <c r="H228" s="73" t="n">
        <v>0</v>
      </c>
      <c r="I228" s="12" t="inlineStr">
        <is>
          <t>IN — Div 500 — Low voltage / Div 600 production lighting</t>
        </is>
      </c>
      <c r="J228" s="35">
        <f>H228*G228</f>
        <v/>
      </c>
    </row>
    <row r="229" ht="13" customHeight="1">
      <c r="B229" s="31" t="inlineStr">
        <is>
          <t>270000</t>
        </is>
      </c>
      <c r="C229" s="12" t="inlineStr">
        <is>
          <t>4. Phone/Data wiring</t>
        </is>
      </c>
      <c r="D229" s="72" t="n">
        <v>1</v>
      </c>
      <c r="E229" s="31" t="inlineStr">
        <is>
          <t>LS</t>
        </is>
      </c>
      <c r="F229" s="16" t="n">
        <v>45000</v>
      </c>
      <c r="G229" s="16" t="n">
        <v>45000</v>
      </c>
      <c r="H229" s="73" t="n">
        <v>0</v>
      </c>
      <c r="I229" s="12" t="inlineStr">
        <is>
          <t>IN — Div 500 — Low voltage / Div 600 production lighting</t>
        </is>
      </c>
      <c r="J229" s="35">
        <f>H229*G229</f>
        <v/>
      </c>
    </row>
    <row r="230" ht="13" customHeight="1">
      <c r="B230" s="31" t="inlineStr">
        <is>
          <t>270000</t>
        </is>
      </c>
      <c r="C230" s="12" t="inlineStr">
        <is>
          <t>1. Exit Signs / BOH fixtures</t>
        </is>
      </c>
      <c r="D230" s="72" t="n">
        <v>1</v>
      </c>
      <c r="E230" s="31" t="inlineStr">
        <is>
          <t>LS</t>
        </is>
      </c>
      <c r="F230" s="16" t="n">
        <v>40000</v>
      </c>
      <c r="G230" s="16" t="n">
        <v>40000</v>
      </c>
      <c r="H230" s="73" t="n">
        <v>0</v>
      </c>
      <c r="I230" s="12" t="inlineStr">
        <is>
          <t>IN — Div 500 — Low voltage / Div 600 production lighting</t>
        </is>
      </c>
      <c r="J230" s="35">
        <f>H230*G230</f>
        <v/>
      </c>
    </row>
    <row r="231" ht="13" customHeight="1">
      <c r="B231" s="31" t="inlineStr">
        <is>
          <t>270000</t>
        </is>
      </c>
      <c r="C231" s="12" t="inlineStr">
        <is>
          <t>2. Stage Lighting</t>
        </is>
      </c>
      <c r="D231" s="72" t="n">
        <v>0</v>
      </c>
      <c r="E231" s="31" t="inlineStr"/>
      <c r="F231" s="16" t="n">
        <v>0</v>
      </c>
      <c r="G231" s="16" t="n">
        <v>0</v>
      </c>
      <c r="H231" s="73" t="n">
        <v>0</v>
      </c>
      <c r="I231" s="12" t="inlineStr">
        <is>
          <t>IN — Div 500 — Low voltage / Div 600 production lighting</t>
        </is>
      </c>
      <c r="J231" s="35">
        <f>H231*G231</f>
        <v/>
      </c>
    </row>
    <row r="232" ht="13" customHeight="1">
      <c r="B232" s="31" t="inlineStr">
        <is>
          <t>270000</t>
        </is>
      </c>
      <c r="C232" s="12" t="inlineStr">
        <is>
          <t>3. Bar Lighting</t>
        </is>
      </c>
      <c r="D232" s="72" t="n">
        <v>0</v>
      </c>
      <c r="E232" s="31" t="inlineStr"/>
      <c r="F232" s="16" t="n">
        <v>0</v>
      </c>
      <c r="G232" s="16" t="n">
        <v>0</v>
      </c>
      <c r="H232" s="73" t="n">
        <v>0</v>
      </c>
      <c r="I232" s="12" t="inlineStr">
        <is>
          <t>IN — Div 500 — Low voltage / Div 600 production lighting</t>
        </is>
      </c>
      <c r="J232" s="35">
        <f>H232*G232</f>
        <v/>
      </c>
    </row>
    <row r="233" ht="13" customHeight="1">
      <c r="B233" s="31" t="inlineStr">
        <is>
          <t>270000</t>
        </is>
      </c>
      <c r="C233" s="12" t="inlineStr">
        <is>
          <t>4. Specialty Fixtures</t>
        </is>
      </c>
      <c r="D233" s="72" t="n">
        <v>0</v>
      </c>
      <c r="E233" s="31" t="inlineStr"/>
      <c r="F233" s="16" t="n">
        <v>0</v>
      </c>
      <c r="G233" s="16" t="n">
        <v>0</v>
      </c>
      <c r="H233" s="73" t="n">
        <v>0</v>
      </c>
      <c r="I233" s="12" t="inlineStr">
        <is>
          <t>IN — Div 500 — Low voltage / Div 600 production lighting</t>
        </is>
      </c>
      <c r="J233" s="35">
        <f>H233*G233</f>
        <v/>
      </c>
    </row>
    <row r="234" ht="13" customHeight="1">
      <c r="B234" s="31" t="inlineStr">
        <is>
          <t>270000</t>
        </is>
      </c>
      <c r="C234" s="12" t="inlineStr">
        <is>
          <t>5. Dimming Control PKG</t>
        </is>
      </c>
      <c r="D234" s="72" t="n">
        <v>0</v>
      </c>
      <c r="E234" s="31" t="inlineStr"/>
      <c r="F234" s="16" t="n">
        <v>0</v>
      </c>
      <c r="G234" s="16" t="n">
        <v>0</v>
      </c>
      <c r="H234" s="73" t="n">
        <v>0</v>
      </c>
      <c r="I234" s="12" t="inlineStr">
        <is>
          <t>IN — Div 500 — Low voltage / Div 600 production lighting</t>
        </is>
      </c>
      <c r="J234" s="35">
        <f>H234*G234</f>
        <v/>
      </c>
    </row>
    <row r="235" ht="13" customHeight="1">
      <c r="B235" s="31" t="inlineStr">
        <is>
          <t>270000</t>
        </is>
      </c>
      <c r="C235" s="12" t="inlineStr">
        <is>
          <t>6. Inverter PKG</t>
        </is>
      </c>
      <c r="D235" s="72" t="n">
        <v>0</v>
      </c>
      <c r="E235" s="31" t="inlineStr"/>
      <c r="F235" s="16" t="n">
        <v>0</v>
      </c>
      <c r="G235" s="16" t="n">
        <v>0</v>
      </c>
      <c r="H235" s="73" t="n">
        <v>0</v>
      </c>
      <c r="I235" s="12" t="inlineStr">
        <is>
          <t>IN — Div 500 — Low voltage / Div 600 production lighting</t>
        </is>
      </c>
      <c r="J235" s="35">
        <f>H235*G235</f>
        <v/>
      </c>
    </row>
    <row r="236">
      <c r="B236" s="8" t="inlineStr">
        <is>
          <t>283100   FIRE ALARM</t>
        </is>
      </c>
      <c r="C236" s="9" t="n"/>
      <c r="D236" s="9" t="n"/>
      <c r="E236" s="9" t="n"/>
      <c r="F236" s="9" t="n"/>
      <c r="G236" s="9" t="n"/>
      <c r="H236" s="9" t="n"/>
      <c r="I236" s="9" t="n"/>
    </row>
    <row r="237" ht="22" customHeight="1">
      <c r="B237" s="31" t="inlineStr">
        <is>
          <t>283100</t>
        </is>
      </c>
      <c r="C237" s="12" t="inlineStr">
        <is>
          <t>1. F&amp;I Fire alarm system</t>
        </is>
      </c>
      <c r="D237" s="72" t="n">
        <v>100000</v>
      </c>
      <c r="E237" s="31" t="inlineStr">
        <is>
          <t>SF</t>
        </is>
      </c>
      <c r="F237" s="16" t="n">
        <v>2.5</v>
      </c>
      <c r="G237" s="16" t="n">
        <v>250000</v>
      </c>
      <c r="H237" s="73" t="n">
        <v>0</v>
      </c>
      <c r="I237" s="12" t="inlineStr">
        <is>
          <t>IN — HIS BASIS IS 100,000 SF at $2.50. Alarm coverage in this model is 88,100 SF — floor plus mezzanine.</t>
        </is>
      </c>
      <c r="J237" s="35">
        <f>H237*G237</f>
        <v/>
      </c>
    </row>
    <row r="238" ht="13" customHeight="1">
      <c r="B238" s="31" t="inlineStr">
        <is>
          <t>283100</t>
        </is>
      </c>
      <c r="C238" s="12" t="inlineStr">
        <is>
          <t>1. Install new sidewalks around building</t>
        </is>
      </c>
      <c r="D238" s="72" t="n">
        <v>0</v>
      </c>
      <c r="E238" s="31" t="inlineStr">
        <is>
          <t>LS</t>
        </is>
      </c>
      <c r="F238" s="16" t="n">
        <v>40000</v>
      </c>
      <c r="G238" s="16" t="n">
        <v>0</v>
      </c>
      <c r="H238" s="73" t="n">
        <v>0</v>
      </c>
      <c r="I238" s="12" t="inlineStr">
        <is>
          <t>IN — Div 500 — Fire alarm &amp; detection</t>
        </is>
      </c>
      <c r="J238" s="35">
        <f>H238*G238</f>
        <v/>
      </c>
    </row>
    <row r="239">
      <c r="B239" s="22" t="n"/>
      <c r="C239" s="32" t="inlineStr">
        <is>
          <t>THOMAS’S SCHEDULE AS FILED — total of all 199 lines</t>
        </is>
      </c>
      <c r="D239" s="22" t="n"/>
      <c r="E239" s="22" t="n"/>
      <c r="F239" s="22" t="n"/>
      <c r="G239" s="33">
        <f>SUM(G9:G238)</f>
        <v/>
      </c>
      <c r="H239" s="22" t="n"/>
      <c r="I239" s="22" t="n"/>
    </row>
    <row r="240">
      <c r="C240" s="3" t="inlineStr">
        <is>
          <t>Two thirds of his schedule sits at QTY 0, which is why $10.5M of lines describes a $42.6M project.</t>
        </is>
      </c>
    </row>
  </sheetData>
  <autoFilter ref="B8:I2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2026-09-10T22:43:27Z</dcterms:created>
  <dcterms:modified xsi:type="dcterms:W3CDTF">2026-09-10T22:43:27Z</dcterms:modified>
</cp:coreProperties>
</file>