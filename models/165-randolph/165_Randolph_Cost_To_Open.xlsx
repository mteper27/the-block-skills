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cenario Summary" sheetId="2" state="visible" r:id="rId2"/>
    <sheet name="Cost-Down Options" sheetId="3" state="visible" r:id="rId3"/>
    <sheet name="Phase 2 Add-Backs" sheetId="4" state="visible" r:id="rId4"/>
    <sheet name="Roof Lift" sheetId="5" state="visible" r:id="rId5"/>
    <sheet name="Line Build" sheetId="6" state="visible" r:id="rId6"/>
    <sheet name="Theater Seating" sheetId="7" state="visible" r:id="rId7"/>
    <sheet name="Lease or Finance" sheetId="8" state="visible" r:id="rId8"/>
    <sheet name="Findings" sheetId="9" state="visible" r:id="rId9"/>
  </sheets>
  <definedNames>
    <definedName name="_xlnm._FilterDatabase" localSheetId="5" hidden="1">'Line Build'!$A$1:$K$103</definedName>
    <definedName name="_xlnm._FilterDatabase" localSheetId="8" hidden="1">'Findings'!$B$5:$G$27</definedName>
  </definedNames>
  <calcPr calcId="124519" calcMode="auto" fullCalcOnLoad="1" calcCompleted="0"/>
</workbook>
</file>

<file path=xl/styles.xml><?xml version="1.0" encoding="utf-8"?>
<styleSheet xmlns="http://schemas.openxmlformats.org/spreadsheetml/2006/main">
  <numFmts count="5">
    <numFmt numFmtId="164" formatCode="0.0%"/>
    <numFmt numFmtId="165" formatCode="$#,##0;($#,##0);&quot;-&quot;"/>
    <numFmt numFmtId="166" formatCode="$#,##0"/>
    <numFmt numFmtId="167" formatCode="$#,##0.00"/>
    <numFmt numFmtId="168" formatCode="0.00&quot;x&quot;"/>
  </numFmts>
  <fonts count="16">
    <font>
      <name val="Calibri"/>
      <family val="2"/>
      <color theme="1"/>
      <sz val="11"/>
      <scheme val="minor"/>
    </font>
    <font>
      <name val="Arial"/>
      <b val="1"/>
      <color rgb="001F3864"/>
      <sz val="16"/>
    </font>
    <font>
      <name val="Arial"/>
      <color rgb="00595959"/>
      <sz val="9"/>
    </font>
    <font>
      <name val="Arial"/>
      <b val="1"/>
      <sz val="10"/>
    </font>
    <font>
      <name val="Arial"/>
      <sz val="10"/>
    </font>
    <font>
      <name val="Arial"/>
      <b val="1"/>
      <color rgb="001F3864"/>
      <sz val="12"/>
    </font>
    <font>
      <name val="Arial"/>
      <b val="1"/>
      <color rgb="00FFFFFF"/>
      <sz val="10"/>
    </font>
    <font>
      <name val="Arial"/>
      <color rgb="000000FF"/>
      <sz val="10"/>
    </font>
    <font>
      <name val="Arial"/>
      <b val="1"/>
      <color rgb="00C00000"/>
      <sz val="10"/>
    </font>
    <font>
      <name val="Arial"/>
      <color rgb="00008000"/>
      <sz val="10"/>
    </font>
    <font>
      <name val="Arial"/>
      <b val="1"/>
      <color rgb="00008000"/>
      <sz val="10"/>
    </font>
    <font>
      <name val="Arial"/>
      <b val="1"/>
      <color rgb="001F3864"/>
      <sz val="10"/>
    </font>
    <font>
      <name val="Arial"/>
      <b val="1"/>
      <color rgb="008A5D00"/>
      <sz val="10"/>
    </font>
    <font>
      <name val="Arial"/>
      <b val="1"/>
      <color rgb="00C00000"/>
      <sz val="9"/>
    </font>
    <font>
      <name val="Arial"/>
      <b val="1"/>
      <color rgb="001F3864"/>
      <sz val="9"/>
    </font>
    <font>
      <name val="Arial"/>
      <b val="1"/>
      <color rgb="008A5D00"/>
      <sz val="9"/>
    </font>
  </fonts>
  <fills count="11">
    <fill>
      <patternFill/>
    </fill>
    <fill>
      <patternFill patternType="gray125"/>
    </fill>
    <fill>
      <patternFill patternType="solid">
        <fgColor rgb="00FCE4D6"/>
      </patternFill>
    </fill>
    <fill>
      <patternFill patternType="solid">
        <fgColor rgb="00DDEBF7"/>
      </patternFill>
    </fill>
    <fill>
      <patternFill patternType="solid">
        <fgColor rgb="00FFF2CC"/>
      </patternFill>
    </fill>
    <fill>
      <patternFill patternType="solid">
        <fgColor rgb="00E2EFDA"/>
      </patternFill>
    </fill>
    <fill>
      <patternFill patternType="solid">
        <fgColor rgb="001F3864"/>
      </patternFill>
    </fill>
    <fill>
      <patternFill patternType="solid">
        <fgColor rgb="00FFC7CE"/>
      </patternFill>
    </fill>
    <fill>
      <patternFill patternType="solid">
        <fgColor rgb="00C6EFCE"/>
      </patternFill>
    </fill>
    <fill>
      <patternFill patternType="solid">
        <fgColor rgb="00FFEB9C"/>
      </patternFill>
    </fill>
    <fill>
      <patternFill patternType="solid">
        <fgColor rgb="00FFFF00"/>
      </patternFill>
    </fill>
  </fills>
  <borders count="3">
    <border>
      <left/>
      <right/>
      <top/>
      <bottom/>
      <diagonal/>
    </border>
    <border>
      <left style="thin">
        <color rgb="00BFBFBF"/>
      </left>
      <right style="thin">
        <color rgb="00BFBFBF"/>
      </right>
      <top style="thin">
        <color rgb="00BFBFBF"/>
      </top>
      <bottom style="thin">
        <color rgb="00BFBFBF"/>
      </bottom>
    </border>
    <border>
      <top style="medium">
        <color rgb="001F3864"/>
      </top>
    </border>
  </borders>
  <cellStyleXfs count="1">
    <xf numFmtId="0" fontId="0" fillId="0" borderId="0"/>
  </cellStyleXfs>
  <cellXfs count="8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4" fillId="0" borderId="0" pivotButton="0" quotePrefix="0" xfId="0"/>
    <xf numFmtId="164" fontId="7" fillId="10" borderId="1" pivotButton="0" quotePrefix="0" xfId="0"/>
    <xf numFmtId="0" fontId="2" fillId="0" borderId="0" applyAlignment="1" pivotButton="0" quotePrefix="0" xfId="0">
      <alignment vertical="top" wrapText="1"/>
    </xf>
    <xf numFmtId="3" fontId="7" fillId="10" borderId="1" pivotButton="0" quotePrefix="0" xfId="0"/>
    <xf numFmtId="0" fontId="6" fillId="6" borderId="0" applyAlignment="1" pivotButton="0" quotePrefix="0" xfId="0">
      <alignment horizontal="center" vertical="center" wrapText="1"/>
    </xf>
    <xf numFmtId="165" fontId="9" fillId="0" borderId="1" pivotButton="0" quotePrefix="0" xfId="0"/>
    <xf numFmtId="165" fontId="4" fillId="0" borderId="0" pivotButton="0" quotePrefix="0" xfId="0"/>
    <xf numFmtId="0" fontId="3" fillId="0" borderId="2" pivotButton="0" quotePrefix="0" xfId="0"/>
    <xf numFmtId="165" fontId="3" fillId="0" borderId="2" pivotButton="0" quotePrefix="0" xfId="0"/>
    <xf numFmtId="166" fontId="4" fillId="0" borderId="0" pivotButton="0" quotePrefix="0" xfId="0"/>
    <xf numFmtId="165" fontId="3" fillId="0" borderId="0" pivotButton="0" quotePrefix="0" xfId="0"/>
    <xf numFmtId="165" fontId="7" fillId="0" borderId="0" pivotButton="0" quotePrefix="0" xfId="0"/>
    <xf numFmtId="0" fontId="8" fillId="0" borderId="0" pivotButton="0" quotePrefix="0" xfId="0"/>
    <xf numFmtId="0" fontId="3" fillId="0" borderId="0" applyAlignment="1" pivotButton="0" quotePrefix="0" xfId="0">
      <alignment vertical="top" wrapText="1"/>
    </xf>
    <xf numFmtId="3" fontId="4" fillId="0" borderId="1" pivotButton="0" quotePrefix="0" xfId="0"/>
    <xf numFmtId="3" fontId="0" fillId="0" borderId="0" pivotButton="0" quotePrefix="0" xfId="0"/>
    <xf numFmtId="0" fontId="0" fillId="0" borderId="0" applyAlignment="1" pivotButton="0" quotePrefix="0" xfId="0">
      <alignment horizontal="center"/>
    </xf>
    <xf numFmtId="165" fontId="4" fillId="0" borderId="1" pivotButton="0" quotePrefix="0" xfId="0"/>
    <xf numFmtId="167" fontId="7" fillId="10" borderId="1" pivotButton="0" quotePrefix="0" xfId="0"/>
    <xf numFmtId="168" fontId="7" fillId="10" borderId="1" pivotButton="0" quotePrefix="0" xfId="0"/>
    <xf numFmtId="0" fontId="6" fillId="6" borderId="0" applyAlignment="1" pivotButton="0" quotePrefix="0" xfId="0">
      <alignment horizontal="center" wrapText="1"/>
    </xf>
    <xf numFmtId="0" fontId="4" fillId="0" borderId="1" applyAlignment="1" pivotButton="0" quotePrefix="0" xfId="0">
      <alignment horizontal="center"/>
    </xf>
    <xf numFmtId="0" fontId="4" fillId="0" borderId="1" applyAlignment="1" pivotButton="0" quotePrefix="0" xfId="0">
      <alignment vertical="top"/>
    </xf>
    <xf numFmtId="0" fontId="4" fillId="5" borderId="1" applyAlignment="1" pivotButton="0" quotePrefix="0" xfId="0">
      <alignment horizontal="center"/>
    </xf>
    <xf numFmtId="0" fontId="4" fillId="7" borderId="1" applyAlignment="1" pivotButton="0" quotePrefix="0" xfId="0">
      <alignment horizontal="center"/>
    </xf>
    <xf numFmtId="165" fontId="7" fillId="0" borderId="1" pivotButton="0" quotePrefix="0" xfId="0"/>
    <xf numFmtId="0" fontId="2" fillId="0" borderId="1" applyAlignment="1" pivotButton="0" quotePrefix="0" xfId="0">
      <alignment vertical="top" wrapText="1"/>
    </xf>
    <xf numFmtId="0" fontId="4" fillId="2" borderId="1" applyAlignment="1" pivotButton="0" quotePrefix="0" xfId="0">
      <alignment horizontal="center"/>
    </xf>
    <xf numFmtId="0" fontId="4" fillId="8" borderId="1" applyAlignment="1" pivotButton="0" quotePrefix="0" xfId="0">
      <alignment horizontal="center"/>
    </xf>
    <xf numFmtId="0" fontId="4" fillId="4" borderId="1" applyAlignment="1" pivotButton="0" quotePrefix="0" xfId="0">
      <alignment horizontal="center"/>
    </xf>
    <xf numFmtId="0" fontId="4" fillId="3" borderId="1" applyAlignment="1" pivotButton="0" quotePrefix="0" xfId="0">
      <alignment horizontal="center"/>
    </xf>
    <xf numFmtId="0" fontId="4" fillId="9" borderId="1" applyAlignment="1" pivotButton="0" quotePrefix="0" xfId="0">
      <alignment horizontal="center"/>
    </xf>
    <xf numFmtId="165" fontId="0" fillId="0" borderId="0" pivotButton="0" quotePrefix="0" xfId="0"/>
    <xf numFmtId="166" fontId="7" fillId="10" borderId="1" pivotButton="0" quotePrefix="0" xfId="0"/>
    <xf numFmtId="0" fontId="4" fillId="0" borderId="1" pivotButton="0" quotePrefix="0" xfId="0"/>
    <xf numFmtId="0" fontId="0" fillId="0" borderId="1" applyAlignment="1" pivotButton="0" quotePrefix="0" xfId="0">
      <alignment horizontal="center"/>
    </xf>
    <xf numFmtId="0" fontId="0" fillId="0" borderId="2" pivotButton="0" quotePrefix="0" xfId="0"/>
    <xf numFmtId="0" fontId="2" fillId="0" borderId="2" applyAlignment="1" pivotButton="0" quotePrefix="0" xfId="0">
      <alignment vertical="top" wrapText="1"/>
    </xf>
    <xf numFmtId="0" fontId="3" fillId="0" borderId="1" pivotButton="0" quotePrefix="0" xfId="0"/>
    <xf numFmtId="0" fontId="10" fillId="0" borderId="1" applyAlignment="1" pivotButton="0" quotePrefix="0" xfId="0">
      <alignment horizontal="center"/>
    </xf>
    <xf numFmtId="0" fontId="11" fillId="0" borderId="1" applyAlignment="1" pivotButton="0" quotePrefix="0" xfId="0">
      <alignment horizontal="center"/>
    </xf>
    <xf numFmtId="0" fontId="8" fillId="0" borderId="1" applyAlignment="1" pivotButton="0" quotePrefix="0" xfId="0">
      <alignment horizontal="center"/>
    </xf>
    <xf numFmtId="0" fontId="12" fillId="0" borderId="1" applyAlignment="1" pivotButton="0" quotePrefix="0" xfId="0">
      <alignment horizontal="center"/>
    </xf>
    <xf numFmtId="168" fontId="7" fillId="0" borderId="1" applyAlignment="1" pivotButton="0" quotePrefix="0" xfId="0">
      <alignment horizontal="center"/>
    </xf>
    <xf numFmtId="168" fontId="3" fillId="0" borderId="2" applyAlignment="1" pivotButton="0" quotePrefix="0" xfId="0">
      <alignment horizontal="center"/>
    </xf>
    <xf numFmtId="0" fontId="2" fillId="0" borderId="2" pivotButton="0" quotePrefix="0" xfId="0"/>
    <xf numFmtId="0" fontId="3" fillId="0" borderId="1" applyAlignment="1" pivotButton="0" quotePrefix="0" xfId="0">
      <alignment horizontal="center"/>
    </xf>
    <xf numFmtId="0" fontId="4" fillId="0" borderId="1" applyAlignment="1" pivotButton="0" quotePrefix="0" xfId="0">
      <alignment vertical="top" wrapText="1"/>
    </xf>
    <xf numFmtId="165" fontId="8" fillId="0" borderId="1" pivotButton="0" quotePrefix="0" xfId="0"/>
    <xf numFmtId="0" fontId="13" fillId="0" borderId="1" applyAlignment="1" pivotButton="0" quotePrefix="0" xfId="0">
      <alignment horizontal="center"/>
    </xf>
    <xf numFmtId="165" fontId="11" fillId="0" borderId="1" pivotButton="0" quotePrefix="0" xfId="0"/>
    <xf numFmtId="0" fontId="14" fillId="0" borderId="1" applyAlignment="1" pivotButton="0" quotePrefix="0" xfId="0">
      <alignment horizontal="center"/>
    </xf>
    <xf numFmtId="0" fontId="15" fillId="0" borderId="1" applyAlignment="1" pivotButton="0" quotePrefix="0" xfId="0">
      <alignment horizontal="center"/>
    </xf>
    <xf numFmtId="164" fontId="7" fillId="10" borderId="1" pivotButton="0" quotePrefix="0" xfId="0"/>
    <xf numFmtId="165" fontId="9" fillId="0" borderId="1" pivotButton="0" quotePrefix="0" xfId="0"/>
    <xf numFmtId="165" fontId="4" fillId="0" borderId="0" pivotButton="0" quotePrefix="0" xfId="0"/>
    <xf numFmtId="165" fontId="3" fillId="0" borderId="2" pivotButton="0" quotePrefix="0" xfId="0"/>
    <xf numFmtId="166" fontId="4" fillId="0" borderId="0" pivotButton="0" quotePrefix="0" xfId="0"/>
    <xf numFmtId="165" fontId="3" fillId="0" borderId="0" pivotButton="0" quotePrefix="0" xfId="0"/>
    <xf numFmtId="165" fontId="7" fillId="0" borderId="0" pivotButton="0" quotePrefix="0" xfId="0"/>
    <xf numFmtId="165" fontId="7" fillId="0" borderId="1" pivotButton="0" quotePrefix="0" xfId="0"/>
    <xf numFmtId="165" fontId="4" fillId="0" borderId="1" pivotButton="0" quotePrefix="0" xfId="0"/>
    <xf numFmtId="168" fontId="7" fillId="0" borderId="1" applyAlignment="1" pivotButton="0" quotePrefix="0" xfId="0">
      <alignment horizontal="center"/>
    </xf>
    <xf numFmtId="168" fontId="3" fillId="0" borderId="2" applyAlignment="1" pivotButton="0" quotePrefix="0" xfId="0">
      <alignment horizontal="center"/>
    </xf>
    <xf numFmtId="167" fontId="7" fillId="10" borderId="1" pivotButton="0" quotePrefix="0" xfId="0"/>
    <xf numFmtId="168" fontId="7" fillId="10" borderId="1" pivotButton="0" quotePrefix="0" xfId="0"/>
    <xf numFmtId="165" fontId="0" fillId="0" borderId="0" pivotButton="0" quotePrefix="0" xfId="0"/>
    <xf numFmtId="166" fontId="7" fillId="10" borderId="1" pivotButton="0" quotePrefix="0" xfId="0"/>
    <xf numFmtId="165" fontId="8" fillId="0" borderId="1" pivotButton="0" quotePrefix="0" xfId="0"/>
    <xf numFmtId="165" fontId="1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workbookViewId="0">
      <selection activeCell="A1" sqref="A1"/>
    </sheetView>
  </sheetViews>
  <sheetFormatPr baseColWidth="8" defaultRowHeight="15"/>
  <cols>
    <col width="3" customWidth="1" min="1" max="1"/>
    <col width="26" customWidth="1" min="2" max="2"/>
    <col width="104" customWidth="1" min="3" max="3"/>
  </cols>
  <sheetData>
    <row r="2">
      <c r="B2" s="1" t="inlineStr">
        <is>
          <t>165 RANDOLPH STREET — COST TO BUILD &amp; OPEN</t>
        </is>
      </c>
    </row>
    <row r="3">
      <c r="B3" s="2" t="inlineStr">
        <is>
          <t>Brooklyn, NY 11237  ·  Live Nation / Insomniac  ·  CONSTRUCTION ONLY  ·  CONFIDENTIAL</t>
        </is>
      </c>
    </row>
    <row r="5" ht="37.5" customHeight="1">
      <c r="B5" s="3" t="inlineStr">
        <is>
          <t>Scope of this model</t>
        </is>
      </c>
      <c r="C5" s="4" t="inlineStr">
        <is>
          <t>Construction only: building the building, the production systems, getting it coded, and getting the liquor licence. No revenue, no operating costs, no returns — 165 Randolph has its own revenue model and this does not duplicate it.</t>
        </is>
      </c>
    </row>
    <row r="6" ht="25" customHeight="1">
      <c r="B6" s="3" t="inlineStr">
        <is>
          <t>The question it answers</t>
        </is>
      </c>
      <c r="C6" s="4" t="inlineStr">
        <is>
          <t>What is the least we can spend and still open the doors, and what does every additional item cost on top of that?</t>
        </is>
      </c>
    </row>
    <row r="7" ht="62.5" customHeight="1">
      <c r="B7" s="3" t="inlineStr">
        <is>
          <t>Why the filed budget cannot answer it</t>
        </is>
      </c>
      <c r="C7" s="4" t="inlineStr">
        <is>
          <t>The Master Development Budget v1 totals $42,555,099. One cell overstates it by $5,224,148 — 3rd-floor VIP pavers at $3,312.50/SF where the lines above and below are $31/SF — which marks up four times to $6,890,129. Meanwhile roughly two-thirds of the trade schedule carries a unit price against a QUANTITY OF ZERO. The two errors point opposite ways and roughly cancel, which is why the total looked plausible next to the $45M underwriting case.</t>
        </is>
      </c>
    </row>
    <row r="8" ht="50" customHeight="1">
      <c r="B8" s="3" t="inlineStr">
        <is>
          <t>How to use it</t>
        </is>
      </c>
      <c r="C8" s="4" t="inlineStr">
        <is>
          <t>Open Line Build. Every one of the 101 lines carries a TIER. Change a tier and all four scenarios on Scenario Summary recalculate. Blue cells are inputs you can edit, black cells are formulas, green cells pull from another sheet. The Reconciliation block at the bottom of Line Build proves the "As Filed" column ties to the source workbook to the dollar.</t>
        </is>
      </c>
    </row>
    <row r="10">
      <c r="B10" s="5" t="inlineStr">
        <is>
          <t>THE TIERS</t>
        </is>
      </c>
    </row>
    <row r="11">
      <c r="B11" s="6" t="inlineStr">
        <is>
          <t xml:space="preserve">  Tier 0 — Shell &amp; Life Safety</t>
        </is>
      </c>
      <c r="C11" s="4" t="inlineStr">
        <is>
          <t>No Certificate of Occupancy without it. Structure, egress, fire protection and alarm, MEP, ADA, abatement, code compliance.</t>
        </is>
      </c>
    </row>
    <row r="12">
      <c r="B12" s="7" t="inlineStr">
        <is>
          <t xml:space="preserve">  Tier 1 — Revenue Enabling</t>
        </is>
      </c>
      <c r="C12" s="4" t="inlineStr">
        <is>
          <t>Cannot sell a ticket or serve a drink without it. Stage and rigging steel, bars, audio, performance lighting, acoustic treatment, screening, IT.</t>
        </is>
      </c>
    </row>
    <row r="13">
      <c r="B13" s="8" t="inlineStr">
        <is>
          <t xml:space="preserve">  Tier R — Roof Raise — the fork</t>
        </is>
      </c>
      <c r="C13" s="4" t="inlineStr">
        <is>
          <t>The 20ft to 50ft lift. Priced at ZERO in the filed budget. Drives the production ceiling and the premium positioning. It does NOT drive capacity — 7,440 works at either height.</t>
        </is>
      </c>
    </row>
    <row r="14">
      <c r="B14" s="9" t="inlineStr">
        <is>
          <t xml:space="preserve">  Tier 2 — Positioning / Phase 2</t>
        </is>
      </c>
      <c r="C14" s="4" t="inlineStr">
        <is>
          <t>The building opens and trades without it. Roof decks, restaurant, VIP fit-out, LED walls, architectural lighting, art, parking garage.</t>
        </is>
      </c>
    </row>
    <row r="16">
      <c r="B16" s="5" t="inlineStr">
        <is>
          <t>THE FOUR SCENARIOS</t>
        </is>
      </c>
    </row>
    <row r="17">
      <c r="B17" s="3" t="inlineStr">
        <is>
          <t xml:space="preserve">  1. Absolute Floor</t>
        </is>
      </c>
      <c r="C17" s="4" t="inlineStr">
        <is>
          <t>Tiers 0 + 1, roof left alone, and the three rent-or-free items deferred (house audio, performance lighting, POS). The lowest number that still opens the doors.</t>
        </is>
      </c>
    </row>
    <row r="18">
      <c r="B18" s="3" t="inlineStr">
        <is>
          <t xml:space="preserve">  2. Open Minimum</t>
        </is>
      </c>
      <c r="C18" s="4" t="inlineStr">
        <is>
          <t>Tiers 0 + 1, roof left alone. Own the audio and lighting rig from day one rather than renting it.</t>
        </is>
      </c>
    </row>
    <row r="19">
      <c r="B19" s="3" t="inlineStr">
        <is>
          <t xml:space="preserve">  3. Open + 50ft Raise</t>
        </is>
      </c>
      <c r="C19" s="4" t="inlineStr">
        <is>
          <t>Scenario 2 plus Tier R. This is the building the underwriting describes.</t>
        </is>
      </c>
    </row>
    <row r="20">
      <c r="B20" s="3" t="inlineStr">
        <is>
          <t xml:space="preserve">  4. Full Scope</t>
        </is>
      </c>
      <c r="C20" s="4" t="inlineStr">
        <is>
          <t>Everything — roof decks, restaurant, VIP lounge, LED walls, architectural lighting and the parking garage.</t>
        </is>
      </c>
    </row>
    <row r="22" ht="62.5" customHeight="1">
      <c r="B22" s="3" t="inlineStr">
        <is>
          <t>Basis of the Corrected column</t>
        </is>
      </c>
      <c r="C22" s="4" t="inlineStr">
        <is>
          <t>Where the source file supplies a unit price, the corrected cost uses THAT rate against a measured or reasoned quantity — so most of this is the estimator's own pricing, applied to quantities that were left at zero. Where the file gives no rate, the figure comes from NYC assembly-occupancy norms and the line note says so. Where MT supplied a better number in the annotated copy, MT's number is used and cited.</t>
        </is>
      </c>
    </row>
    <row r="23" ht="37.5" customHeight="1">
      <c r="B23" s="3" t="inlineStr">
        <is>
          <t>Explicitly excluded</t>
        </is>
      </c>
      <c r="C23" s="4" t="inlineStr">
        <is>
          <t>Revenue of any kind. Operating costs. Returns and IRR. Rent, NNN and lease economics. Pre-opening hiring, training and launch marketing. Anything from the Miami takeover folder or the Ace Mission analysis — neither was available. The Wake PD04 Rev 4.4 test fit has not been reviewed directly.</t>
        </is>
      </c>
    </row>
    <row r="25">
      <c r="B25" s="2" t="inlineStr">
        <is>
          <t>Prepared 9 Sep 2026 from Master Development Budget v1 (7 Sep 2026) and MT notes &amp;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49"/>
  <sheetViews>
    <sheetView workbookViewId="0">
      <selection activeCell="A1" sqref="A1"/>
    </sheetView>
  </sheetViews>
  <sheetFormatPr baseColWidth="8" defaultRowHeight="15"/>
  <cols>
    <col width="3" customWidth="1" min="1" max="1"/>
    <col width="44" customWidth="1" min="2" max="2"/>
    <col width="17" customWidth="1" min="3" max="3"/>
    <col width="17" customWidth="1" min="4" max="4"/>
    <col width="17" customWidth="1" min="5" max="5"/>
    <col width="17" customWidth="1" min="6" max="6"/>
    <col width="56" customWidth="1" min="7" max="7"/>
    <col hidden="1" width="13" customWidth="1" min="10" max="10"/>
  </cols>
  <sheetData>
    <row r="2">
      <c r="B2" s="1" t="inlineStr">
        <is>
          <t>WHAT IT COSTS TO BUILD AND OPEN</t>
        </is>
      </c>
    </row>
    <row r="3">
      <c r="B3" s="2" t="inlineStr">
        <is>
          <t>Construction, production, code and liquor licence. Driven entirely by the Tier column on Line Build.</t>
        </is>
      </c>
    </row>
    <row r="5">
      <c r="B5" s="5" t="inlineStr">
        <is>
          <t>ASSUMPTIONS   —   edit the yellow cells</t>
        </is>
      </c>
    </row>
    <row r="6">
      <c r="B6" s="10" t="inlineStr">
        <is>
          <t>General conditions, % of trade + escalation</t>
        </is>
      </c>
      <c r="C6" s="63" t="n">
        <v>0.11</v>
      </c>
      <c r="G6" s="12" t="inlineStr">
        <is>
          <t>Filed $2,000,000 against $18,175,108 of trade. The hidden GC tab totals $2,082,000 — an $82k break.</t>
        </is>
      </c>
    </row>
    <row r="7">
      <c r="B7" s="10" t="inlineStr">
        <is>
          <t>Overhead, profit &amp; insurance, % of trade + GC</t>
        </is>
      </c>
      <c r="C7" s="63" t="n">
        <v>0.09</v>
      </c>
      <c r="G7" s="12" t="inlineStr">
        <is>
          <t>As filed (9% combined).</t>
        </is>
      </c>
    </row>
    <row r="8">
      <c r="B8" s="10" t="inlineStr">
        <is>
          <t>Contractor contingency, %</t>
        </is>
      </c>
      <c r="C8" s="63" t="n">
        <v>0.1</v>
      </c>
      <c r="G8" s="12" t="inlineStr">
        <is>
          <t>As filed.</t>
        </is>
      </c>
    </row>
    <row r="9">
      <c r="B9" s="10" t="inlineStr">
        <is>
          <t>Owner contingency, %</t>
        </is>
      </c>
      <c r="C9" s="63" t="n">
        <v>0.1</v>
      </c>
      <c r="G9" s="12" t="inlineStr">
        <is>
          <t>As filed. 25-35% is the norm at this design stage with this much scope unpriced. Raise it to test.</t>
        </is>
      </c>
    </row>
    <row r="10">
      <c r="B10" s="10" t="inlineStr">
        <is>
          <t>Escalation on trade cost, %</t>
        </is>
      </c>
      <c r="C10" s="63" t="n">
        <v>0.1</v>
      </c>
      <c r="G10" s="12" t="inlineStr">
        <is>
          <t>FILED AT ZERO — the line exists and was left blank while the parking garage got 5%. 5%/yr across a 2-year build.</t>
        </is>
      </c>
    </row>
    <row r="11">
      <c r="B11" s="10" t="inlineStr">
        <is>
          <t>Building footprint (SF, under roof)</t>
        </is>
      </c>
      <c r="C11" s="13" t="n">
        <v>74100</v>
      </c>
      <c r="G11" s="12" t="inlineStr">
        <is>
          <t>YOUR CORRECTION. The rent basis, and what roofing, envelope and HVAC volume follow. The mezzanine sits inside this.</t>
        </is>
      </c>
    </row>
    <row r="12">
      <c r="B12" s="10" t="inlineStr">
        <is>
          <t>Total floor area, all levels (SF)</t>
        </is>
      </c>
      <c r="C12" s="13" t="n">
        <v>135953</v>
      </c>
      <c r="G12" s="12" t="inlineStr">
        <is>
          <t>What sprinklers, fire alarm, partitions and flooring follow. The dev budget uses this as its headline SF, which is why it reports $313/SF.</t>
        </is>
      </c>
    </row>
    <row r="13">
      <c r="B13" s="10" t="inlineStr">
        <is>
          <t>Capacity, GA standing</t>
        </is>
      </c>
      <c r="C13" s="13" t="n">
        <v>7440</v>
      </c>
      <c r="G13" s="12" t="inlineStr">
        <is>
          <t>Development budget and Wake test fit. Ground floor plus mezzanine, within the 74,100 SF footprint.</t>
        </is>
      </c>
    </row>
    <row r="15">
      <c r="B15" s="5" t="inlineStr">
        <is>
          <t>THE LADDER</t>
        </is>
      </c>
    </row>
    <row r="16" ht="34" customHeight="1">
      <c r="B16" s="14" t="inlineStr"/>
      <c r="C16" s="14" t="inlineStr">
        <is>
          <t>SHELL &amp; CODE
tier 0 only, no lift</t>
        </is>
      </c>
      <c r="D16" s="14" t="inlineStr">
        <is>
          <t>BASE
shell + revenue, no lift</t>
        </is>
      </c>
      <c r="E16" s="14" t="inlineStr">
        <is>
          <t>BASE + LIFT
shell + revenue + lift</t>
        </is>
      </c>
      <c r="F16" s="14" t="inlineStr">
        <is>
          <t>ELEVATED
full fit-out + lift</t>
        </is>
      </c>
      <c r="G16" s="14" t="inlineStr">
        <is>
          <t>PREMIUM
everything</t>
        </is>
      </c>
    </row>
    <row r="17">
      <c r="B17" s="10" t="inlineStr">
        <is>
          <t>Trade costs</t>
        </is>
      </c>
      <c r="C17" s="64">
        <f>SUMIFS('Line Build'!$I$2:$I$103,'Line Build'!$B$2:$B$103,$J17,'Line Build'!$D$2:$D$103,"0")</f>
        <v/>
      </c>
      <c r="D17" s="64">
        <f>SUMIFS('Line Build'!$I$2:$I$103,'Line Build'!$B$2:$B$103,$J17,'Line Build'!$D$2:$D$103,"0")+SUMIFS('Line Build'!$I$2:$I$103,'Line Build'!$B$2:$B$103,$J17,'Line Build'!$D$2:$D$103,"1")</f>
        <v/>
      </c>
      <c r="E17" s="64">
        <f>SUMIFS('Line Build'!$I$2:$I$103,'Line Build'!$B$2:$B$103,$J17,'Line Build'!$D$2:$D$103,"0")+SUMIFS('Line Build'!$I$2:$I$103,'Line Build'!$B$2:$B$103,$J17,'Line Build'!$D$2:$D$103,"1")+SUMIFS('Line Build'!$I$2:$I$103,'Line Build'!$B$2:$B$103,$J17,'Line Build'!$D$2:$D$103,"R")</f>
        <v/>
      </c>
      <c r="F17" s="64">
        <f>SUMIFS('Line Build'!$H$2:$H$103,'Line Build'!$B$2:$B$103,$J17,'Line Build'!$D$2:$D$103,"0")+SUMIFS('Line Build'!$H$2:$H$103,'Line Build'!$B$2:$B$103,$J17,'Line Build'!$D$2:$D$103,"1")+SUMIFS('Line Build'!$H$2:$H$103,'Line Build'!$B$2:$B$103,$J17,'Line Build'!$D$2:$D$103,"R")</f>
        <v/>
      </c>
      <c r="G17" s="64">
        <f>SUMIFS('Line Build'!$H$2:$H$103,'Line Build'!$B$2:$B$103,$J17,'Line Build'!$D$2:$D$103,"0")+SUMIFS('Line Build'!$H$2:$H$103,'Line Build'!$B$2:$B$103,$J17,'Line Build'!$D$2:$D$103,"1")+SUMIFS('Line Build'!$H$2:$H$103,'Line Build'!$B$2:$B$103,$J17,'Line Build'!$D$2:$D$103,"R")+SUMIFS('Line Build'!$H$2:$H$103,'Line Build'!$B$2:$B$103,$J17,'Line Build'!$D$2:$D$103,"2")</f>
        <v/>
      </c>
      <c r="J17" s="2" t="inlineStr">
        <is>
          <t>TRADE</t>
        </is>
      </c>
    </row>
    <row r="18">
      <c r="B18" s="10" t="inlineStr">
        <is>
          <t>Off-site costs</t>
        </is>
      </c>
      <c r="C18" s="64">
        <f>SUMIFS('Line Build'!$I$2:$I$103,'Line Build'!$B$2:$B$103,$J18,'Line Build'!$D$2:$D$103,"0")</f>
        <v/>
      </c>
      <c r="D18" s="64">
        <f>SUMIFS('Line Build'!$I$2:$I$103,'Line Build'!$B$2:$B$103,$J18,'Line Build'!$D$2:$D$103,"0")+SUMIFS('Line Build'!$I$2:$I$103,'Line Build'!$B$2:$B$103,$J18,'Line Build'!$D$2:$D$103,"1")</f>
        <v/>
      </c>
      <c r="E18" s="64">
        <f>SUMIFS('Line Build'!$I$2:$I$103,'Line Build'!$B$2:$B$103,$J18,'Line Build'!$D$2:$D$103,"0")+SUMIFS('Line Build'!$I$2:$I$103,'Line Build'!$B$2:$B$103,$J18,'Line Build'!$D$2:$D$103,"1")+SUMIFS('Line Build'!$I$2:$I$103,'Line Build'!$B$2:$B$103,$J18,'Line Build'!$D$2:$D$103,"R")</f>
        <v/>
      </c>
      <c r="F18" s="64">
        <f>SUMIFS('Line Build'!$H$2:$H$103,'Line Build'!$B$2:$B$103,$J18,'Line Build'!$D$2:$D$103,"0")+SUMIFS('Line Build'!$H$2:$H$103,'Line Build'!$B$2:$B$103,$J18,'Line Build'!$D$2:$D$103,"1")+SUMIFS('Line Build'!$H$2:$H$103,'Line Build'!$B$2:$B$103,$J18,'Line Build'!$D$2:$D$103,"R")</f>
        <v/>
      </c>
      <c r="G18" s="64">
        <f>SUMIFS('Line Build'!$H$2:$H$103,'Line Build'!$B$2:$B$103,$J18,'Line Build'!$D$2:$D$103,"0")+SUMIFS('Line Build'!$H$2:$H$103,'Line Build'!$B$2:$B$103,$J18,'Line Build'!$D$2:$D$103,"1")+SUMIFS('Line Build'!$H$2:$H$103,'Line Build'!$B$2:$B$103,$J18,'Line Build'!$D$2:$D$103,"R")+SUMIFS('Line Build'!$H$2:$H$103,'Line Build'!$B$2:$B$103,$J18,'Line Build'!$D$2:$D$103,"2")</f>
        <v/>
      </c>
      <c r="J18" s="2" t="inlineStr">
        <is>
          <t>OFFSITE</t>
        </is>
      </c>
    </row>
    <row r="19">
      <c r="B19" s="10" t="inlineStr">
        <is>
          <t>Soft costs</t>
        </is>
      </c>
      <c r="C19" s="64">
        <f>SUMIFS('Line Build'!$I$2:$I$103,'Line Build'!$B$2:$B$103,$J19,'Line Build'!$D$2:$D$103,"0")</f>
        <v/>
      </c>
      <c r="D19" s="64">
        <f>SUMIFS('Line Build'!$I$2:$I$103,'Line Build'!$B$2:$B$103,$J19,'Line Build'!$D$2:$D$103,"0")+SUMIFS('Line Build'!$I$2:$I$103,'Line Build'!$B$2:$B$103,$J19,'Line Build'!$D$2:$D$103,"1")</f>
        <v/>
      </c>
      <c r="E19" s="64">
        <f>SUMIFS('Line Build'!$I$2:$I$103,'Line Build'!$B$2:$B$103,$J19,'Line Build'!$D$2:$D$103,"0")+SUMIFS('Line Build'!$I$2:$I$103,'Line Build'!$B$2:$B$103,$J19,'Line Build'!$D$2:$D$103,"1")+SUMIFS('Line Build'!$I$2:$I$103,'Line Build'!$B$2:$B$103,$J19,'Line Build'!$D$2:$D$103,"R")</f>
        <v/>
      </c>
      <c r="F19" s="64">
        <f>SUMIFS('Line Build'!$H$2:$H$103,'Line Build'!$B$2:$B$103,$J19,'Line Build'!$D$2:$D$103,"0")+SUMIFS('Line Build'!$H$2:$H$103,'Line Build'!$B$2:$B$103,$J19,'Line Build'!$D$2:$D$103,"1")+SUMIFS('Line Build'!$H$2:$H$103,'Line Build'!$B$2:$B$103,$J19,'Line Build'!$D$2:$D$103,"R")</f>
        <v/>
      </c>
      <c r="G19" s="64">
        <f>SUMIFS('Line Build'!$H$2:$H$103,'Line Build'!$B$2:$B$103,$J19,'Line Build'!$D$2:$D$103,"0")+SUMIFS('Line Build'!$H$2:$H$103,'Line Build'!$B$2:$B$103,$J19,'Line Build'!$D$2:$D$103,"1")+SUMIFS('Line Build'!$H$2:$H$103,'Line Build'!$B$2:$B$103,$J19,'Line Build'!$D$2:$D$103,"R")+SUMIFS('Line Build'!$H$2:$H$103,'Line Build'!$B$2:$B$103,$J19,'Line Build'!$D$2:$D$103,"2")</f>
        <v/>
      </c>
      <c r="J19" s="2" t="inlineStr">
        <is>
          <t>SOFT</t>
        </is>
      </c>
    </row>
    <row r="20">
      <c r="B20" s="10" t="inlineStr">
        <is>
          <t>FF&amp;E</t>
        </is>
      </c>
      <c r="C20" s="64">
        <f>SUMIFS('Line Build'!$I$2:$I$103,'Line Build'!$B$2:$B$103,$J20,'Line Build'!$D$2:$D$103,"0")</f>
        <v/>
      </c>
      <c r="D20" s="64">
        <f>SUMIFS('Line Build'!$I$2:$I$103,'Line Build'!$B$2:$B$103,$J20,'Line Build'!$D$2:$D$103,"0")+SUMIFS('Line Build'!$I$2:$I$103,'Line Build'!$B$2:$B$103,$J20,'Line Build'!$D$2:$D$103,"1")</f>
        <v/>
      </c>
      <c r="E20" s="64">
        <f>SUMIFS('Line Build'!$I$2:$I$103,'Line Build'!$B$2:$B$103,$J20,'Line Build'!$D$2:$D$103,"0")+SUMIFS('Line Build'!$I$2:$I$103,'Line Build'!$B$2:$B$103,$J20,'Line Build'!$D$2:$D$103,"1")+SUMIFS('Line Build'!$I$2:$I$103,'Line Build'!$B$2:$B$103,$J20,'Line Build'!$D$2:$D$103,"R")</f>
        <v/>
      </c>
      <c r="F20" s="64">
        <f>SUMIFS('Line Build'!$H$2:$H$103,'Line Build'!$B$2:$B$103,$J20,'Line Build'!$D$2:$D$103,"0")+SUMIFS('Line Build'!$H$2:$H$103,'Line Build'!$B$2:$B$103,$J20,'Line Build'!$D$2:$D$103,"1")+SUMIFS('Line Build'!$H$2:$H$103,'Line Build'!$B$2:$B$103,$J20,'Line Build'!$D$2:$D$103,"R")</f>
        <v/>
      </c>
      <c r="G20" s="64">
        <f>SUMIFS('Line Build'!$H$2:$H$103,'Line Build'!$B$2:$B$103,$J20,'Line Build'!$D$2:$D$103,"0")+SUMIFS('Line Build'!$H$2:$H$103,'Line Build'!$B$2:$B$103,$J20,'Line Build'!$D$2:$D$103,"1")+SUMIFS('Line Build'!$H$2:$H$103,'Line Build'!$B$2:$B$103,$J20,'Line Build'!$D$2:$D$103,"R")+SUMIFS('Line Build'!$H$2:$H$103,'Line Build'!$B$2:$B$103,$J20,'Line Build'!$D$2:$D$103,"2")</f>
        <v/>
      </c>
      <c r="J20" s="2" t="inlineStr">
        <is>
          <t>FFE</t>
        </is>
      </c>
    </row>
    <row r="21">
      <c r="B21" s="10" t="inlineStr">
        <is>
          <t>Escalation on trade cost</t>
        </is>
      </c>
      <c r="C21" s="65">
        <f>C17*$C$10</f>
        <v/>
      </c>
      <c r="D21" s="65">
        <f>D17*$C$10</f>
        <v/>
      </c>
      <c r="E21" s="65">
        <f>E17*$C$10</f>
        <v/>
      </c>
      <c r="F21" s="65">
        <f>F17*$C$10</f>
        <v/>
      </c>
      <c r="G21" s="65">
        <f>G17*$C$10</f>
        <v/>
      </c>
    </row>
    <row r="22">
      <c r="B22" s="10" t="inlineStr">
        <is>
          <t>General conditions</t>
        </is>
      </c>
      <c r="C22" s="65">
        <f>(C17+C21)*$C$6</f>
        <v/>
      </c>
      <c r="D22" s="65">
        <f>(D17+D21)*$C$6</f>
        <v/>
      </c>
      <c r="E22" s="65">
        <f>(E17+E21)*$C$6</f>
        <v/>
      </c>
      <c r="F22" s="65">
        <f>(F17+F21)*$C$6</f>
        <v/>
      </c>
      <c r="G22" s="65">
        <f>(G17+G21)*$C$6</f>
        <v/>
      </c>
    </row>
    <row r="23">
      <c r="B23" s="10" t="inlineStr">
        <is>
          <t>Overhead, profit &amp; insurance</t>
        </is>
      </c>
      <c r="C23" s="65">
        <f>(C17+C21+C22)*$C$7</f>
        <v/>
      </c>
      <c r="D23" s="65">
        <f>(D17+D21+D22)*$C$7</f>
        <v/>
      </c>
      <c r="E23" s="65">
        <f>(E17+E21+E22)*$C$7</f>
        <v/>
      </c>
      <c r="F23" s="65">
        <f>(F17+F21+F22)*$C$7</f>
        <v/>
      </c>
      <c r="G23" s="65">
        <f>(G17+G21+G22)*$C$7</f>
        <v/>
      </c>
    </row>
    <row r="24">
      <c r="B24" s="10" t="inlineStr">
        <is>
          <t>Contractor contingency</t>
        </is>
      </c>
      <c r="C24" s="65">
        <f>(C17+C21+C22+C23)*$C$8</f>
        <v/>
      </c>
      <c r="D24" s="65">
        <f>(D17+D21+D22+D23)*$C$8</f>
        <v/>
      </c>
      <c r="E24" s="65">
        <f>(E17+E21+E22+E23)*$C$8</f>
        <v/>
      </c>
      <c r="F24" s="65">
        <f>(F17+F21+F22+F23)*$C$8</f>
        <v/>
      </c>
      <c r="G24" s="65">
        <f>(G17+G21+G22+G23)*$C$8</f>
        <v/>
      </c>
    </row>
    <row r="25">
      <c r="B25" s="17" t="inlineStr">
        <is>
          <t>Subtotal before owner contingency</t>
        </is>
      </c>
      <c r="C25" s="66">
        <f>C17+C18+C19+C20+C21+C22+C23+C24</f>
        <v/>
      </c>
      <c r="D25" s="66">
        <f>D17+D18+D19+D20+D21+D22+D23+D24</f>
        <v/>
      </c>
      <c r="E25" s="66">
        <f>E17+E18+E19+E20+E21+E22+E23+E24</f>
        <v/>
      </c>
      <c r="F25" s="66">
        <f>F17+F18+F19+F20+F21+F22+F23+F24</f>
        <v/>
      </c>
      <c r="G25" s="66">
        <f>G17+G18+G19+G20+G21+G22+G23+G24</f>
        <v/>
      </c>
    </row>
    <row r="26">
      <c r="B26" s="10" t="inlineStr">
        <is>
          <t>Owner contingency</t>
        </is>
      </c>
      <c r="C26" s="65">
        <f>C25*$C$9</f>
        <v/>
      </c>
      <c r="D26" s="65">
        <f>D25*$C$9</f>
        <v/>
      </c>
      <c r="E26" s="65">
        <f>E25*$C$9</f>
        <v/>
      </c>
      <c r="F26" s="65">
        <f>F25*$C$9</f>
        <v/>
      </c>
      <c r="G26" s="65">
        <f>G25*$C$9</f>
        <v/>
      </c>
    </row>
    <row r="27" ht="18" customHeight="1">
      <c r="B27" s="17" t="inlineStr">
        <is>
          <t>TOTAL CAPITAL COST</t>
        </is>
      </c>
      <c r="C27" s="66">
        <f>C25+C26</f>
        <v/>
      </c>
      <c r="D27" s="66">
        <f>D25+D26</f>
        <v/>
      </c>
      <c r="E27" s="66">
        <f>E25+E26</f>
        <v/>
      </c>
      <c r="F27" s="66">
        <f>F25+F26</f>
        <v/>
      </c>
      <c r="G27" s="66">
        <f>G25+G26</f>
        <v/>
      </c>
    </row>
    <row r="29">
      <c r="B29" s="10" t="inlineStr">
        <is>
          <t>Cost per SF — on 74,100 footprint</t>
        </is>
      </c>
      <c r="C29" s="67">
        <f>C27/$C$11</f>
        <v/>
      </c>
      <c r="D29" s="67">
        <f>D27/$C$11</f>
        <v/>
      </c>
      <c r="E29" s="67">
        <f>E27/$C$11</f>
        <v/>
      </c>
      <c r="F29" s="67">
        <f>F27/$C$11</f>
        <v/>
      </c>
      <c r="G29" s="67">
        <f>G27/$C$11</f>
        <v/>
      </c>
    </row>
    <row r="30">
      <c r="B30" s="10" t="inlineStr">
        <is>
          <t>Cost per SF — on all floor area</t>
        </is>
      </c>
      <c r="C30" s="67">
        <f>C27/$C$12</f>
        <v/>
      </c>
      <c r="D30" s="67">
        <f>D27/$C$12</f>
        <v/>
      </c>
      <c r="E30" s="67">
        <f>E27/$C$12</f>
        <v/>
      </c>
      <c r="F30" s="67">
        <f>F27/$C$12</f>
        <v/>
      </c>
      <c r="G30" s="67">
        <f>G27/$C$12</f>
        <v/>
      </c>
    </row>
    <row r="31">
      <c r="B31" s="10" t="inlineStr">
        <is>
          <t>Cost per capacity unit</t>
        </is>
      </c>
      <c r="C31" s="67">
        <f>C27/$C$13</f>
        <v/>
      </c>
      <c r="D31" s="67">
        <f>D27/$C$13</f>
        <v/>
      </c>
      <c r="E31" s="67">
        <f>E27/$C$13</f>
        <v/>
      </c>
      <c r="F31" s="67">
        <f>F27/$C$13</f>
        <v/>
      </c>
      <c r="G31" s="67">
        <f>G27/$C$13</f>
        <v/>
      </c>
    </row>
    <row r="32">
      <c r="B32" s="3" t="inlineStr">
        <is>
          <t>Step up from the scenario to its left</t>
        </is>
      </c>
      <c r="C32" s="68">
        <f>"—"</f>
        <v/>
      </c>
      <c r="D32" s="68">
        <f>D27-BO27</f>
        <v/>
      </c>
      <c r="E32" s="68">
        <f>E27-BP27</f>
        <v/>
      </c>
      <c r="F32" s="68">
        <f>F27-BQ27</f>
        <v/>
      </c>
      <c r="G32" s="68">
        <f>G27-BR27</f>
        <v/>
      </c>
    </row>
    <row r="34">
      <c r="B34" s="5" t="inlineStr">
        <is>
          <t>MEMO — for comparison</t>
        </is>
      </c>
    </row>
    <row r="35">
      <c r="B35" s="10" t="inlineStr">
        <is>
          <t>Master Development Budget v1, as filed</t>
        </is>
      </c>
      <c r="C35" s="69" t="n">
        <v>42555099</v>
      </c>
      <c r="G35" s="12" t="inlineStr">
        <is>
          <t>Contains the $5.22M paver error and ~2/3 of trades at zero quantity. Not a usable number.</t>
        </is>
      </c>
    </row>
    <row r="36">
      <c r="B36" s="10" t="inlineStr">
        <is>
          <t>Same budget, paver error corrected only</t>
        </is>
      </c>
      <c r="C36" s="69" t="n">
        <v>35664970</v>
      </c>
      <c r="G36" s="12" t="inlineStr">
        <is>
          <t>What the filed schedule actually prices, before any missing scope is added back.</t>
        </is>
      </c>
    </row>
    <row r="37">
      <c r="B37" s="10" t="inlineStr">
        <is>
          <t>Underwriting base case</t>
        </is>
      </c>
      <c r="C37" s="69" t="n">
        <v>45000000</v>
      </c>
      <c r="G37" s="12" t="inlineStr">
        <is>
          <t>Of which $12,280,860 — 27.3% — was explicitly unallocated scope on its own reconciliation line.</t>
        </is>
      </c>
    </row>
    <row r="38">
      <c r="B38" s="10" t="inlineStr">
        <is>
          <t>Underwriting high case</t>
        </is>
      </c>
      <c r="C38" s="69" t="n">
        <v>65000000</v>
      </c>
      <c r="G38" s="12" t="inlineStr"/>
    </row>
    <row r="40">
      <c r="B40" s="22" t="inlineStr">
        <is>
          <t>THE POINT</t>
        </is>
      </c>
      <c r="C40" s="3">
        <f>("Shell and code alone is "&amp;TEXT(C27,"$#,##0")&amp;". Adding what it takes to trade brings it to "&amp;TEXT(D27,"$#,##0")&amp;". The lift adds "&amp;TEXT(E27-D27,"$#,##0")&amp;".")</f>
        <v/>
      </c>
    </row>
    <row r="42">
      <c r="B42" s="5" t="inlineStr">
        <is>
          <t>WHAT EACH STEP BUYS</t>
        </is>
      </c>
    </row>
    <row r="43" ht="50" customHeight="1">
      <c r="B43" s="10" t="inlineStr">
        <is>
          <t>•</t>
        </is>
      </c>
      <c r="C43" s="4" t="inlineStr">
        <is>
          <t>SHELL &amp; CODE — the building exists and passes code, and nothing more. Structure, envelope, roof, full MEP, fire protection and alarm, egress, bathrooms to code, abatement, ADA, permits and licensing soft costs. No stage, no bars, no audio, no acoustic treatment. You cannot trade from here, but you can get a Certificate of Occupancy.</t>
        </is>
      </c>
    </row>
    <row r="44" ht="62.5" customHeight="1">
      <c r="B44" s="10" t="inlineStr">
        <is>
          <t>•</t>
        </is>
      </c>
      <c r="C44" s="4" t="inlineStr">
        <is>
          <t>BASE — the cheapest room that legally opens. Full structure, full MEP, full life safety, acoustic treatment, ground-supported stage and towers, mezzanine, six bars, bathrooms to code, and removable theatre seating on the mezzanine for the classification. Finishes are sealed concrete and exposed painted structure. No roof decks, no restaurant or kitchen (a separate company runs it), no VIP lounge, no architectural lighting, no art.</t>
        </is>
      </c>
    </row>
    <row r="45" ht="37.5" customHeight="1">
      <c r="B45" s="10" t="inlineStr">
        <is>
          <t>•</t>
        </is>
      </c>
      <c r="C45" s="4" t="inlineStr">
        <is>
          <t>BASE + LIFT — the same room, taller. With a ground-supported stage the lift no longer buys rigging capacity; it buys volume, LED headroom, sightlines and the feel of the room. Use the Roof Lift sheet to dial the height: 35-40 ft may get you most of it for materially less than 50.</t>
        </is>
      </c>
    </row>
    <row r="46" ht="37.5" customHeight="1">
      <c r="B46" s="10" t="inlineStr">
        <is>
          <t>•</t>
        </is>
      </c>
      <c r="C46" s="4" t="inlineStr">
        <is>
          <t>ELEVATED — restores the full fit-out at the same scope: nine bars rather than six, tile and resilient flooring instead of sealed concrete, four-stop lifts, the full signage package, VIP lounge and a proper finish standard throughout.</t>
        </is>
      </c>
    </row>
    <row r="47" ht="25" customHeight="1">
      <c r="B47" s="10" t="inlineStr">
        <is>
          <t>•</t>
        </is>
      </c>
      <c r="C47" s="4" t="inlineStr">
        <is>
          <t>PREMIUM — adds the things the concept does not need: roof decks and terraces, the restaurant, the $1.75M architectural lighting package, interior art and scenic, and the parking garage.</t>
        </is>
      </c>
    </row>
    <row r="48" ht="37.5" customHeight="1">
      <c r="B48" s="10" t="inlineStr">
        <is>
          <t>•</t>
        </is>
      </c>
      <c r="C48" s="23" t="inlineStr">
        <is>
          <t>THEATRE SEATING STAYS IN EVERY SCENARIO. The seating and the technical drawings that show it are what classify the room as a theater, and that classification carries the liquor and cabaret licences. It is repriced from $125 to $25 a seat per MT H127, saving $371,400 — but it is never deleted.</t>
        </is>
      </c>
    </row>
    <row r="49" ht="25" customHeight="1">
      <c r="B49" s="10" t="inlineStr">
        <is>
          <t>•</t>
        </is>
      </c>
      <c r="C49" s="4" t="inlineStr">
        <is>
          <t>What it keeps: the volume, the lift, a ground-supported stage and tower system, the mezzanine, bars, bathrooms to code, full life safety, full MEP, acoustic treatment, and the production rig.</t>
        </is>
      </c>
    </row>
  </sheetData>
  <mergeCells count="8">
    <mergeCell ref="C49:G49"/>
    <mergeCell ref="C43:G43"/>
    <mergeCell ref="C46:G46"/>
    <mergeCell ref="C47:G47"/>
    <mergeCell ref="C44:G44"/>
    <mergeCell ref="C45:G45"/>
    <mergeCell ref="C40:G40"/>
    <mergeCell ref="C48:G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26"/>
  <sheetViews>
    <sheetView workbookViewId="0">
      <selection activeCell="A1" sqref="A1"/>
    </sheetView>
  </sheetViews>
  <sheetFormatPr baseColWidth="8" defaultRowHeight="15"/>
  <cols>
    <col width="3" customWidth="1" min="1" max="1"/>
    <col width="42" customWidth="1" min="2" max="2"/>
    <col width="15" customWidth="1" min="3" max="3"/>
    <col width="15" customWidth="1" min="4" max="4"/>
    <col width="13" customWidth="1" min="5" max="5"/>
    <col width="13" customWidth="1" min="6" max="6"/>
    <col width="78" customWidth="1" min="7" max="7"/>
  </cols>
  <sheetData>
    <row r="2">
      <c r="B2" s="1" t="inlineStr">
        <is>
          <t>HOW TO GET THE NUMBER DOWN</t>
        </is>
      </c>
    </row>
    <row r="3">
      <c r="B3" s="2" t="inlineStr">
        <is>
          <t>Ranked by size. Everything here is a construction-cost lever — scope, procurement, delivery method or tax.</t>
        </is>
      </c>
    </row>
    <row r="5" ht="28" customHeight="1">
      <c r="B5" s="14" t="inlineStr">
        <is>
          <t>Lever</t>
        </is>
      </c>
      <c r="C5" s="14" t="inlineStr">
        <is>
          <t>Saving (low)</t>
        </is>
      </c>
      <c r="D5" s="14" t="inlineStr">
        <is>
          <t>Saving (high)</t>
        </is>
      </c>
      <c r="E5" s="14" t="inlineStr">
        <is>
          <t>Certainty</t>
        </is>
      </c>
      <c r="F5" s="14" t="inlineStr">
        <is>
          <t>Costs us</t>
        </is>
      </c>
      <c r="G5" s="14" t="inlineStr">
        <is>
          <t>What it is and what it takes</t>
        </is>
      </c>
    </row>
    <row r="6">
      <c r="B6" s="48" t="inlineStr">
        <is>
          <t>Correct the paver unit-price error</t>
        </is>
      </c>
      <c r="C6" s="70" t="n">
        <v>6890129</v>
      </c>
      <c r="D6" s="70" t="n">
        <v>6890129</v>
      </c>
      <c r="E6" s="49" t="inlineStr">
        <is>
          <t>Certain</t>
        </is>
      </c>
      <c r="F6" s="31" t="inlineStr">
        <is>
          <t>Nothing</t>
        </is>
      </c>
      <c r="G6" s="36" t="inlineStr">
        <is>
          <t>CSI 075000 row 193: 1,592 SF at $3,312.50/SF where the lines above and below are $31/SF. Change one cell and the cascade through 9% OH&amp;P, 10% contractor contingency and 10% owner contingency unwinds. This is not a saving so much as a correction — but it is the single largest number on this sheet and it costs nothing.</t>
        </is>
      </c>
    </row>
    <row r="7">
      <c r="B7" s="48" t="inlineStr">
        <is>
          <t>Leave the roof at 20ft</t>
        </is>
      </c>
      <c r="C7" s="70" t="n">
        <v>15500000</v>
      </c>
      <c r="D7" s="70" t="n">
        <v>19000000</v>
      </c>
      <c r="E7" s="49" t="inlineStr">
        <is>
          <t>Certain</t>
        </is>
      </c>
      <c r="F7" s="31" t="inlineStr">
        <is>
          <t>A lot</t>
        </is>
      </c>
      <c r="G7" s="36" t="inlineStr">
        <is>
          <t>The Tier R delta, all-in. Capacity is unaffected — 7,440 works at either height, it is driven by floor area and egress. What you lose is the production ceiling: no full concert lighting rig, no flown stage, no aerial, limited LED, worse HVAC at volume. It also removes the entire premium-positioning argument. Decide this one on strategy, not on cost.</t>
        </is>
      </c>
    </row>
    <row r="8">
      <c r="B8" s="48" t="inlineStr">
        <is>
          <t>Competitively bid every trade package</t>
        </is>
      </c>
      <c r="C8" s="70" t="n">
        <v>1600000</v>
      </c>
      <c r="D8" s="70" t="n">
        <v>3200000</v>
      </c>
      <c r="E8" s="50" t="inlineStr">
        <is>
          <t>High</t>
        </is>
      </c>
      <c r="F8" s="31" t="inlineStr">
        <is>
          <t>Time</t>
        </is>
      </c>
      <c r="G8" s="36" t="inlineStr">
        <is>
          <t>This is a Version 1 desktop estimate: Committed Costs $0, Invoices $0, Change Orders $0. Nothing has been bought. Three-bidding a $32M trade schedule in this market typically returns 5-10% against a first-pass estimate. Nothing else on this sheet is as reliable.</t>
        </is>
      </c>
    </row>
    <row r="9">
      <c r="B9" s="48" t="inlineStr">
        <is>
          <t>NYC IDA / ICAP sales-tax exemption on materials</t>
        </is>
      </c>
      <c r="C9" s="70" t="n">
        <v>1100000</v>
      </c>
      <c r="D9" s="70" t="n">
        <v>1500000</v>
      </c>
      <c r="E9" s="51" t="inlineStr">
        <is>
          <t>Verify</t>
        </is>
      </c>
      <c r="F9" s="31" t="inlineStr">
        <is>
          <t>Application</t>
        </is>
      </c>
      <c r="G9" s="36" t="inlineStr">
        <is>
          <t>NYC industrial and commercial incentive programmes can exempt construction materials from the 8.875% sales tax. On a $32M trade schedule with roughly 45% materials content that is ~$1.3M. Requires an IDA application and eligibility confirmation — start it before buyout, not after. VERIFY eligibility with counsel.</t>
        </is>
      </c>
    </row>
    <row r="10">
      <c r="B10" s="48" t="inlineStr">
        <is>
          <t>Owner-furnish major equipment direct</t>
        </is>
      </c>
      <c r="C10" s="70" t="n">
        <v>900000</v>
      </c>
      <c r="D10" s="70" t="n">
        <v>1400000</v>
      </c>
      <c r="E10" s="50" t="inlineStr">
        <is>
          <t>High</t>
        </is>
      </c>
      <c r="F10" s="31" t="inlineStr">
        <is>
          <t>Coordination</t>
        </is>
      </c>
      <c r="G10" s="36" t="inlineStr">
        <is>
          <t>Buying switchgear, HVAC plant, elevators and production systems direct avoids the 9% OH&amp;P and 10% contractor contingency stacked on them inside the trade schedule — roughly 20% on ~$6M of equipment. You take the delivery and warranty risk in exchange.</t>
        </is>
      </c>
    </row>
    <row r="11">
      <c r="B11" s="48" t="inlineStr">
        <is>
          <t>Early buyout of steel and switchgear</t>
        </is>
      </c>
      <c r="C11" s="70" t="n">
        <v>800000</v>
      </c>
      <c r="D11" s="70" t="n">
        <v>1600000</v>
      </c>
      <c r="E11" s="50" t="inlineStr">
        <is>
          <t>High</t>
        </is>
      </c>
      <c r="F11" s="31" t="inlineStr">
        <is>
          <t>Cash earlier</t>
        </is>
      </c>
      <c r="G11" s="36" t="inlineStr">
        <is>
          <t>Locks the two longest-lead, most escalation-exposed packages against the 10% escalation assumption. Con Ed switchgear lead times are also the single biggest schedule risk in the job, so this buys programme as well as price.</t>
        </is>
      </c>
    </row>
    <row r="12">
      <c r="B12" s="48" t="inlineStr">
        <is>
          <t>Open-book GMP with shared savings</t>
        </is>
      </c>
      <c r="C12" s="70" t="n">
        <v>600000</v>
      </c>
      <c r="D12" s="70" t="n">
        <v>1300000</v>
      </c>
      <c r="E12" s="52" t="inlineStr">
        <is>
          <t>Medium</t>
        </is>
      </c>
      <c r="F12" s="31" t="inlineStr">
        <is>
          <t>Negotiation</t>
        </is>
      </c>
      <c r="G12" s="36" t="inlineStr">
        <is>
          <t>The filed structure is a fixed 9% overhead, profit and insurance plus a 10% contractor contingency the contractor keeps. An open-book GMP with a shared-savings split returns unspent contingency instead of leaving it on the table. Typically worth 2-4% of trade cost.</t>
        </is>
      </c>
    </row>
    <row r="13">
      <c r="B13" s="48" t="inlineStr">
        <is>
          <t>Re-use the existing roof and electrical service</t>
        </is>
      </c>
      <c r="C13" s="70" t="n">
        <v>600000</v>
      </c>
      <c r="D13" s="70" t="n">
        <v>2500000</v>
      </c>
      <c r="E13" s="51" t="inlineStr">
        <is>
          <t>Verify</t>
        </is>
      </c>
      <c r="F13" s="31" t="inlineStr">
        <is>
          <t>Nothing</t>
        </is>
      </c>
      <c r="G13" s="36" t="inlineStr">
        <is>
          <t>The structural and MEP assessment is still PENDING. If the precast roof is sound and the existing service can be uprated rather than replaced, the 74,000 SF roof demo ($1.11M) and part of the $1.4M Con Ed scope come out. This is the highest-value item on the pending due-diligence list — get the assessment done before buyout.</t>
        </is>
      </c>
    </row>
    <row r="14">
      <c r="B14" s="48" t="inlineStr">
        <is>
          <t>Outsource the kitchen and restaurant</t>
        </is>
      </c>
      <c r="C14" s="70" t="n">
        <v>400000</v>
      </c>
      <c r="D14" s="70" t="n">
        <v>600000</v>
      </c>
      <c r="E14" s="50" t="inlineStr">
        <is>
          <t>High</t>
        </is>
      </c>
      <c r="F14" s="31" t="inlineStr">
        <is>
          <t>Margin share</t>
        </is>
      </c>
      <c r="G14" s="36" t="inlineStr">
        <is>
          <t>MT I49 and I154. Removes the kitchen equipment, the $135k of kitchen plumbing roughing, the gas run, hood fire suppression, grease waste and the restaurant furniture. The operator funds their own fit-out. Bars stay ours either way.</t>
        </is>
      </c>
    </row>
    <row r="15">
      <c r="B15" s="48" t="inlineStr">
        <is>
          <t>NYSERDA and Con Ed C&amp;I incentives</t>
        </is>
      </c>
      <c r="C15" s="70" t="n">
        <v>200000</v>
      </c>
      <c r="D15" s="70" t="n">
        <v>600000</v>
      </c>
      <c r="E15" s="51" t="inlineStr">
        <is>
          <t>Verify</t>
        </is>
      </c>
      <c r="F15" s="31" t="inlineStr">
        <is>
          <t>Application</t>
        </is>
      </c>
      <c r="G15" s="36" t="inlineStr">
        <is>
          <t>HVAC plant and lighting on a build this size normally qualifies for New York State and utility efficiency incentives. Has to be applied for during design, not after installation. VERIFY current programme availability.</t>
        </is>
      </c>
    </row>
    <row r="16">
      <c r="B16" s="48" t="inlineStr">
        <is>
          <t>Cut architectural lighting to a defensible number</t>
        </is>
      </c>
      <c r="C16" s="70" t="n">
        <v>1000000</v>
      </c>
      <c r="D16" s="70" t="n">
        <v>1000000</v>
      </c>
      <c r="E16" s="50" t="inlineStr">
        <is>
          <t>High</t>
        </is>
      </c>
      <c r="F16" s="31" t="inlineStr">
        <is>
          <t>Kerb appeal</t>
        </is>
      </c>
      <c r="G16" s="36" t="inlineStr">
        <is>
          <t>MT H313. A single unsupported $1,750,000 lump at 3.4x the performance-lighting budget. Take it to ~$750k and move some of it to production lighting where it earns.</t>
        </is>
      </c>
    </row>
    <row r="17">
      <c r="B17" s="48" t="inlineStr">
        <is>
          <t>Stop taking contingency on contingency</t>
        </is>
      </c>
      <c r="C17" s="70" t="n">
        <v>220000</v>
      </c>
      <c r="D17" s="70" t="n">
        <v>220000</v>
      </c>
      <c r="E17" s="49" t="inlineStr">
        <is>
          <t>Certain</t>
        </is>
      </c>
      <c r="F17" s="31" t="inlineStr">
        <is>
          <t>Nothing</t>
        </is>
      </c>
      <c r="G17" s="36" t="inlineStr">
        <is>
          <t>The 10% owner contingency is calculated on a subtotal that already contains the contractor 10%. Base the owner contingency on the pre-contractor-contingency figure instead.</t>
        </is>
      </c>
    </row>
    <row r="18">
      <c r="B18" s="48" t="inlineStr">
        <is>
          <t>Phased Certificate of Occupancy</t>
        </is>
      </c>
      <c r="C18" s="70" t="n">
        <v>0</v>
      </c>
      <c r="D18" s="70" t="n">
        <v>0</v>
      </c>
      <c r="E18" s="52" t="inlineStr">
        <is>
          <t>Medium</t>
        </is>
      </c>
      <c r="F18" s="31" t="inlineStr">
        <is>
          <t>Programme risk</t>
        </is>
      </c>
      <c r="G18" s="36" t="inlineStr">
        <is>
          <t>Open the main hall and complete the mezzanine, roof decks and VIP later. Defers rather than saves — and doing finish work in a live venue costs a premium (see Phase 2 Add-Backs). Use it for cash timing, not for savings.</t>
        </is>
      </c>
    </row>
    <row r="19">
      <c r="B19" s="17" t="inlineStr">
        <is>
          <t>TOTAL — every lever taken</t>
        </is>
      </c>
      <c r="C19" s="66">
        <f>SUM(C6:C18)</f>
        <v/>
      </c>
      <c r="D19" s="66">
        <f>SUM(D6:D18)</f>
        <v/>
      </c>
      <c r="E19" s="46" t="n"/>
      <c r="F19" s="46" t="n"/>
      <c r="G19" s="47" t="inlineStr">
        <is>
          <t>Not additive in practice — the roof decision and the re-use decision overlap, and bidding may capture some of the same value as buyout.</t>
        </is>
      </c>
    </row>
    <row r="20">
      <c r="B20" s="3" t="inlineStr">
        <is>
          <t>Excluding the roof decision</t>
        </is>
      </c>
      <c r="C20" s="68">
        <f>C19-C7</f>
        <v/>
      </c>
      <c r="D20" s="68">
        <f>D19-D7</f>
        <v/>
      </c>
      <c r="G20" s="2" t="inlineStr">
        <is>
          <t>What is available WITHOUT giving up the 50ft ceiling.</t>
        </is>
      </c>
    </row>
    <row r="22">
      <c r="B22" s="5" t="inlineStr">
        <is>
          <t>CERTAINTY KEY</t>
        </is>
      </c>
    </row>
    <row r="23">
      <c r="B23" s="3" t="inlineStr">
        <is>
          <t xml:space="preserve">  Certain</t>
        </is>
      </c>
      <c r="C23" s="4" t="inlineStr">
        <is>
          <t>Arithmetic. The money is there the moment someone edits the cell or changes the calculation basis.</t>
        </is>
      </c>
    </row>
    <row r="24">
      <c r="B24" s="3" t="inlineStr">
        <is>
          <t xml:space="preserve">  High</t>
        </is>
      </c>
      <c r="C24" s="4" t="inlineStr">
        <is>
          <t>Standard market practice on a job this size. Would be surprising not to achieve it.</t>
        </is>
      </c>
    </row>
    <row r="25">
      <c r="B25" s="3" t="inlineStr">
        <is>
          <t xml:space="preserve">  Medium</t>
        </is>
      </c>
      <c r="C25" s="4" t="inlineStr">
        <is>
          <t>Achievable but depends on how the contract and programme are structured.</t>
        </is>
      </c>
    </row>
    <row r="26">
      <c r="B26" s="3" t="inlineStr">
        <is>
          <t xml:space="preserve">  Verify</t>
        </is>
      </c>
      <c r="C26" s="4" t="inlineStr">
        <is>
          <t>Real money, but conditional on eligibility or on a survey that has not been done yet. Do not put these in a board number until confirmed.</t>
        </is>
      </c>
    </row>
  </sheetData>
  <mergeCells count="4">
    <mergeCell ref="C24:G24"/>
    <mergeCell ref="C25:G25"/>
    <mergeCell ref="C26:G26"/>
    <mergeCell ref="C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22"/>
  <sheetViews>
    <sheetView workbookViewId="0">
      <selection activeCell="A1" sqref="A1"/>
    </sheetView>
  </sheetViews>
  <sheetFormatPr baseColWidth="8" defaultRowHeight="15"/>
  <cols>
    <col width="3" customWidth="1" min="1" max="1"/>
    <col width="44" customWidth="1" min="2" max="2"/>
    <col width="16" customWidth="1" min="3" max="3"/>
    <col width="16" customWidth="1" min="4" max="4"/>
    <col width="14" customWidth="1" min="5" max="5"/>
    <col width="80" customWidth="1" min="6" max="6"/>
  </cols>
  <sheetData>
    <row r="2">
      <c r="B2" s="1" t="inlineStr">
        <is>
          <t>WHAT THE EXTRAS COST</t>
        </is>
      </c>
    </row>
    <row r="3">
      <c r="B3" s="2" t="inlineStr">
        <is>
          <t>Everything outside Scenario 2. Cost now, cost later, and the premium for doing it in a building that is already open.</t>
        </is>
      </c>
    </row>
    <row r="5" ht="28" customHeight="1">
      <c r="B5" s="14" t="inlineStr">
        <is>
          <t>Item</t>
        </is>
      </c>
      <c r="C5" s="14" t="inlineStr">
        <is>
          <t>Cost if built now</t>
        </is>
      </c>
      <c r="D5" s="14" t="inlineStr">
        <is>
          <t>Cost if added later</t>
        </is>
      </c>
      <c r="E5" s="14" t="inlineStr">
        <is>
          <t>Later premium</t>
        </is>
      </c>
      <c r="F5" s="14" t="inlineStr">
        <is>
          <t>Why the premium, and what it buys</t>
        </is>
      </c>
    </row>
    <row r="6">
      <c r="B6" s="44" t="inlineStr">
        <is>
          <t>50ft roof raise — all Tier R scope</t>
        </is>
      </c>
      <c r="C6" s="70" t="n">
        <v>15500000</v>
      </c>
      <c r="D6" s="71">
        <f>C6*E6</f>
        <v/>
      </c>
      <c r="E6" s="72" t="n">
        <v>1.6</v>
      </c>
      <c r="F6" s="36" t="inlineStr">
        <is>
          <t>Cannot realistically be done later at all. Raising a roof over a finished venue means gutting it: the room closes for a year, the rig and finishes come out, and every trade is re-mobilised. Treat this as now-or-never rather than as a phase.</t>
        </is>
      </c>
    </row>
    <row r="7">
      <c r="B7" s="44" t="inlineStr">
        <is>
          <t>Roof terrace decks &amp; membranes</t>
        </is>
      </c>
      <c r="C7" s="70" t="n">
        <v>512128</v>
      </c>
      <c r="D7" s="71">
        <f>C7*E7</f>
        <v/>
      </c>
      <c r="E7" s="72" t="n">
        <v>1.35</v>
      </c>
      <c r="F7" s="36" t="inlineStr">
        <is>
          <t>Structure and waterproofing are accessible now and awkward later. Crane access and roof loading are both easier before the building is occupied.</t>
        </is>
      </c>
    </row>
    <row r="8">
      <c r="B8" s="44" t="inlineStr">
        <is>
          <t>Roof deck storefront &amp; access doors</t>
        </is>
      </c>
      <c r="C8" s="70" t="n">
        <v>175000</v>
      </c>
      <c r="D8" s="71">
        <f>C8*E8</f>
        <v/>
      </c>
      <c r="E8" s="72" t="n">
        <v>1.3</v>
      </c>
      <c r="F8" s="36" t="inlineStr">
        <is>
          <t>Envelope penetrations in an operating building. Weather protection and out-of-hours working.</t>
        </is>
      </c>
    </row>
    <row r="9">
      <c r="B9" s="44" t="inlineStr">
        <is>
          <t>LED video walls (upstage + overhead)</t>
        </is>
      </c>
      <c r="C9" s="70" t="n">
        <v>1500000</v>
      </c>
      <c r="D9" s="71">
        <f>C9*E9</f>
        <v/>
      </c>
      <c r="E9" s="72" t="n">
        <v>1</v>
      </c>
      <c r="F9" s="36" t="inlineStr">
        <is>
          <t>No premium — genuinely modular. Rigging steel must be in from day one, but the walls themselves drop in whenever. This is the cleanest deferral in the whole budget.</t>
        </is>
      </c>
    </row>
    <row r="10">
      <c r="B10" s="44" t="inlineStr">
        <is>
          <t>Displays &amp; distribution</t>
        </is>
      </c>
      <c r="C10" s="70" t="n">
        <v>200000</v>
      </c>
      <c r="D10" s="71">
        <f>C10*E10</f>
        <v/>
      </c>
      <c r="E10" s="72" t="n">
        <v>1</v>
      </c>
      <c r="F10" s="36" t="inlineStr">
        <is>
          <t>No premium. Rentable per show in the meantime.</t>
        </is>
      </c>
    </row>
    <row r="11">
      <c r="B11" s="44" t="inlineStr">
        <is>
          <t>Architectural &amp; exterior lighting</t>
        </is>
      </c>
      <c r="C11" s="70" t="n">
        <v>750000</v>
      </c>
      <c r="D11" s="71">
        <f>C11*E11</f>
        <v/>
      </c>
      <c r="E11" s="72" t="n">
        <v>1.2</v>
      </c>
      <c r="F11" s="36" t="inlineStr">
        <is>
          <t>Exterior work needs access equipment and possibly a sidewalk shed again. Interior architectural lighting means working at height over a finished floor.</t>
        </is>
      </c>
    </row>
    <row r="12">
      <c r="B12" s="44" t="inlineStr">
        <is>
          <t>Restaurant &amp; kitchen fit-out</t>
        </is>
      </c>
      <c r="C12" s="70" t="n">
        <v>215000</v>
      </c>
      <c r="D12" s="71">
        <f>C12*E12</f>
        <v/>
      </c>
      <c r="E12" s="72" t="n">
        <v>1.25</v>
      </c>
      <c r="F12" s="36" t="inlineStr">
        <is>
          <t>If outsourced this becomes the operator's capital and the premium is theirs, not ours. Only relevant if we build it.</t>
        </is>
      </c>
    </row>
    <row r="13">
      <c r="B13" s="44" t="inlineStr">
        <is>
          <t>Restaurant, VIP and roof furniture</t>
        </is>
      </c>
      <c r="C13" s="70" t="n">
        <v>290000</v>
      </c>
      <c r="D13" s="71">
        <f>C13*E13</f>
        <v/>
      </c>
      <c r="E13" s="72" t="n">
        <v>1</v>
      </c>
      <c r="F13" s="36" t="inlineStr">
        <is>
          <t>No premium. Furniture is furniture.</t>
        </is>
      </c>
    </row>
    <row r="14">
      <c r="B14" s="44" t="inlineStr">
        <is>
          <t>Interior art, decor and murals</t>
        </is>
      </c>
      <c r="C14" s="70" t="n">
        <v>250000</v>
      </c>
      <c r="D14" s="71">
        <f>C14*E14</f>
        <v/>
      </c>
      <c r="E14" s="72" t="n">
        <v>1.1</v>
      </c>
      <c r="F14" s="36" t="inlineStr">
        <is>
          <t>MT I55: "Can be done after". Correct — and it works better once the room is finished and you can see what it needs.</t>
        </is>
      </c>
    </row>
    <row r="15">
      <c r="B15" s="44" t="inlineStr">
        <is>
          <t>Theatre GA seating (3,714 chairs)</t>
        </is>
      </c>
      <c r="C15" s="70" t="n">
        <v>92850</v>
      </c>
      <c r="D15" s="71">
        <f>C15*E15</f>
        <v/>
      </c>
      <c r="E15" s="72" t="n">
        <v>1</v>
      </c>
      <c r="F15" s="36" t="inlineStr">
        <is>
          <t>No premium. Rent until seated shows justify buying.</t>
        </is>
      </c>
    </row>
    <row r="16">
      <c r="B16" s="44" t="inlineStr">
        <is>
          <t>Parking garage</t>
        </is>
      </c>
      <c r="C16" s="70" t="n">
        <v>2257500</v>
      </c>
      <c r="D16" s="71">
        <f>C16*E16</f>
        <v/>
      </c>
      <c r="E16" s="72" t="n">
        <v>1.15</v>
      </c>
      <c r="F16" s="36" t="inlineStr">
        <is>
          <t>Standalone off-site structure. Independent of the building programme — but confirm whose scope it is before pricing it at all.</t>
        </is>
      </c>
    </row>
    <row r="17">
      <c r="B17" s="17" t="inlineStr">
        <is>
          <t>TOTAL</t>
        </is>
      </c>
      <c r="C17" s="66">
        <f>SUM(C6:C16)</f>
        <v/>
      </c>
      <c r="D17" s="66">
        <f>SUM(D6:D16)</f>
        <v/>
      </c>
      <c r="E17" s="73">
        <f>D17/C17</f>
        <v/>
      </c>
      <c r="F17" s="55" t="inlineStr">
        <is>
          <t>Blended premium for deferring everything.</t>
        </is>
      </c>
    </row>
    <row r="19">
      <c r="B19" s="22" t="inlineStr">
        <is>
          <t>THE ONLY REAL DEADLINE</t>
        </is>
      </c>
    </row>
    <row r="20" ht="14" customHeight="1">
      <c r="B20" s="10" t="inlineStr">
        <is>
          <t>•</t>
        </is>
      </c>
      <c r="C20" s="4" t="inlineStr">
        <is>
          <t>Two things must be decided before construction starts and cannot be revisited: the roof height, and the rigging steel.</t>
        </is>
      </c>
    </row>
    <row r="21" ht="37.5" customHeight="1">
      <c r="B21" s="10" t="inlineStr">
        <is>
          <t>•</t>
        </is>
      </c>
      <c r="C21" s="4" t="inlineStr">
        <is>
          <t>Everything else on this sheet can wait. LED walls, displays, furniture, art, seating and the roof decks all carry little or no penalty for being added later — provided the STRUCTURE to hang and support them is built now. Steel is cheap while the building is open and ruinous afterwards.</t>
        </is>
      </c>
    </row>
    <row r="22" ht="14" customHeight="1">
      <c r="B22" s="10" t="inlineStr">
        <is>
          <t>•</t>
        </is>
      </c>
      <c r="C22" s="4" t="inlineStr">
        <is>
          <t>So the cost-down strategy is: build all the structure, defer all the finish and all the kit.</t>
        </is>
      </c>
    </row>
  </sheetData>
  <mergeCells count="3">
    <mergeCell ref="C22:F22"/>
    <mergeCell ref="C21:F21"/>
    <mergeCell ref="C20:F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43"/>
  <sheetViews>
    <sheetView workbookViewId="0">
      <selection activeCell="A1" sqref="A1"/>
    </sheetView>
  </sheetViews>
  <sheetFormatPr baseColWidth="8" defaultRowHeight="15"/>
  <cols>
    <col width="3" customWidth="1" min="1" max="1"/>
    <col width="34" customWidth="1" min="2" max="2"/>
    <col width="12" customWidth="1" min="3" max="3"/>
    <col width="10" customWidth="1" min="4" max="4"/>
    <col width="16" customWidth="1" min="5" max="5"/>
    <col width="4" customWidth="1" min="6" max="6"/>
    <col width="74" customWidth="1" min="7" max="7"/>
  </cols>
  <sheetData>
    <row r="2">
      <c r="B2" s="1" t="inlineStr">
        <is>
          <t>THE ROOF LIFT</t>
        </is>
      </c>
    </row>
    <row r="3">
      <c r="B3" s="2" t="inlineStr">
        <is>
          <t>Its own model, because it is the biggest single variable and it is now a DIAL, not a switch.</t>
        </is>
      </c>
    </row>
    <row r="5" ht="30" customHeight="1">
      <c r="B5" s="4" t="inlineStr">
        <is>
          <t>With a ground-supported stage and mezzanine (Factory Town style) the roof carries no rigging load. Height now buys volume, sightlines, LED headroom and HVAC stratification — not tonnage. So the question stops being "50 ft or nothing" and becomes "how much height does the room need".</t>
        </is>
      </c>
    </row>
    <row r="6">
      <c r="B6" s="5" t="inlineStr">
        <is>
          <t>INPUTS — edit the yellow cells</t>
        </is>
      </c>
    </row>
    <row r="7">
      <c r="B7" s="10" t="inlineStr">
        <is>
          <t>Building footprint (SF, under roof)</t>
        </is>
      </c>
      <c r="E7" s="13" t="n">
        <v>74100</v>
      </c>
      <c r="G7" s="12" t="inlineStr">
        <is>
          <t>Your figure. The mezzanine sits INSIDE this — it does not change the envelope.</t>
        </is>
      </c>
    </row>
    <row r="8">
      <c r="B8" s="10" t="inlineStr">
        <is>
          <t>Existing clear height (ft)</t>
        </is>
      </c>
      <c r="E8" s="13" t="n">
        <v>20</v>
      </c>
      <c r="G8" s="12" t="inlineStr">
        <is>
          <t>Per the underwriting: roof raise "~20 -&gt; 50 ft".</t>
        </is>
      </c>
    </row>
    <row r="9">
      <c r="B9" s="10" t="inlineStr">
        <is>
          <t>Target clear height (ft)</t>
        </is>
      </c>
      <c r="E9" s="13" t="n">
        <v>50</v>
      </c>
      <c r="G9" s="12" t="inlineStr">
        <is>
          <t>THE DIAL. Try 35-40: enough for a ground-supported tower system plus LED at 7,440 cap.</t>
        </is>
      </c>
    </row>
    <row r="10">
      <c r="B10" s="10" t="inlineStr">
        <is>
          <t>Lift height (ft)</t>
        </is>
      </c>
      <c r="E10" s="24">
        <f>E9-E8</f>
        <v/>
      </c>
      <c r="G10" s="12" t="inlineStr">
        <is>
          <t>Target less existing.</t>
        </is>
      </c>
    </row>
    <row r="11">
      <c r="B11" s="10" t="inlineStr">
        <is>
          <t>Perimeter (LF)</t>
        </is>
      </c>
      <c r="E11" s="24">
        <f>4*SQRT(E7)</f>
        <v/>
      </c>
      <c r="G11" s="12" t="inlineStr">
        <is>
          <t>Approximated as a square footprint. Override with the real survey figure.</t>
        </is>
      </c>
    </row>
    <row r="12">
      <c r="B12" s="10" t="inlineStr">
        <is>
          <t>Roof steel (lb/SF)</t>
        </is>
      </c>
      <c r="E12" s="13" t="n">
        <v>15</v>
      </c>
      <c r="G12" s="12" t="inlineStr">
        <is>
          <t>15 with a ground-supported stage. Use 20+ ONLY if the roof must carry rigging.</t>
        </is>
      </c>
    </row>
    <row r="13">
      <c r="B13" s="5" t="inlineStr">
        <is>
          <t>COST BUILD-UP — at the estimator's own unit rates</t>
        </is>
      </c>
    </row>
    <row r="14">
      <c r="B14" s="10" t="inlineStr">
        <is>
          <t>Demolish existing roof, deck &amp; framing</t>
        </is>
      </c>
      <c r="C14" s="25">
        <f>E7</f>
        <v/>
      </c>
      <c r="D14" s="26" t="inlineStr">
        <is>
          <t>SF</t>
        </is>
      </c>
      <c r="E14" s="71">
        <f>E7*15</f>
        <v/>
      </c>
      <c r="G14" s="12" t="inlineStr">
        <is>
          <t>File rate $15/SF. Your 74,100 SF footprint.</t>
        </is>
      </c>
    </row>
    <row r="15">
      <c r="B15" s="10" t="inlineStr">
        <is>
          <t>Temporary roof during construction</t>
        </is>
      </c>
      <c r="C15" s="25">
        <f>E7</f>
        <v/>
      </c>
      <c r="D15" s="26" t="inlineStr">
        <is>
          <t>SF</t>
        </is>
      </c>
      <c r="E15" s="71">
        <f>E7*5</f>
        <v/>
      </c>
      <c r="G15" s="12" t="inlineStr">
        <is>
          <t>File rate $5/SF.</t>
        </is>
      </c>
    </row>
    <row r="16">
      <c r="B16" s="10" t="inlineStr">
        <is>
          <t>New roof trusses, girders &amp; columns</t>
        </is>
      </c>
      <c r="C16" s="25">
        <f>E7*E12/2000</f>
        <v/>
      </c>
      <c r="D16" s="26" t="inlineStr">
        <is>
          <t>TON</t>
        </is>
      </c>
      <c r="E16" s="71">
        <f>E7*E12/2000*6000</f>
        <v/>
      </c>
      <c r="G16" s="12" t="inlineStr">
        <is>
          <t>File rate $6,000/ton. NO rigging capacity — the stage stands on the slab.</t>
        </is>
      </c>
    </row>
    <row r="17">
      <c r="B17" s="10" t="inlineStr">
        <is>
          <t>Fireproofing on new roof steel</t>
        </is>
      </c>
      <c r="C17" s="25">
        <f>E7</f>
        <v/>
      </c>
      <c r="D17" s="26" t="inlineStr">
        <is>
          <t>SF</t>
        </is>
      </c>
      <c r="E17" s="71">
        <f>E7*5</f>
        <v/>
      </c>
      <c r="G17" s="12" t="inlineStr">
        <is>
          <t>File rate $5/SF. NYC-required on new structural steel.</t>
        </is>
      </c>
    </row>
    <row r="18">
      <c r="B18" s="10" t="inlineStr">
        <is>
          <t>New roof membrane</t>
        </is>
      </c>
      <c r="C18" s="25">
        <f>E7</f>
        <v/>
      </c>
      <c r="D18" s="26" t="inlineStr">
        <is>
          <t>SF</t>
        </is>
      </c>
      <c r="E18" s="71">
        <f>E7*35</f>
        <v/>
      </c>
      <c r="G18" s="12" t="inlineStr">
        <is>
          <t>File rate $35/SF.</t>
        </is>
      </c>
    </row>
    <row r="19">
      <c r="B19" s="10" t="inlineStr">
        <is>
          <t>Masonry "bump up" facade</t>
        </is>
      </c>
      <c r="C19" s="25">
        <f>E11*E10</f>
        <v/>
      </c>
      <c r="D19" s="26" t="inlineStr">
        <is>
          <t>SF</t>
        </is>
      </c>
      <c r="E19" s="71">
        <f>E11*E10*35</f>
        <v/>
      </c>
      <c r="G19" s="12" t="inlineStr">
        <is>
          <t>File rate $35/SF. Scales directly with the lift height.</t>
        </is>
      </c>
    </row>
    <row r="20">
      <c r="B20" s="10" t="inlineStr">
        <is>
          <t>Furring &amp; sheathing at bump up</t>
        </is>
      </c>
      <c r="C20" s="25">
        <f>E11*E10</f>
        <v/>
      </c>
      <c r="D20" s="26" t="inlineStr">
        <is>
          <t>SF</t>
        </is>
      </c>
      <c r="E20" s="71">
        <f>E11*E10*20</f>
        <v/>
      </c>
      <c r="G20" s="12" t="inlineStr">
        <is>
          <t>File rate $20/SF. Scales with lift height.</t>
        </is>
      </c>
    </row>
    <row r="21">
      <c r="B21" s="10" t="inlineStr">
        <is>
          <t>New column footings &amp; excavation</t>
        </is>
      </c>
      <c r="C21" s="25" t="inlineStr">
        <is>
          <t>40</t>
        </is>
      </c>
      <c r="D21" s="26" t="inlineStr">
        <is>
          <t>EA</t>
        </is>
      </c>
      <c r="E21" s="71">
        <f>40*7500+E7*6.5</f>
        <v/>
      </c>
      <c r="G21" s="12" t="inlineStr">
        <is>
          <t>File rates: $7,500/EA footing, $6.50/SF excavation.</t>
        </is>
      </c>
    </row>
    <row r="22">
      <c r="B22" s="17" t="inlineStr">
        <is>
          <t>TRADE SUBTOTAL — the lift</t>
        </is>
      </c>
      <c r="E22" s="66">
        <f>SUM(E14:E21)</f>
        <v/>
      </c>
      <c r="G22" s="12" t="inlineStr">
        <is>
          <t>This total feeds the eight Tier R lines on Line Build. Markups are applied there.</t>
        </is>
      </c>
    </row>
    <row r="24">
      <c r="B24" s="22" t="inlineStr">
        <is>
          <t>ROOFLIFTERS 2022 BUDGET RATE CARD  (v1013.1.RL SE)</t>
        </is>
      </c>
    </row>
    <row r="25" ht="30" customHeight="1">
      <c r="B25" s="4" t="inlineStr">
        <is>
          <t>A rate card, NOT a project quote — Stage 1 of Rooflifters own three-stage process, priced on height and area alone. Rates are "from" figures for NON-UNION projects. At 74,100 SF the card interpolates to $20.18/SF between the 50,000 SF ($25) and 75,000 SF ($20) bands. Two adjustments are mandatory before use: escalation from 2022, and a New York union / prevailing-wage premium. The card INCLUDES lift, structural steel, external metal siding enclosure, bracing, structural drawings and GC coordination. It EXCLUDES demolition (except roof separation), hoarding, fire separation, and all MEP work — which is more than half of the build-up above.</t>
        </is>
      </c>
    </row>
    <row r="26">
      <c r="B26" s="10" t="inlineStr">
        <is>
          <t>Rate card $/SF at this area</t>
        </is>
      </c>
      <c r="E26" s="74" t="n">
        <v>20.18</v>
      </c>
      <c r="G26" s="12" t="inlineStr">
        <is>
          <t>Interpolated from the 2022 card. Non-union, "from" pricing.</t>
        </is>
      </c>
    </row>
    <row r="27">
      <c r="B27" s="10" t="inlineStr">
        <is>
          <t>Base figure (2022, non-union)</t>
        </is>
      </c>
      <c r="E27" s="71">
        <f>E7*E26</f>
        <v/>
      </c>
      <c r="G27" s="12" t="inlineStr">
        <is>
          <t>Area x rate.</t>
        </is>
      </c>
    </row>
    <row r="28">
      <c r="B28" s="10" t="inlineStr">
        <is>
          <t>Escalation 2022 -&gt; construction</t>
        </is>
      </c>
      <c r="E28" s="75" t="n">
        <v>1.35</v>
      </c>
      <c r="G28" s="12" t="inlineStr">
        <is>
          <t>Your estimate was 30-40%. Five years at ~6%/yr.</t>
        </is>
      </c>
    </row>
    <row r="29">
      <c r="B29" s="10" t="inlineStr">
        <is>
          <t>NYC union / prevailing wage premium</t>
        </is>
      </c>
      <c r="E29" s="75" t="n">
        <v>1.8</v>
      </c>
      <c r="G29" s="12" t="inlineStr">
        <is>
          <t>THE BIG UNKNOWN. Card is explicitly non-union. NYC structural work runs 1.5-2.2x. Get a union-basis figure from them.</t>
        </is>
      </c>
    </row>
    <row r="30">
      <c r="B30" s="10" t="inlineStr">
        <is>
          <t>ADJUSTED ROOFLIFTERS SCOPE</t>
        </is>
      </c>
      <c r="E30" s="71">
        <f>E27*E28*E29</f>
        <v/>
      </c>
      <c r="G30" s="12" t="inlineStr">
        <is>
          <t>What the lifter would charge here.</t>
        </is>
      </c>
    </row>
    <row r="31">
      <c r="B31" s="10" t="inlineStr">
        <is>
          <t>Excluded scope, still ours</t>
        </is>
      </c>
      <c r="E31" s="71">
        <f>E14+E15+E17+E18+E21+320000</f>
        <v/>
      </c>
      <c r="G31" s="12" t="inlineStr">
        <is>
          <t>Roof demo, temp roof, fireproofing, membrane, footings, hoarding — all excluded by the card.</t>
        </is>
      </c>
    </row>
    <row r="32">
      <c r="B32" s="10" t="inlineStr">
        <is>
          <t>TOTAL ROOF LIFT PACKAGE</t>
        </is>
      </c>
      <c r="E32" s="71">
        <f>E30+E31</f>
        <v/>
      </c>
      <c r="G32" s="12" t="inlineStr">
        <is>
          <t>Compare against the build-up subtotal in E22.</t>
        </is>
      </c>
    </row>
    <row r="33">
      <c r="B33" s="17" t="inlineStr">
        <is>
          <t>Build-up less Rooflifters route</t>
        </is>
      </c>
      <c r="E33" s="66">
        <f>E22-E32</f>
        <v/>
      </c>
      <c r="G33" s="12" t="inlineStr">
        <is>
          <t>Positive means the Rooflifters route is cheaper. Most of the saving comes from the enclosure being metal siding rather than masonry and furring — not from the steel.</t>
        </is>
      </c>
    </row>
    <row r="35">
      <c r="B35" s="5" t="inlineStr">
        <is>
          <t>HEIGHT SENSITIVITY</t>
        </is>
      </c>
    </row>
    <row r="36">
      <c r="B36" s="10" t="inlineStr">
        <is>
          <t>Change the target height in E9 and the whole model moves. Roughly:</t>
        </is>
      </c>
    </row>
    <row r="37">
      <c r="B37" s="30" t="inlineStr">
        <is>
          <t>Target height</t>
        </is>
      </c>
      <c r="C37" s="30" t="inlineStr">
        <is>
          <t>Lift</t>
        </is>
      </c>
      <c r="D37" s="30" t="inlineStr">
        <is>
          <t>Indicative trade cost of the lift</t>
        </is>
      </c>
    </row>
    <row r="38">
      <c r="B38" s="26" t="inlineStr">
        <is>
          <t>30 ft</t>
        </is>
      </c>
      <c r="C38" s="26" t="inlineStr">
        <is>
          <t>10 ft</t>
        </is>
      </c>
      <c r="D38" s="65">
        <f>$E$14+$E$15+$E$16+$E$17+$E$18+$E$21+($E$11*10*35)+($E$11*10*20)</f>
        <v/>
      </c>
    </row>
    <row r="39">
      <c r="B39" s="26" t="inlineStr">
        <is>
          <t>35 ft</t>
        </is>
      </c>
      <c r="C39" s="26" t="inlineStr">
        <is>
          <t>15 ft</t>
        </is>
      </c>
      <c r="D39" s="65">
        <f>$E$14+$E$15+$E$16+$E$17+$E$18+$E$21+($E$11*15*35)+($E$11*15*20)</f>
        <v/>
      </c>
    </row>
    <row r="40">
      <c r="B40" s="26" t="inlineStr">
        <is>
          <t>40 ft</t>
        </is>
      </c>
      <c r="C40" s="26" t="inlineStr">
        <is>
          <t>20 ft</t>
        </is>
      </c>
      <c r="D40" s="65">
        <f>$E$14+$E$15+$E$16+$E$17+$E$18+$E$21+($E$11*20*35)+($E$11*20*20)</f>
        <v/>
      </c>
    </row>
    <row r="41">
      <c r="B41" s="26" t="inlineStr">
        <is>
          <t>45 ft</t>
        </is>
      </c>
      <c r="C41" s="26" t="inlineStr">
        <is>
          <t>25 ft</t>
        </is>
      </c>
      <c r="D41" s="65">
        <f>$E$14+$E$15+$E$16+$E$17+$E$18+$E$21+($E$11*25*35)+($E$11*25*20)</f>
        <v/>
      </c>
    </row>
    <row r="42">
      <c r="B42" s="26" t="inlineStr">
        <is>
          <t>50 ft</t>
        </is>
      </c>
      <c r="C42" s="26" t="inlineStr">
        <is>
          <t>30 ft</t>
        </is>
      </c>
      <c r="D42" s="65">
        <f>$E$14+$E$15+$E$16+$E$17+$E$18+$E$21+($E$11*30*35)+($E$11*30*20)</f>
        <v/>
      </c>
    </row>
    <row r="43">
      <c r="B43" s="2" t="inlineStr">
        <is>
          <t>Only the facade and furring scale with height — the roof itself costs the same whether you lift it 10 ft or 30 ft.</t>
        </is>
      </c>
    </row>
  </sheetData>
  <mergeCells count="3">
    <mergeCell ref="B5:G5"/>
    <mergeCell ref="B43:G43"/>
    <mergeCell ref="B25:G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58" customWidth="1" min="3" max="3"/>
    <col width="6" customWidth="1" min="4" max="4"/>
    <col width="7" customWidth="1" min="5" max="5"/>
    <col width="8" customWidth="1" min="6" max="6"/>
    <col width="15" customWidth="1" min="7" max="7"/>
    <col width="15" customWidth="1" min="8" max="8"/>
    <col width="15" customWidth="1" min="9" max="9"/>
    <col width="14" customWidth="1" min="10" max="10"/>
    <col width="98" customWidth="1" min="11" max="11"/>
  </cols>
  <sheetData>
    <row r="1" ht="30" customHeight="1">
      <c r="A1" s="14" t="inlineStr">
        <is>
          <t>Code</t>
        </is>
      </c>
      <c r="B1" s="14" t="inlineStr">
        <is>
          <t>Section</t>
        </is>
      </c>
      <c r="C1" s="14" t="inlineStr">
        <is>
          <t>Description</t>
        </is>
      </c>
      <c r="D1" s="14" t="inlineStr">
        <is>
          <t>Tier</t>
        </is>
      </c>
      <c r="E1" s="14" t="inlineStr">
        <is>
          <t>Rent/
Free</t>
        </is>
      </c>
      <c r="F1" s="14" t="inlineStr">
        <is>
          <t>Infinity
room?</t>
        </is>
      </c>
      <c r="G1" s="14" t="inlineStr">
        <is>
          <t>As Filed</t>
        </is>
      </c>
      <c r="H1" s="14" t="inlineStr">
        <is>
          <t>Corrected</t>
        </is>
      </c>
      <c r="I1" s="14" t="inlineStr">
        <is>
          <t>Infinity $</t>
        </is>
      </c>
      <c r="J1" s="14" t="inlineStr">
        <is>
          <t>Variance</t>
        </is>
      </c>
      <c r="K1" s="14" t="inlineStr">
        <is>
          <t>Basis / note</t>
        </is>
      </c>
    </row>
    <row r="2">
      <c r="A2" s="31" t="inlineStr">
        <is>
          <t>000</t>
        </is>
      </c>
      <c r="B2" s="31" t="inlineStr">
        <is>
          <t>OFFSITE</t>
        </is>
      </c>
      <c r="C2" s="32" t="inlineStr">
        <is>
          <t>Parking garage — 260 spaces</t>
        </is>
      </c>
      <c r="D2" s="33" t="inlineStr">
        <is>
          <t>2</t>
        </is>
      </c>
      <c r="E2" s="31" t="inlineStr"/>
      <c r="F2" s="34" t="inlineStr">
        <is>
          <t>N</t>
        </is>
      </c>
      <c r="G2" s="71" t="n">
        <v>2150000</v>
      </c>
      <c r="H2" s="70" t="n">
        <v>2150000</v>
      </c>
      <c r="I2" s="70" t="n">
        <v>0</v>
      </c>
      <c r="J2" s="71">
        <f>H2-G2</f>
        <v/>
      </c>
      <c r="K2" s="36" t="inlineStr">
        <is>
          <t>$8,269/space. NYC structured parking is $25-50k/space. MT: 'Eric Paying for this????' — confirm landlord vs tenant scope. Delete, or 4x. [OUT of an Infinity room: Off-site, and probably not our scope at all (MT I21).]</t>
        </is>
      </c>
    </row>
    <row r="3">
      <c r="A3" s="31" t="inlineStr">
        <is>
          <t>000</t>
        </is>
      </c>
      <c r="B3" s="31" t="inlineStr">
        <is>
          <t>OFFSITE</t>
        </is>
      </c>
      <c r="C3" s="32" t="inlineStr">
        <is>
          <t>Escalation on off-site @5%</t>
        </is>
      </c>
      <c r="D3" s="33" t="inlineStr">
        <is>
          <t>2</t>
        </is>
      </c>
      <c r="E3" s="31" t="inlineStr"/>
      <c r="F3" s="34" t="inlineStr">
        <is>
          <t>N</t>
        </is>
      </c>
      <c r="G3" s="71" t="n">
        <v>107500</v>
      </c>
      <c r="H3" s="70" t="n">
        <v>107500</v>
      </c>
      <c r="I3" s="70" t="n">
        <v>0</v>
      </c>
      <c r="J3" s="71">
        <f>H3-G3</f>
        <v/>
      </c>
      <c r="K3" s="36" t="inlineStr">
        <is>
          <t>Applied here but left blank on the building — see finding C-07. [OUT of an Infinity room: Follows the garage out.]</t>
        </is>
      </c>
    </row>
    <row r="4">
      <c r="A4" s="31" t="inlineStr">
        <is>
          <t>013000</t>
        </is>
      </c>
      <c r="B4" s="31" t="inlineStr">
        <is>
          <t>TRADE</t>
        </is>
      </c>
      <c r="C4" s="32" t="inlineStr">
        <is>
          <t>Project requirements / general requirements</t>
        </is>
      </c>
      <c r="D4" s="37" t="inlineStr">
        <is>
          <t>0</t>
        </is>
      </c>
      <c r="E4" s="31" t="inlineStr"/>
      <c r="F4" s="38" t="inlineStr">
        <is>
          <t>Y</t>
        </is>
      </c>
      <c r="G4" s="71" t="n">
        <v>1696000</v>
      </c>
      <c r="H4" s="70" t="n">
        <v>1696000</v>
      </c>
      <c r="I4" s="70" t="n">
        <v>1696000</v>
      </c>
      <c r="J4" s="71">
        <f>H4-G4</f>
        <v/>
      </c>
      <c r="K4" s="36" t="inlineStr">
        <is>
          <t>Project labour $900k, site safety+inspector $250k, field tech $200k, final clean $100k, rubbish $60k, protection $50k, cleanup $45k, portolets 60wk x $400, BIM, site office. MT F11: 'no idea what this is breakout?'</t>
        </is>
      </c>
    </row>
    <row r="5">
      <c r="A5" s="31" t="inlineStr">
        <is>
          <t>015800</t>
        </is>
      </c>
      <c r="B5" s="31" t="inlineStr">
        <is>
          <t>TRADE</t>
        </is>
      </c>
      <c r="C5" s="32" t="inlineStr">
        <is>
          <t>Scaffolding, sidewalk bridge &amp; hoarding</t>
        </is>
      </c>
      <c r="D5" s="37" t="inlineStr">
        <is>
          <t>0</t>
        </is>
      </c>
      <c r="E5" s="31" t="inlineStr"/>
      <c r="F5" s="38" t="inlineStr">
        <is>
          <t>Y</t>
        </is>
      </c>
      <c r="G5" s="71" t="n">
        <v>0</v>
      </c>
      <c r="H5" s="70" t="n">
        <v>1500000</v>
      </c>
      <c r="I5" s="70" t="n">
        <v>1500000</v>
      </c>
      <c r="J5" s="71">
        <f>H5-G5</f>
        <v/>
      </c>
      <c r="K5" s="36" t="inlineStr">
        <is>
          <t>Filed at ZERO qty. File's own rates: sidewalk bridge $250k LS, roof protection $50k, erection safety $20k. MT F12: '1-2M depending' — MT's number used.</t>
        </is>
      </c>
    </row>
    <row r="6">
      <c r="A6" s="31" t="inlineStr">
        <is>
          <t>024100</t>
        </is>
      </c>
      <c r="B6" s="31" t="inlineStr">
        <is>
          <t>TRADE</t>
        </is>
      </c>
      <c r="C6" s="32" t="inlineStr">
        <is>
          <t>Demolition — interior, walls, MEP, Caesarstone plant</t>
        </is>
      </c>
      <c r="D6" s="37" t="inlineStr">
        <is>
          <t>0</t>
        </is>
      </c>
      <c r="E6" s="31" t="inlineStr"/>
      <c r="F6" s="38" t="inlineStr">
        <is>
          <t>Y</t>
        </is>
      </c>
      <c r="G6" s="71" t="n">
        <v>30408</v>
      </c>
      <c r="H6" s="70" t="n">
        <v>530408</v>
      </c>
      <c r="I6" s="70" t="n">
        <v>530408</v>
      </c>
      <c r="J6" s="71">
        <f>H6-G6</f>
        <v/>
      </c>
      <c r="K6" s="36" t="inlineStr">
        <is>
          <t>Filed total is $30,408 for gutting a countertop manufacturing plant. Most sub-lines at zero qty.</t>
        </is>
      </c>
    </row>
    <row r="7">
      <c r="A7" s="31" t="inlineStr">
        <is>
          <t>024100</t>
        </is>
      </c>
      <c r="B7" s="31" t="inlineStr">
        <is>
          <t>TRADE</t>
        </is>
      </c>
      <c r="C7" s="32" t="inlineStr">
        <is>
          <t>Demolition — 74,000 SF precast concrete roof</t>
        </is>
      </c>
      <c r="D7" s="39" t="inlineStr">
        <is>
          <t>R</t>
        </is>
      </c>
      <c r="E7" s="31" t="inlineStr"/>
      <c r="F7" s="38" t="inlineStr">
        <is>
          <t>Y</t>
        </is>
      </c>
      <c r="G7" s="71" t="n">
        <v>0</v>
      </c>
      <c r="H7" s="70">
        <f>'Roof Lift'!$E$14</f>
        <v/>
      </c>
      <c r="I7" s="70">
        <f>'Roof Lift'!$E$14</f>
        <v/>
      </c>
      <c r="J7" s="71">
        <f>H7-G7</f>
        <v/>
      </c>
      <c r="K7" s="36" t="inlineStr">
        <is>
          <t>DRIVEN BY THE ROOF LIFT SHEET. Qty 74,100 SF footprint, no price in the file. Marked 'Abatement by others'. $15/SF is the file's own rate. REPLACE WITH THE ROOF-LIFTER QUOTE.</t>
        </is>
      </c>
    </row>
    <row r="8">
      <c r="A8" s="31" t="inlineStr">
        <is>
          <t>033000</t>
        </is>
      </c>
      <c r="B8" s="31" t="inlineStr">
        <is>
          <t>TRADE</t>
        </is>
      </c>
      <c r="C8" s="32" t="inlineStr">
        <is>
          <t>Concrete — raised slab 1,500 CY, patching, stairs</t>
        </is>
      </c>
      <c r="D8" s="37" t="inlineStr">
        <is>
          <t>0</t>
        </is>
      </c>
      <c r="E8" s="31" t="inlineStr"/>
      <c r="F8" s="38" t="inlineStr">
        <is>
          <t>Y</t>
        </is>
      </c>
      <c r="G8" s="71" t="n">
        <v>0</v>
      </c>
      <c r="H8" s="70" t="n">
        <v>650000</v>
      </c>
      <c r="I8" s="70" t="n">
        <v>650000</v>
      </c>
      <c r="J8" s="71">
        <f>H8-G8</f>
        <v/>
      </c>
      <c r="K8" s="36" t="inlineStr">
        <is>
          <t>1,500 CY raised slab on styrofoam over 20,314 SF incl. two ramps. Qty present in the dev budget, no unit price, $0 total. Separate from the mezzanine and stage footings below.</t>
        </is>
      </c>
    </row>
    <row r="9">
      <c r="A9" s="31" t="inlineStr">
        <is>
          <t>033000</t>
        </is>
      </c>
      <c r="B9" s="31" t="inlineStr">
        <is>
          <t>TRADE</t>
        </is>
      </c>
      <c r="C9" s="32" t="inlineStr">
        <is>
          <t>Concrete — footings &amp; excavation for new roof columns</t>
        </is>
      </c>
      <c r="D9" s="39" t="inlineStr">
        <is>
          <t>R</t>
        </is>
      </c>
      <c r="E9" s="31" t="inlineStr"/>
      <c r="F9" s="38" t="inlineStr">
        <is>
          <t>Y</t>
        </is>
      </c>
      <c r="G9" s="71" t="n">
        <v>0</v>
      </c>
      <c r="H9" s="70">
        <f>'Roof Lift'!$E$21</f>
        <v/>
      </c>
      <c r="I9" s="70">
        <f>'Roof Lift'!$E$21</f>
        <v/>
      </c>
      <c r="J9" s="71">
        <f>H9-G9</f>
        <v/>
      </c>
      <c r="K9" s="36" t="inlineStr">
        <is>
          <t>'Excavation related to New Columns at Music hall — Based on Footprint of New Roof' @ $6.50/SF, qty 0. Footings $7,500/EA, qty 0.</t>
        </is>
      </c>
    </row>
    <row r="10">
      <c r="A10" s="31" t="inlineStr">
        <is>
          <t>042000</t>
        </is>
      </c>
      <c r="B10" s="31" t="inlineStr">
        <is>
          <t>TRADE</t>
        </is>
      </c>
      <c r="C10" s="32" t="inlineStr">
        <is>
          <t>Masonry — patch/repair, elevator towers, back wall</t>
        </is>
      </c>
      <c r="D10" s="37" t="inlineStr">
        <is>
          <t>0</t>
        </is>
      </c>
      <c r="E10" s="31" t="inlineStr"/>
      <c r="F10" s="38" t="inlineStr">
        <is>
          <t>Y</t>
        </is>
      </c>
      <c r="G10" s="71" t="n">
        <v>530010</v>
      </c>
      <c r="H10" s="70" t="n">
        <v>530010</v>
      </c>
      <c r="I10" s="70" t="n">
        <v>530010</v>
      </c>
      <c r="J10" s="71">
        <f>H10-G10</f>
        <v/>
      </c>
      <c r="K10" s="36" t="inlineStr">
        <is>
          <t>One of the few divisions with real quantities.</t>
        </is>
      </c>
    </row>
    <row r="11">
      <c r="A11" s="31" t="inlineStr">
        <is>
          <t>042000</t>
        </is>
      </c>
      <c r="B11" s="31" t="inlineStr">
        <is>
          <t>TRADE</t>
        </is>
      </c>
      <c r="C11" s="32" t="inlineStr">
        <is>
          <t>Masonry — brick facade at music hall 'bump up'</t>
        </is>
      </c>
      <c r="D11" s="39" t="inlineStr">
        <is>
          <t>R</t>
        </is>
      </c>
      <c r="E11" s="31" t="inlineStr"/>
      <c r="F11" s="38" t="inlineStr">
        <is>
          <t>Y</t>
        </is>
      </c>
      <c r="G11" s="71" t="n">
        <v>0</v>
      </c>
      <c r="H11" s="70">
        <f>'Roof Lift'!$E$19</f>
        <v/>
      </c>
      <c r="I11" s="70">
        <f>'Roof Lift'!$E$19</f>
        <v/>
      </c>
      <c r="J11" s="71">
        <f>H11-G11</f>
        <v/>
      </c>
      <c r="K11" s="36" t="inlineStr">
        <is>
          <t>'F&amp;I Brick facade at music hall BUMP UP' @ $35/SF, qty 0. 30ft rise x perimeter.</t>
        </is>
      </c>
    </row>
    <row r="12">
      <c r="A12" s="31" t="inlineStr">
        <is>
          <t>033000</t>
        </is>
      </c>
      <c r="B12" s="31" t="inlineStr">
        <is>
          <t>TRADE</t>
        </is>
      </c>
      <c r="C12" s="32" t="inlineStr">
        <is>
          <t>Mezzanine &amp; stage — concrete footings and foundations (indoor)</t>
        </is>
      </c>
      <c r="D12" s="40" t="inlineStr">
        <is>
          <t>1</t>
        </is>
      </c>
      <c r="E12" s="31" t="inlineStr"/>
      <c r="F12" s="38" t="inlineStr">
        <is>
          <t>Y</t>
        </is>
      </c>
      <c r="G12" s="71" t="n">
        <v>0</v>
      </c>
      <c r="H12" s="70" t="n">
        <v>350000</v>
      </c>
      <c r="I12" s="70" t="n">
        <v>350000</v>
      </c>
      <c r="J12" s="71">
        <f>H12-G12</f>
        <v/>
      </c>
      <c r="K12" s="36" t="inlineStr">
        <is>
          <t>GROUND-UP BUILD, HURRICANE SCOPE REMOVED. FT Infinity footers actually cost $826,986 (EDT base $615,642 + 34% change order $211,344) against a $600,000 whole-site allowance — but those are mass foundations resisting overturning and uplift on an OPEN-AIR stage at ~175 mph Miami-Dade design wind. An enclosed Brooklyn room has no wind load on an interior structure at all. Park Stage bought its foundations as separate trades for far less: rebar $82,400 (Miami Polish) + concrete footers $60,000 (Jorge Concrete) = $142,400. Carried at $350,000 for mezzanine and stage footings combined, poured into the slab.</t>
        </is>
      </c>
    </row>
    <row r="13">
      <c r="A13" s="31" t="inlineStr">
        <is>
          <t>055100</t>
        </is>
      </c>
      <c r="B13" s="31" t="inlineStr">
        <is>
          <t>TRADE</t>
        </is>
      </c>
      <c r="C13" s="32" t="inlineStr">
        <is>
          <t>Mezzanine — structural steel framing, ground-supported</t>
        </is>
      </c>
      <c r="D13" s="40" t="inlineStr">
        <is>
          <t>1</t>
        </is>
      </c>
      <c r="E13" s="31" t="inlineStr"/>
      <c r="F13" s="38" t="inlineStr">
        <is>
          <t>Y</t>
        </is>
      </c>
      <c r="G13" s="71" t="n">
        <v>0</v>
      </c>
      <c r="H13" s="70" t="n">
        <v>2000000</v>
      </c>
      <c r="I13" s="70" t="n">
        <v>2000000</v>
      </c>
      <c r="J13" s="71">
        <f>H13-G13</f>
        <v/>
      </c>
      <c r="K13" s="36" t="inlineStr">
        <is>
          <t>$6,000/ton, qty 0 in the dev budget. Ground-supported steel mezzanine INSIDE the existing 74,100 SF footprint: adds standing room and floor area without touching the envelope or the height. Reduced from $2.5M — the separate upper balcony goes with the four-level scheme.</t>
        </is>
      </c>
    </row>
    <row r="14">
      <c r="A14" s="31" t="inlineStr">
        <is>
          <t>033000</t>
        </is>
      </c>
      <c r="B14" s="31" t="inlineStr">
        <is>
          <t>TRADE</t>
        </is>
      </c>
      <c r="C14" s="32" t="inlineStr">
        <is>
          <t>Mezzanine — concrete deck poured on metal deck</t>
        </is>
      </c>
      <c r="D14" s="40" t="inlineStr">
        <is>
          <t>1</t>
        </is>
      </c>
      <c r="E14" s="31" t="inlineStr"/>
      <c r="F14" s="38" t="inlineStr">
        <is>
          <t>Y</t>
        </is>
      </c>
      <c r="G14" s="71" t="n">
        <v>0</v>
      </c>
      <c r="H14" s="70" t="n">
        <v>500000</v>
      </c>
      <c r="I14" s="70" t="n">
        <v>500000</v>
      </c>
      <c r="J14" s="71">
        <f>H14-G14</f>
        <v/>
      </c>
      <c r="K14" s="36" t="inlineStr">
        <is>
          <t>GROUND-UP BUILD. Dev budget line 'Concrete on Deck for Mezz of Music Hall with Platforms' @ $25/SF, QTY 0. ~20,000 SF of mezzanine deck. Poured deck rather than a lightweight system: better acoustic separation from the room below, and it carries dense standing load.</t>
        </is>
      </c>
    </row>
    <row r="15">
      <c r="A15" s="31" t="inlineStr">
        <is>
          <t>055100</t>
        </is>
      </c>
      <c r="B15" s="31" t="inlineStr">
        <is>
          <t>TRADE</t>
        </is>
      </c>
      <c r="C15" s="32" t="inlineStr">
        <is>
          <t>Stage, deck &amp; production towers — ground-supported (indoor)</t>
        </is>
      </c>
      <c r="D15" s="40" t="inlineStr">
        <is>
          <t>1</t>
        </is>
      </c>
      <c r="E15" s="31" t="inlineStr"/>
      <c r="F15" s="38" t="inlineStr">
        <is>
          <t>Y</t>
        </is>
      </c>
      <c r="G15" s="71" t="n">
        <v>0</v>
      </c>
      <c r="H15" s="70" t="n">
        <v>1400000</v>
      </c>
      <c r="I15" s="70" t="n">
        <v>1400000</v>
      </c>
      <c r="J15" s="71">
        <f>H15-G15</f>
        <v/>
      </c>
      <c r="K15" s="36" t="inlineStr">
        <is>
          <t>BENCHMARKED TO FT INFINITY ACTUALS, NOT ITS BUDGET. Factory Town Infinity budgeted $2.0M for structure + deck and ACTUALLY SPENT $3,506,289 (MTN stage $2,400,815; EDT footers $615,642 + $211,344 change order; MTN VIP platforms $136,000; MTN FOH $92,020; decking $50,468) — a 75% overrun. Two deductions apply here: the open-air stage roof and crowd weather cover (the building already has a roof) and the Miami-Dade hurricane-rated mass foundations (an interior structure in Brooklyn carries no wind load). Indoor equivalent lands at $1.2-1.7M; carried at $1.4M. Your black-steel mounting quote of $1.0M plus FT actual VIP platforms $136,000 plus decking $50,468 = $1,186,468 reaches the same place independently.</t>
        </is>
      </c>
    </row>
    <row r="16">
      <c r="A16" s="31" t="inlineStr">
        <is>
          <t>055100</t>
        </is>
      </c>
      <c r="B16" s="31" t="inlineStr">
        <is>
          <t>TRADE</t>
        </is>
      </c>
      <c r="C16" s="32" t="inlineStr">
        <is>
          <t>Structural steel — new roof trusses, girders, columns</t>
        </is>
      </c>
      <c r="D16" s="39" t="inlineStr">
        <is>
          <t>R</t>
        </is>
      </c>
      <c r="E16" s="31" t="inlineStr"/>
      <c r="F16" s="38" t="inlineStr">
        <is>
          <t>Y</t>
        </is>
      </c>
      <c r="G16" s="71" t="n">
        <v>0</v>
      </c>
      <c r="H16" s="70">
        <f>'Roof Lift'!$E$16</f>
        <v/>
      </c>
      <c r="I16" s="70">
        <f>'Roof Lift'!$E$16</f>
        <v/>
      </c>
      <c r="J16" s="71">
        <f>H16-G16</f>
        <v/>
      </c>
      <c r="K16" s="36" t="inlineStr">
        <is>
          <t>DRIVEN BY THE ROOF LIFT SHEET. Now specced at 15 lb/SF, NOT 20 — with a ground-supported stage and mezzanine the roof carries only itself, snow and MEP. No 40-ton rigging capacity, no heavy transfer girders, no reinforced point-load nodes. REPLACE WITH THE ROOF-LIFTER QUOTE.</t>
        </is>
      </c>
    </row>
    <row r="17">
      <c r="A17" s="31" t="inlineStr">
        <is>
          <t>055100</t>
        </is>
      </c>
      <c r="B17" s="31" t="inlineStr">
        <is>
          <t>TRADE</t>
        </is>
      </c>
      <c r="C17" s="32" t="inlineStr">
        <is>
          <t>Misc metals — stairs, railings, ladders, dunnage, lintels</t>
        </is>
      </c>
      <c r="D17" s="37" t="inlineStr">
        <is>
          <t>0</t>
        </is>
      </c>
      <c r="E17" s="31" t="inlineStr"/>
      <c r="F17" s="38" t="inlineStr">
        <is>
          <t>Y</t>
        </is>
      </c>
      <c r="G17" s="71" t="n">
        <v>0</v>
      </c>
      <c r="H17" s="70" t="n">
        <v>400000</v>
      </c>
      <c r="I17" s="70" t="n">
        <v>400000</v>
      </c>
      <c r="J17" s="71">
        <f>H17-G17</f>
        <v/>
      </c>
      <c r="K17" s="36" t="inlineStr">
        <is>
          <t>Egress stairs $30k/floor, theatre railing $275/LF, roof-deck railing $500/LF, HVAC dunnage $20k/loc — all qty 0.</t>
        </is>
      </c>
    </row>
    <row r="18">
      <c r="A18" s="31" t="inlineStr">
        <is>
          <t>062000</t>
        </is>
      </c>
      <c r="B18" s="31" t="inlineStr">
        <is>
          <t>TRADE</t>
        </is>
      </c>
      <c r="C18" s="32" t="inlineStr">
        <is>
          <t>Rough carpentry / OSHA protection</t>
        </is>
      </c>
      <c r="D18" s="37" t="inlineStr">
        <is>
          <t>0</t>
        </is>
      </c>
      <c r="E18" s="31" t="inlineStr"/>
      <c r="F18" s="38" t="inlineStr">
        <is>
          <t>Y</t>
        </is>
      </c>
      <c r="G18" s="71" t="n">
        <v>0</v>
      </c>
      <c r="H18" s="70" t="n">
        <v>175000</v>
      </c>
      <c r="I18" s="70" t="n">
        <v>175000</v>
      </c>
      <c r="J18" s="71">
        <f>H18-G18</f>
        <v/>
      </c>
      <c r="K18" s="36" t="inlineStr">
        <is>
          <t>Roof cut-out safety $35k, footing trench safety $30k, mezz build-out safety — all qty 0.</t>
        </is>
      </c>
    </row>
    <row r="19">
      <c r="A19" s="31" t="inlineStr">
        <is>
          <t>064000</t>
        </is>
      </c>
      <c r="B19" s="31" t="inlineStr">
        <is>
          <t>TRADE</t>
        </is>
      </c>
      <c r="C19" s="32" t="inlineStr">
        <is>
          <t>Millwork — 9 bars &amp; back bars</t>
        </is>
      </c>
      <c r="D19" s="40" t="inlineStr">
        <is>
          <t>1</t>
        </is>
      </c>
      <c r="E19" s="31" t="inlineStr"/>
      <c r="F19" s="41" t="inlineStr">
        <is>
          <t>part</t>
        </is>
      </c>
      <c r="G19" s="71" t="n">
        <v>0</v>
      </c>
      <c r="H19" s="70" t="n">
        <v>600000</v>
      </c>
      <c r="I19" s="70" t="n">
        <v>420000</v>
      </c>
      <c r="J19" s="71">
        <f>H19-G19</f>
        <v/>
      </c>
      <c r="K19" s="36" t="inlineStr">
        <is>
          <t>$900/LF x 9 bars (lobby, music hall L/R/rear, mezz L/R, VIP, restaurant, roof lobby), qty 0. MT I154: 'only build bars' — this is that scope. [Infinity room: reduced to $420,000 — Six bars rather than nine — the VIP, restaurant and roof-lobby bars go with their rooms.]</t>
        </is>
      </c>
    </row>
    <row r="20">
      <c r="A20" s="31" t="inlineStr">
        <is>
          <t>064000</t>
        </is>
      </c>
      <c r="B20" s="31" t="inlineStr">
        <is>
          <t>TRADE</t>
        </is>
      </c>
      <c r="C20" s="32" t="inlineStr">
        <is>
          <t>Millwork — box office, coat, merch, BOH counters</t>
        </is>
      </c>
      <c r="D20" s="40" t="inlineStr">
        <is>
          <t>1</t>
        </is>
      </c>
      <c r="E20" s="31" t="inlineStr"/>
      <c r="F20" s="41" t="inlineStr">
        <is>
          <t>part</t>
        </is>
      </c>
      <c r="G20" s="71" t="n">
        <v>0</v>
      </c>
      <c r="H20" s="70" t="n">
        <v>200000</v>
      </c>
      <c r="I20" s="70" t="n">
        <v>110000</v>
      </c>
      <c r="J20" s="71">
        <f>H20-G20</f>
        <v/>
      </c>
      <c r="K20" s="36" t="inlineStr">
        <is>
          <t>Box office $500/LF, coat closet $150/LF, merch $12k LS, bathroom counters $400/LF — all qty 0. [Infinity room: reduced to $110,000 — Box office and merch only. No coat check millwork, no decorative back-bar features.]</t>
        </is>
      </c>
    </row>
    <row r="21">
      <c r="A21" s="31" t="inlineStr">
        <is>
          <t>075000</t>
        </is>
      </c>
      <c r="B21" s="31" t="inlineStr">
        <is>
          <t>TRADE</t>
        </is>
      </c>
      <c r="C21" s="32" t="inlineStr">
        <is>
          <t>Roofing — 3 terrace membranes</t>
        </is>
      </c>
      <c r="D21" s="33" t="inlineStr">
        <is>
          <t>2</t>
        </is>
      </c>
      <c r="E21" s="31" t="inlineStr"/>
      <c r="F21" s="34" t="inlineStr">
        <is>
          <t>N</t>
        </is>
      </c>
      <c r="G21" s="71" t="n">
        <v>262112.5</v>
      </c>
      <c r="H21" s="70" t="n">
        <v>262112.5</v>
      </c>
      <c r="I21" s="70" t="n">
        <v>0</v>
      </c>
      <c r="J21" s="71">
        <f>H21-G21</f>
        <v/>
      </c>
      <c r="K21" s="36" t="inlineStr">
        <is>
          <t>2nd floor, 3rd floor VIP, 3rd floor restaurant @ $32.50/SF. This is roof-DECK scope, not the lift. [OUT of an Infinity room: Roof decks are not part of an Infinity room.]</t>
        </is>
      </c>
    </row>
    <row r="22">
      <c r="A22" s="31" t="inlineStr">
        <is>
          <t>075000</t>
        </is>
      </c>
      <c r="B22" s="31" t="inlineStr">
        <is>
          <t>TRADE</t>
        </is>
      </c>
      <c r="C22" s="32" t="inlineStr">
        <is>
          <t>Roofing — 3 terrace paver decks (CORRECTED)</t>
        </is>
      </c>
      <c r="D22" s="33" t="inlineStr">
        <is>
          <t>2</t>
        </is>
      </c>
      <c r="E22" s="31" t="inlineStr"/>
      <c r="F22" s="34" t="inlineStr">
        <is>
          <t>N</t>
        </is>
      </c>
      <c r="G22" s="71" t="n">
        <v>5474163</v>
      </c>
      <c r="H22" s="70" t="n">
        <v>250015</v>
      </c>
      <c r="I22" s="70" t="n">
        <v>0</v>
      </c>
      <c r="J22" s="71">
        <f>H22-G22</f>
        <v/>
      </c>
      <c r="K22" s="36" t="inlineStr">
        <is>
          <t>AS FILED contains the $5,224,148 error: 3rd-floor VIP pavers at $3,312.50/SF vs $31/SF on the two neighbouring lines. Corrected to $31/SF. [OUT of an Infinity room: Roof decks are not part of an Infinity room.]</t>
        </is>
      </c>
    </row>
    <row r="23">
      <c r="A23" s="31" t="inlineStr">
        <is>
          <t>075000</t>
        </is>
      </c>
      <c r="B23" s="31" t="inlineStr">
        <is>
          <t>TRADE</t>
        </is>
      </c>
      <c r="C23" s="32" t="inlineStr">
        <is>
          <t>Roofing — new roof membrane over raised structure</t>
        </is>
      </c>
      <c r="D23" s="39" t="inlineStr">
        <is>
          <t>R</t>
        </is>
      </c>
      <c r="E23" s="31" t="inlineStr"/>
      <c r="F23" s="38" t="inlineStr">
        <is>
          <t>Y</t>
        </is>
      </c>
      <c r="G23" s="71" t="n">
        <v>0</v>
      </c>
      <c r="H23" s="70">
        <f>'Roof Lift'!$E$18</f>
        <v/>
      </c>
      <c r="I23" s="70">
        <f>'Roof Lift'!$E$18</f>
        <v/>
      </c>
      <c r="J23" s="71">
        <f>H23-G23</f>
        <v/>
      </c>
      <c r="K23" s="36" t="inlineStr">
        <is>
          <t>$35/SF over 74,000 SF. No line exists; 'Remove and replace roof at lower areas' @ $35/SF is qty 0.</t>
        </is>
      </c>
    </row>
    <row r="24">
      <c r="A24" s="31" t="inlineStr">
        <is>
          <t>075000</t>
        </is>
      </c>
      <c r="B24" s="31" t="inlineStr">
        <is>
          <t>TRADE</t>
        </is>
      </c>
      <c r="C24" s="32" t="inlineStr">
        <is>
          <t>Roofing — temporary roof during construction</t>
        </is>
      </c>
      <c r="D24" s="39" t="inlineStr">
        <is>
          <t>R</t>
        </is>
      </c>
      <c r="E24" s="31" t="inlineStr"/>
      <c r="F24" s="38" t="inlineStr">
        <is>
          <t>Y</t>
        </is>
      </c>
      <c r="G24" s="71" t="n">
        <v>0</v>
      </c>
      <c r="H24" s="70">
        <f>'Roof Lift'!$E$15</f>
        <v/>
      </c>
      <c r="I24" s="70">
        <f>'Roof Lift'!$E$15</f>
        <v/>
      </c>
      <c r="J24" s="71">
        <f>H24-G24</f>
        <v/>
      </c>
      <c r="K24" s="36" t="inlineStr">
        <is>
          <t>'Temp roof above music hall' @ $5/SF, qty 0.</t>
        </is>
      </c>
    </row>
    <row r="25">
      <c r="A25" s="31" t="inlineStr">
        <is>
          <t>078100</t>
        </is>
      </c>
      <c r="B25" s="31" t="inlineStr">
        <is>
          <t>TRADE</t>
        </is>
      </c>
      <c r="C25" s="32" t="inlineStr">
        <is>
          <t>Fireproofing — mezzanine &amp; stage steel</t>
        </is>
      </c>
      <c r="D25" s="37" t="inlineStr">
        <is>
          <t>0</t>
        </is>
      </c>
      <c r="E25" s="31" t="inlineStr"/>
      <c r="F25" s="38" t="inlineStr">
        <is>
          <t>Y</t>
        </is>
      </c>
      <c r="G25" s="71" t="n">
        <v>0</v>
      </c>
      <c r="H25" s="70" t="n">
        <v>200000</v>
      </c>
      <c r="I25" s="70" t="n">
        <v>200000</v>
      </c>
      <c r="J25" s="71">
        <f>H25-G25</f>
        <v/>
      </c>
      <c r="K25" s="36" t="inlineStr">
        <is>
          <t>NYC-required on new structural steel in assembly occupancy. $5/SF, qty 0.</t>
        </is>
      </c>
    </row>
    <row r="26">
      <c r="A26" s="31" t="inlineStr">
        <is>
          <t>078100</t>
        </is>
      </c>
      <c r="B26" s="31" t="inlineStr">
        <is>
          <t>TRADE</t>
        </is>
      </c>
      <c r="C26" s="32" t="inlineStr">
        <is>
          <t>Fireproofing — new roof steel</t>
        </is>
      </c>
      <c r="D26" s="39" t="inlineStr">
        <is>
          <t>R</t>
        </is>
      </c>
      <c r="E26" s="31" t="inlineStr"/>
      <c r="F26" s="38" t="inlineStr">
        <is>
          <t>Y</t>
        </is>
      </c>
      <c r="G26" s="71" t="n">
        <v>0</v>
      </c>
      <c r="H26" s="70">
        <f>'Roof Lift'!$E$17</f>
        <v/>
      </c>
      <c r="I26" s="70">
        <f>'Roof Lift'!$E$17</f>
        <v/>
      </c>
      <c r="J26" s="71">
        <f>H26-G26</f>
        <v/>
      </c>
      <c r="K26" s="36" t="inlineStr">
        <is>
          <t>'Allow for fireproofing at New steel at Roof' @ $5/SF, qty 0.</t>
        </is>
      </c>
    </row>
    <row r="27">
      <c r="A27" s="31" t="inlineStr">
        <is>
          <t>081000</t>
        </is>
      </c>
      <c r="B27" s="31" t="inlineStr">
        <is>
          <t>TRADE</t>
        </is>
      </c>
      <c r="C27" s="32" t="inlineStr">
        <is>
          <t>Doors, frames &amp; hardware incl. acoustic</t>
        </is>
      </c>
      <c r="D27" s="37" t="inlineStr">
        <is>
          <t>0</t>
        </is>
      </c>
      <c r="E27" s="31" t="inlineStr"/>
      <c r="F27" s="38" t="inlineStr">
        <is>
          <t>Y</t>
        </is>
      </c>
      <c r="G27" s="71" t="n">
        <v>0</v>
      </c>
      <c r="H27" s="70" t="n">
        <v>550000</v>
      </c>
      <c r="I27" s="70" t="n">
        <v>550000</v>
      </c>
      <c r="J27" s="71">
        <f>H27-G27</f>
        <v/>
      </c>
      <c r="K27" s="36" t="inlineStr">
        <is>
          <t>Egress and life-safety doors. Acoustic doors $6,500 EA / $10,000 pair — all qty 0.</t>
        </is>
      </c>
    </row>
    <row r="28">
      <c r="A28" s="31" t="inlineStr">
        <is>
          <t>083000</t>
        </is>
      </c>
      <c r="B28" s="31" t="inlineStr">
        <is>
          <t>TRADE</t>
        </is>
      </c>
      <c r="C28" s="32" t="inlineStr">
        <is>
          <t>Special doors (Eliason)</t>
        </is>
      </c>
      <c r="D28" s="40" t="inlineStr">
        <is>
          <t>1</t>
        </is>
      </c>
      <c r="E28" s="31" t="inlineStr"/>
      <c r="F28" s="38" t="inlineStr">
        <is>
          <t>Y</t>
        </is>
      </c>
      <c r="G28" s="71" t="n">
        <v>6000</v>
      </c>
      <c r="H28" s="70" t="n">
        <v>6000</v>
      </c>
      <c r="I28" s="70" t="n">
        <v>6000</v>
      </c>
      <c r="J28" s="71">
        <f>H28-G28</f>
        <v/>
      </c>
      <c r="K28" s="36" t="inlineStr">
        <is>
          <t>One of the only fully-priced lines in the file.</t>
        </is>
      </c>
    </row>
    <row r="29">
      <c r="A29" s="31" t="inlineStr">
        <is>
          <t>084100</t>
        </is>
      </c>
      <c r="B29" s="31" t="inlineStr">
        <is>
          <t>TRADE</t>
        </is>
      </c>
      <c r="C29" s="32" t="inlineStr">
        <is>
          <t>Storefront &amp; entry glazing</t>
        </is>
      </c>
      <c r="D29" s="37" t="inlineStr">
        <is>
          <t>0</t>
        </is>
      </c>
      <c r="E29" s="31" t="inlineStr"/>
      <c r="F29" s="38" t="inlineStr">
        <is>
          <t>Y</t>
        </is>
      </c>
      <c r="G29" s="71" t="n">
        <v>0</v>
      </c>
      <c r="H29" s="70" t="n">
        <v>150000</v>
      </c>
      <c r="I29" s="70" t="n">
        <v>150000</v>
      </c>
      <c r="J29" s="71">
        <f>H29-G29</f>
        <v/>
      </c>
      <c r="K29" s="36" t="inlineStr">
        <is>
          <t>Main entry. $250/SF, qty 0.</t>
        </is>
      </c>
    </row>
    <row r="30">
      <c r="A30" s="31" t="inlineStr">
        <is>
          <t>084100</t>
        </is>
      </c>
      <c r="B30" s="31" t="inlineStr">
        <is>
          <t>TRADE</t>
        </is>
      </c>
      <c r="C30" s="32" t="inlineStr">
        <is>
          <t>Storefront — roof deck &amp; VIP lounge</t>
        </is>
      </c>
      <c r="D30" s="33" t="inlineStr">
        <is>
          <t>2</t>
        </is>
      </c>
      <c r="E30" s="31" t="inlineStr"/>
      <c r="F30" s="34" t="inlineStr">
        <is>
          <t>N</t>
        </is>
      </c>
      <c r="G30" s="71" t="n">
        <v>0</v>
      </c>
      <c r="H30" s="70" t="n">
        <v>175000</v>
      </c>
      <c r="I30" s="70" t="n">
        <v>0</v>
      </c>
      <c r="J30" s="71">
        <f>H30-G30</f>
        <v/>
      </c>
      <c r="K30" s="36" t="inlineStr">
        <is>
          <t>Roof-deck doors, VIP interior storefront — qty 0. Phase with the decks. [OUT of an Infinity room: Serves the roof decks and VIP lounge — both out.]</t>
        </is>
      </c>
    </row>
    <row r="31">
      <c r="A31" s="31" t="inlineStr">
        <is>
          <t>088000</t>
        </is>
      </c>
      <c r="B31" s="31" t="inlineStr">
        <is>
          <t>TRADE</t>
        </is>
      </c>
      <c r="C31" s="32" t="inlineStr">
        <is>
          <t>Glazing — mirrors, ballistic box office window</t>
        </is>
      </c>
      <c r="D31" s="40" t="inlineStr">
        <is>
          <t>1</t>
        </is>
      </c>
      <c r="E31" s="31" t="inlineStr"/>
      <c r="F31" s="38" t="inlineStr">
        <is>
          <t>Y</t>
        </is>
      </c>
      <c r="G31" s="71" t="n">
        <v>0</v>
      </c>
      <c r="H31" s="70" t="n">
        <v>120000</v>
      </c>
      <c r="I31" s="70" t="n">
        <v>120000</v>
      </c>
      <c r="J31" s="71">
        <f>H31-G31</f>
        <v/>
      </c>
      <c r="K31" s="36" t="inlineStr">
        <is>
          <t>Ballistic box office $10k LOT, bar mirrors $35k LOT — qty 0.</t>
        </is>
      </c>
    </row>
    <row r="32">
      <c r="A32" s="31" t="inlineStr">
        <is>
          <t>092000</t>
        </is>
      </c>
      <c r="B32" s="31" t="inlineStr">
        <is>
          <t>TRADE</t>
        </is>
      </c>
      <c r="C32" s="32" t="inlineStr">
        <is>
          <t>Drywall — perimeter, fire-rated, stage walls</t>
        </is>
      </c>
      <c r="D32" s="37" t="inlineStr">
        <is>
          <t>0</t>
        </is>
      </c>
      <c r="E32" s="31" t="inlineStr"/>
      <c r="F32" s="38" t="inlineStr">
        <is>
          <t>Y</t>
        </is>
      </c>
      <c r="G32" s="71" t="n">
        <v>119664</v>
      </c>
      <c r="H32" s="70" t="n">
        <v>119664</v>
      </c>
      <c r="I32" s="70" t="n">
        <v>119664</v>
      </c>
      <c r="J32" s="71">
        <f>H32-G32</f>
        <v/>
      </c>
      <c r="K32" s="36" t="inlineStr">
        <is>
          <t>Quantities present for first floor. 2HR rated walls at stage and rear of music hall.</t>
        </is>
      </c>
    </row>
    <row r="33">
      <c r="A33" s="31" t="inlineStr">
        <is>
          <t>092000</t>
        </is>
      </c>
      <c r="B33" s="31" t="inlineStr">
        <is>
          <t>TRADE</t>
        </is>
      </c>
      <c r="C33" s="32" t="inlineStr">
        <is>
          <t>Drywall — interior partitions, acoustic &amp; fire-rated walls</t>
        </is>
      </c>
      <c r="D33" s="37" t="inlineStr">
        <is>
          <t>0</t>
        </is>
      </c>
      <c r="E33" s="31" t="inlineStr"/>
      <c r="F33" s="38" t="inlineStr">
        <is>
          <t>Y</t>
        </is>
      </c>
      <c r="G33" s="71" t="n">
        <v>0</v>
      </c>
      <c r="H33" s="70" t="n">
        <v>800000</v>
      </c>
      <c r="I33" s="70" t="n">
        <v>800000</v>
      </c>
      <c r="J33" s="71">
        <f>H33-G33</f>
        <v/>
      </c>
      <c r="K33" s="36" t="inlineStr">
        <is>
          <t>'Interior Sound/Fire rated walls at music hall, stair ways and elevator shafts' @ $20/SF, qty 0. BOH, green rooms, offices.</t>
        </is>
      </c>
    </row>
    <row r="34">
      <c r="A34" s="31" t="inlineStr">
        <is>
          <t>092000</t>
        </is>
      </c>
      <c r="B34" s="31" t="inlineStr">
        <is>
          <t>TRADE</t>
        </is>
      </c>
      <c r="C34" s="32" t="inlineStr">
        <is>
          <t>Drywall — furring/sheathing at music hall 'bump up'</t>
        </is>
      </c>
      <c r="D34" s="39" t="inlineStr">
        <is>
          <t>R</t>
        </is>
      </c>
      <c r="E34" s="31" t="inlineStr"/>
      <c r="F34" s="38" t="inlineStr">
        <is>
          <t>Y</t>
        </is>
      </c>
      <c r="G34" s="71" t="n">
        <v>0</v>
      </c>
      <c r="H34" s="70">
        <f>'Roof Lift'!$E$20</f>
        <v/>
      </c>
      <c r="I34" s="70">
        <f>'Roof Lift'!$E$20</f>
        <v/>
      </c>
      <c r="J34" s="71">
        <f>H34-G34</f>
        <v/>
      </c>
      <c r="K34" s="36" t="inlineStr">
        <is>
          <t>@ $20/SF, qty 0.</t>
        </is>
      </c>
    </row>
    <row r="35">
      <c r="A35" s="31" t="inlineStr">
        <is>
          <t>092300</t>
        </is>
      </c>
      <c r="B35" s="31" t="inlineStr">
        <is>
          <t>TRADE</t>
        </is>
      </c>
      <c r="C35" s="32" t="inlineStr">
        <is>
          <t>Tile — restrooms, bars, kitchen</t>
        </is>
      </c>
      <c r="D35" s="37" t="inlineStr">
        <is>
          <t>0</t>
        </is>
      </c>
      <c r="E35" s="31" t="inlineStr"/>
      <c r="F35" s="41" t="inlineStr">
        <is>
          <t>part</t>
        </is>
      </c>
      <c r="G35" s="71" t="n">
        <v>0</v>
      </c>
      <c r="H35" s="70" t="n">
        <v>250000</v>
      </c>
      <c r="I35" s="70" t="n">
        <v>140000</v>
      </c>
      <c r="J35" s="71">
        <f>H35-G35</f>
        <v/>
      </c>
      <c r="K35" s="36" t="inlineStr">
        <is>
          <t>189 plumbing fixtures' worth of restroom tile at $30/SF, qty 0. [Infinity room: reduced to $140,000 — Restrooms only. Sealed concrete at bars and BOH.]</t>
        </is>
      </c>
    </row>
    <row r="36">
      <c r="A36" s="31" t="inlineStr">
        <is>
          <t>096000</t>
        </is>
      </c>
      <c r="B36" s="31" t="inlineStr">
        <is>
          <t>TRADE</t>
        </is>
      </c>
      <c r="C36" s="32" t="inlineStr">
        <is>
          <t>Carpet / resilient flooring — BOH, offices, dressing</t>
        </is>
      </c>
      <c r="D36" s="40" t="inlineStr">
        <is>
          <t>1</t>
        </is>
      </c>
      <c r="E36" s="31" t="inlineStr"/>
      <c r="F36" s="34" t="inlineStr">
        <is>
          <t>N</t>
        </is>
      </c>
      <c r="G36" s="71" t="n">
        <v>0</v>
      </c>
      <c r="H36" s="70" t="n">
        <v>150000</v>
      </c>
      <c r="I36" s="70" t="n">
        <v>0</v>
      </c>
      <c r="J36" s="71">
        <f>H36-G36</f>
        <v/>
      </c>
      <c r="K36" s="36" t="inlineStr">
        <is>
          <t>LVT at green rooms, carpet at office/production, VCT at box office — qty 0. [OUT of an Infinity room: Sealed concrete throughout except dressing rooms.]</t>
        </is>
      </c>
    </row>
    <row r="37">
      <c r="A37" s="31" t="inlineStr">
        <is>
          <t>096050</t>
        </is>
      </c>
      <c r="B37" s="31" t="inlineStr">
        <is>
          <t>TRADE</t>
        </is>
      </c>
      <c r="C37" s="32" t="inlineStr">
        <is>
          <t>Floor preparation</t>
        </is>
      </c>
      <c r="D37" s="37" t="inlineStr">
        <is>
          <t>0</t>
        </is>
      </c>
      <c r="E37" s="31" t="inlineStr"/>
      <c r="F37" s="38" t="inlineStr">
        <is>
          <t>Y</t>
        </is>
      </c>
      <c r="G37" s="71" t="n">
        <v>0</v>
      </c>
      <c r="H37" s="70" t="n">
        <v>25000</v>
      </c>
      <c r="I37" s="70" t="n">
        <v>25000</v>
      </c>
      <c r="J37" s="71">
        <f>H37-G37</f>
        <v/>
      </c>
      <c r="K37" s="36" t="inlineStr">
        <is>
          <t>$25k LS, qty 0.</t>
        </is>
      </c>
    </row>
    <row r="38">
      <c r="A38" s="31" t="inlineStr">
        <is>
          <t>096400</t>
        </is>
      </c>
      <c r="B38" s="31" t="inlineStr">
        <is>
          <t>TRADE</t>
        </is>
      </c>
      <c r="C38" s="32" t="inlineStr">
        <is>
          <t>Wood flooring — stage T&amp;G deck</t>
        </is>
      </c>
      <c r="D38" s="40" t="inlineStr">
        <is>
          <t>1</t>
        </is>
      </c>
      <c r="E38" s="31" t="inlineStr"/>
      <c r="F38" s="38" t="inlineStr">
        <is>
          <t>Y</t>
        </is>
      </c>
      <c r="G38" s="71" t="n">
        <v>0</v>
      </c>
      <c r="H38" s="70" t="n">
        <v>120000</v>
      </c>
      <c r="I38" s="70" t="n">
        <v>120000</v>
      </c>
      <c r="J38" s="71">
        <f>H38-G38</f>
        <v/>
      </c>
      <c r="K38" s="36" t="inlineStr">
        <is>
          <t>'F&amp;I T&amp;G Wood floor at Stage' @ $35/SF, qty 0.</t>
        </is>
      </c>
    </row>
    <row r="39">
      <c r="A39" s="31" t="inlineStr">
        <is>
          <t>099000</t>
        </is>
      </c>
      <c r="B39" s="31" t="inlineStr">
        <is>
          <t>TRADE</t>
        </is>
      </c>
      <c r="C39" s="32" t="inlineStr">
        <is>
          <t>Painting &amp; plaster</t>
        </is>
      </c>
      <c r="D39" s="37" t="inlineStr">
        <is>
          <t>0</t>
        </is>
      </c>
      <c r="E39" s="31" t="inlineStr"/>
      <c r="F39" s="41" t="inlineStr">
        <is>
          <t>part</t>
        </is>
      </c>
      <c r="G39" s="71" t="n">
        <v>0</v>
      </c>
      <c r="H39" s="70" t="n">
        <v>320000</v>
      </c>
      <c r="I39" s="70" t="n">
        <v>200000</v>
      </c>
      <c r="J39" s="71">
        <f>H39-G39</f>
        <v/>
      </c>
      <c r="K39" s="36" t="inlineStr">
        <is>
          <t>$2.50/SF, qty 0. [Infinity room: reduced to $200,000 — Exposed painted structure. No plaster, no upgraded finishes.]</t>
        </is>
      </c>
    </row>
    <row r="40">
      <c r="A40" s="31" t="inlineStr">
        <is>
          <t>100000</t>
        </is>
      </c>
      <c r="B40" s="31" t="inlineStr">
        <is>
          <t>TRADE</t>
        </is>
      </c>
      <c r="C40" s="32" t="inlineStr">
        <is>
          <t>Specialties — toilet partitions &amp; accessories, extinguishers</t>
        </is>
      </c>
      <c r="D40" s="37" t="inlineStr">
        <is>
          <t>0</t>
        </is>
      </c>
      <c r="E40" s="31" t="inlineStr"/>
      <c r="F40" s="38" t="inlineStr">
        <is>
          <t>Y</t>
        </is>
      </c>
      <c r="G40" s="71" t="n">
        <v>0</v>
      </c>
      <c r="H40" s="70" t="n">
        <v>220000</v>
      </c>
      <c r="I40" s="70" t="n">
        <v>220000</v>
      </c>
      <c r="J40" s="71">
        <f>H40-G40</f>
        <v/>
      </c>
      <c r="K40" s="36" t="inlineStr">
        <is>
          <t>189 fixtures. Partitions $1,500 EA, accessories $7,500/set, extinguishers $350 EA — all qty 0.</t>
        </is>
      </c>
    </row>
    <row r="41">
      <c r="A41" s="31" t="inlineStr">
        <is>
          <t>100500</t>
        </is>
      </c>
      <c r="B41" s="31" t="inlineStr">
        <is>
          <t>TRADE</t>
        </is>
      </c>
      <c r="C41" s="32" t="inlineStr">
        <is>
          <t>Acoustical panels &amp; K13 — music hall</t>
        </is>
      </c>
      <c r="D41" s="40" t="inlineStr">
        <is>
          <t>1</t>
        </is>
      </c>
      <c r="E41" s="31" t="inlineStr"/>
      <c r="F41" s="38" t="inlineStr">
        <is>
          <t>Y</t>
        </is>
      </c>
      <c r="G41" s="71" t="n">
        <v>0</v>
      </c>
      <c r="H41" s="70" t="n">
        <v>2000000</v>
      </c>
      <c r="I41" s="70" t="n">
        <v>2000000</v>
      </c>
      <c r="J41" s="71">
        <f>H41-G41</f>
        <v/>
      </c>
      <c r="K41" s="36" t="inlineStr">
        <is>
          <t>BOTH lines qty 0: panels @ $40/SF, K13 @ $12/SF. This is the licence to operate past midnight in East Williamsburg, not a finish. See finding C-05.</t>
        </is>
      </c>
    </row>
    <row r="42">
      <c r="A42" s="31" t="inlineStr">
        <is>
          <t>101400</t>
        </is>
      </c>
      <c r="B42" s="31" t="inlineStr">
        <is>
          <t>TRADE</t>
        </is>
      </c>
      <c r="C42" s="32" t="inlineStr">
        <is>
          <t>Signage — interior door, directional, misc</t>
        </is>
      </c>
      <c r="D42" s="40" t="inlineStr">
        <is>
          <t>1</t>
        </is>
      </c>
      <c r="E42" s="31" t="inlineStr"/>
      <c r="F42" s="38" t="inlineStr">
        <is>
          <t>Y</t>
        </is>
      </c>
      <c r="G42" s="71" t="n">
        <v>0</v>
      </c>
      <c r="H42" s="70" t="n">
        <v>25000</v>
      </c>
      <c r="I42" s="70" t="n">
        <v>25000</v>
      </c>
      <c r="J42" s="71">
        <f>H42-G42</f>
        <v/>
      </c>
      <c r="K42" s="36" t="inlineStr">
        <is>
          <t>Qty 0.</t>
        </is>
      </c>
    </row>
    <row r="43">
      <c r="A43" s="31" t="inlineStr">
        <is>
          <t>120000</t>
        </is>
      </c>
      <c r="B43" s="31" t="inlineStr">
        <is>
          <t>TRADE</t>
        </is>
      </c>
      <c r="C43" s="32" t="inlineStr">
        <is>
          <t>FF&amp;E installation labour</t>
        </is>
      </c>
      <c r="D43" s="40" t="inlineStr">
        <is>
          <t>1</t>
        </is>
      </c>
      <c r="E43" s="31" t="inlineStr"/>
      <c r="F43" s="38" t="inlineStr">
        <is>
          <t>Y</t>
        </is>
      </c>
      <c r="G43" s="71" t="n">
        <v>600000</v>
      </c>
      <c r="H43" s="70" t="n">
        <v>600000</v>
      </c>
      <c r="I43" s="70" t="n">
        <v>600000</v>
      </c>
      <c r="J43" s="71">
        <f>H43-G43</f>
        <v/>
      </c>
      <c r="K43" s="36" t="inlineStr">
        <is>
          <t>Installation of owner-furnished FF&amp;E. MT F35 asked bars-or-chairs: neither, it is install labour.</t>
        </is>
      </c>
    </row>
    <row r="44">
      <c r="A44" s="31" t="inlineStr">
        <is>
          <t>142000</t>
        </is>
      </c>
      <c r="B44" s="31" t="inlineStr">
        <is>
          <t>TRADE</t>
        </is>
      </c>
      <c r="C44" s="32" t="inlineStr">
        <is>
          <t>Elevators — 2 cars x 4 stops</t>
        </is>
      </c>
      <c r="D44" s="37" t="inlineStr">
        <is>
          <t>0</t>
        </is>
      </c>
      <c r="E44" s="31" t="inlineStr"/>
      <c r="F44" s="41" t="inlineStr">
        <is>
          <t>part</t>
        </is>
      </c>
      <c r="G44" s="71" t="n">
        <v>600000</v>
      </c>
      <c r="H44" s="70" t="n">
        <v>600000</v>
      </c>
      <c r="I44" s="70" t="n">
        <v>300000</v>
      </c>
      <c r="J44" s="71">
        <f>H44-G44</f>
        <v/>
      </c>
      <c r="K44" s="36" t="inlineStr">
        <is>
          <t>ADA and BOH/production access across 4 levels. Underwriting carried only $200k for one 2-stop hydraulic — dev budget is the better number. [Infinity room: reduced to $300,000 — Two levels not four: one ADA car, two stops, plus a small BOH lift. Still code-required.]</t>
        </is>
      </c>
    </row>
    <row r="45">
      <c r="A45" s="31" t="inlineStr">
        <is>
          <t>210000</t>
        </is>
      </c>
      <c r="B45" s="31" t="inlineStr">
        <is>
          <t>TRADE</t>
        </is>
      </c>
      <c r="C45" s="32" t="inlineStr">
        <is>
          <t>Fire protection / sprinkler (ESFR)</t>
        </is>
      </c>
      <c r="D45" s="37" t="inlineStr">
        <is>
          <t>0</t>
        </is>
      </c>
      <c r="E45" s="31" t="inlineStr"/>
      <c r="F45" s="38" t="inlineStr">
        <is>
          <t>Y</t>
        </is>
      </c>
      <c r="G45" s="71" t="n">
        <v>1026000</v>
      </c>
      <c r="H45" s="70" t="n">
        <v>1150000</v>
      </c>
      <c r="I45" s="70" t="n">
        <v>1150000</v>
      </c>
      <c r="J45" s="71">
        <f>H45-G45</f>
        <v/>
      </c>
      <c r="K45" s="36" t="inlineStr">
        <is>
          <t>Priced over 122,300 SF against a 135,953 SF building — short by ~11% of area.</t>
        </is>
      </c>
    </row>
    <row r="46">
      <c r="A46" s="31" t="inlineStr">
        <is>
          <t>220000</t>
        </is>
      </c>
      <c r="B46" s="31" t="inlineStr">
        <is>
          <t>TRADE</t>
        </is>
      </c>
      <c r="C46" s="32" t="inlineStr">
        <is>
          <t>Plumbing — 189 fixtures, drains, water heaters</t>
        </is>
      </c>
      <c r="D46" s="37" t="inlineStr">
        <is>
          <t>0</t>
        </is>
      </c>
      <c r="E46" s="31" t="inlineStr"/>
      <c r="F46" s="38" t="inlineStr">
        <is>
          <t>Y</t>
        </is>
      </c>
      <c r="G46" s="71" t="n">
        <v>1344500</v>
      </c>
      <c r="H46" s="70" t="n">
        <v>1344500</v>
      </c>
      <c r="I46" s="70" t="n">
        <v>1344500</v>
      </c>
      <c r="J46" s="71">
        <f>H46-G46</f>
        <v/>
      </c>
      <c r="K46" s="36" t="inlineStr">
        <is>
          <t>60 WC + 78 lavs + 51 urinals + 6 showers. Matches NYC code at 7,440 cap; underwriting assumed only 100 fixtures.</t>
        </is>
      </c>
    </row>
    <row r="47">
      <c r="A47" s="31" t="inlineStr">
        <is>
          <t>220000</t>
        </is>
      </c>
      <c r="B47" s="31" t="inlineStr">
        <is>
          <t>TRADE</t>
        </is>
      </c>
      <c r="C47" s="32" t="inlineStr">
        <is>
          <t>Plumbing — bar roughing, 9 bars</t>
        </is>
      </c>
      <c r="D47" s="40" t="inlineStr">
        <is>
          <t>1</t>
        </is>
      </c>
      <c r="E47" s="31" t="inlineStr"/>
      <c r="F47" s="41" t="inlineStr">
        <is>
          <t>part</t>
        </is>
      </c>
      <c r="G47" s="71" t="n">
        <v>0</v>
      </c>
      <c r="H47" s="70" t="n">
        <v>400000</v>
      </c>
      <c r="I47" s="70" t="n">
        <v>265000</v>
      </c>
      <c r="J47" s="71">
        <f>H47-G47</f>
        <v/>
      </c>
      <c r="K47" s="36" t="inlineStr">
        <is>
          <t>$40,000-75,000 per bar, all qty 0. Stays our scope even if the kitchen is outsourced. [Infinity room: reduced to $265,000 — Six bars.]</t>
        </is>
      </c>
    </row>
    <row r="48">
      <c r="A48" s="31" t="inlineStr">
        <is>
          <t>220000</t>
        </is>
      </c>
      <c r="B48" s="31" t="inlineStr">
        <is>
          <t>TRADE</t>
        </is>
      </c>
      <c r="C48" s="32" t="inlineStr">
        <is>
          <t>Plumbing — kitchen roughing, gas piping to kitchen</t>
        </is>
      </c>
      <c r="D48" s="33" t="inlineStr">
        <is>
          <t>2</t>
        </is>
      </c>
      <c r="E48" s="31" t="inlineStr"/>
      <c r="F48" s="34" t="inlineStr">
        <is>
          <t>N</t>
        </is>
      </c>
      <c r="G48" s="71" t="n">
        <v>0</v>
      </c>
      <c r="H48" s="70" t="n">
        <v>135000</v>
      </c>
      <c r="I48" s="70" t="n">
        <v>0</v>
      </c>
      <c r="J48" s="71">
        <f>H48-G48</f>
        <v/>
      </c>
      <c r="K48" s="36" t="inlineStr">
        <is>
          <t>$135k LS qty 0. Removed if the kitchen is outsourced per MT I49/I154. [OUT of an Infinity room: Follows the kitchen out.]</t>
        </is>
      </c>
    </row>
    <row r="49">
      <c r="A49" s="31" t="inlineStr">
        <is>
          <t>220000</t>
        </is>
      </c>
      <c r="B49" s="31" t="inlineStr">
        <is>
          <t>TRADE</t>
        </is>
      </c>
      <c r="C49" s="32" t="inlineStr">
        <is>
          <t>Plumbing — roof drains, gas to equipment, firestopping, misc</t>
        </is>
      </c>
      <c r="D49" s="37" t="inlineStr">
        <is>
          <t>0</t>
        </is>
      </c>
      <c r="E49" s="31" t="inlineStr"/>
      <c r="F49" s="38" t="inlineStr">
        <is>
          <t>Y</t>
        </is>
      </c>
      <c r="G49" s="71" t="n">
        <v>0</v>
      </c>
      <c r="H49" s="70" t="n">
        <v>160000</v>
      </c>
      <c r="I49" s="70" t="n">
        <v>160000</v>
      </c>
      <c r="J49" s="71">
        <f>H49-G49</f>
        <v/>
      </c>
      <c r="K49" s="36" t="inlineStr">
        <is>
          <t>Roof drains $8,500 EA, gas piping $55k, firestopping $15k — all qty 0.</t>
        </is>
      </c>
    </row>
    <row r="50">
      <c r="A50" s="31" t="inlineStr">
        <is>
          <t>230000</t>
        </is>
      </c>
      <c r="B50" s="31" t="inlineStr">
        <is>
          <t>TRADE</t>
        </is>
      </c>
      <c r="C50" s="32" t="inlineStr">
        <is>
          <t>HVAC — 400-500 ton system + BMS</t>
        </is>
      </c>
      <c r="D50" s="37" t="inlineStr">
        <is>
          <t>0</t>
        </is>
      </c>
      <c r="E50" s="31" t="inlineStr"/>
      <c r="F50" s="38" t="inlineStr">
        <is>
          <t>Y</t>
        </is>
      </c>
      <c r="G50" s="71" t="n">
        <v>5300000</v>
      </c>
      <c r="H50" s="70" t="n">
        <v>5300000</v>
      </c>
      <c r="I50" s="70" t="n">
        <v>5300000</v>
      </c>
      <c r="J50" s="71">
        <f>H50-G50</f>
        <v/>
      </c>
      <c r="K50" s="36" t="inlineStr">
        <is>
          <t>QUESTION THE BASIS. Filed as 120,000 SF x $40 + $500k BMS. The building footprint is 74,100 SF, so the rate is applied to ~62% more area than exists. Tonnage (400-500 ton) looks right for 7,440 occupants — people alone are ~250 tons — but $/SF is the wrong pricing basis. On footprint the same rate gives $3.46M. Confirm with the mechanical engineer whether this is priced on load or on area.</t>
        </is>
      </c>
    </row>
    <row r="51">
      <c r="A51" s="31" t="inlineStr">
        <is>
          <t>230000</t>
        </is>
      </c>
      <c r="B51" s="31" t="inlineStr">
        <is>
          <t>TRADE</t>
        </is>
      </c>
      <c r="C51" s="32" t="inlineStr">
        <is>
          <t>Heating — radiant tube / panel at 50ft</t>
        </is>
      </c>
      <c r="D51" s="37" t="inlineStr">
        <is>
          <t>0</t>
        </is>
      </c>
      <c r="E51" s="31" t="inlineStr"/>
      <c r="F51" s="38" t="inlineStr">
        <is>
          <t>Y</t>
        </is>
      </c>
      <c r="G51" s="71" t="n">
        <v>0</v>
      </c>
      <c r="H51" s="70" t="n">
        <v>815100</v>
      </c>
      <c r="I51" s="70" t="n">
        <v>815100</v>
      </c>
      <c r="J51" s="71">
        <f>H51-G51</f>
        <v/>
      </c>
      <c r="K51" s="36" t="inlineStr">
        <is>
          <t>MT F40: 'Do we need heat?' — yes. No heating line exists in the dev budget at all. Underwriting carries $815,100 on the correct reasoning that forced air fails at height.</t>
        </is>
      </c>
    </row>
    <row r="52">
      <c r="A52" s="31" t="inlineStr">
        <is>
          <t>260000</t>
        </is>
      </c>
      <c r="B52" s="31" t="inlineStr">
        <is>
          <t>TRADE</t>
        </is>
      </c>
      <c r="C52" s="32" t="inlineStr">
        <is>
          <t>Electrical — 2 x 2,500A switchboards, temp power, firestop</t>
        </is>
      </c>
      <c r="D52" s="37" t="inlineStr">
        <is>
          <t>0</t>
        </is>
      </c>
      <c r="E52" s="31" t="inlineStr"/>
      <c r="F52" s="38" t="inlineStr">
        <is>
          <t>Y</t>
        </is>
      </c>
      <c r="G52" s="71" t="n">
        <v>558750</v>
      </c>
      <c r="H52" s="70" t="n">
        <v>558750</v>
      </c>
      <c r="I52" s="70" t="n">
        <v>558750</v>
      </c>
      <c r="J52" s="71">
        <f>H52-G52</f>
        <v/>
      </c>
      <c r="K52" s="36" t="inlineStr">
        <is>
          <t>The ONLY funded electrical scope in the file.</t>
        </is>
      </c>
    </row>
    <row r="53">
      <c r="A53" s="31" t="inlineStr">
        <is>
          <t>260000</t>
        </is>
      </c>
      <c r="B53" s="31" t="inlineStr">
        <is>
          <t>TRADE</t>
        </is>
      </c>
      <c r="C53" s="32" t="inlineStr">
        <is>
          <t>Electrical — Con Ed service: vault, feeders, transformer, CT</t>
        </is>
      </c>
      <c r="D53" s="37" t="inlineStr">
        <is>
          <t>0</t>
        </is>
      </c>
      <c r="E53" s="31" t="inlineStr"/>
      <c r="F53" s="38" t="inlineStr">
        <is>
          <t>Y</t>
        </is>
      </c>
      <c r="G53" s="71" t="n">
        <v>0</v>
      </c>
      <c r="H53" s="70" t="n">
        <v>1400000</v>
      </c>
      <c r="I53" s="70" t="n">
        <v>1400000</v>
      </c>
      <c r="J53" s="71">
        <f>H53-G53</f>
        <v/>
      </c>
      <c r="K53" s="36" t="inlineStr">
        <is>
          <t>Soft costs carry the $50k Con Ed FEE only — note says 'Only Con Ed costs carried'. Trade lines for CT cabinet, transformer and combining services are all qty 0.</t>
        </is>
      </c>
    </row>
    <row r="54">
      <c r="A54" s="31" t="inlineStr">
        <is>
          <t>260000</t>
        </is>
      </c>
      <c r="B54" s="31" t="inlineStr">
        <is>
          <t>TRADE</t>
        </is>
      </c>
      <c r="C54" s="32" t="inlineStr">
        <is>
          <t>Electrical — panels, secondary distribution, branch power</t>
        </is>
      </c>
      <c r="D54" s="37" t="inlineStr">
        <is>
          <t>0</t>
        </is>
      </c>
      <c r="E54" s="31" t="inlineStr"/>
      <c r="F54" s="38" t="inlineStr">
        <is>
          <t>Y</t>
        </is>
      </c>
      <c r="G54" s="71" t="n">
        <v>0</v>
      </c>
      <c r="H54" s="70" t="n">
        <v>2000000</v>
      </c>
      <c r="I54" s="70" t="n">
        <v>2000000</v>
      </c>
      <c r="J54" s="71">
        <f>H54-G54</f>
        <v/>
      </c>
      <c r="K54" s="36" t="inlineStr">
        <is>
          <t>General power, kitchen circuits, mechanical power, VAV/EF power, panels &amp; secondary distribution — every line qty 0. MT F41: 'Can stages plug in here?' — no.</t>
        </is>
      </c>
    </row>
    <row r="55">
      <c r="A55" s="31" t="inlineStr">
        <is>
          <t>260000</t>
        </is>
      </c>
      <c r="B55" s="31" t="inlineStr">
        <is>
          <t>TRADE</t>
        </is>
      </c>
      <c r="C55" s="32" t="inlineStr">
        <is>
          <t>Electrical — production power, company switches, cam-lok, distro</t>
        </is>
      </c>
      <c r="D55" s="40" t="inlineStr">
        <is>
          <t>1</t>
        </is>
      </c>
      <c r="E55" s="31" t="inlineStr"/>
      <c r="F55" s="38" t="inlineStr">
        <is>
          <t>Y</t>
        </is>
      </c>
      <c r="G55" s="71" t="n">
        <v>0</v>
      </c>
      <c r="H55" s="70" t="n">
        <v>1000000</v>
      </c>
      <c r="I55" s="70" t="n">
        <v>1000000</v>
      </c>
      <c r="J55" s="71">
        <f>H55-G55</f>
        <v/>
      </c>
      <c r="K55" s="36" t="inlineStr">
        <is>
          <t>Touring rig tie-ins. Underwriting carried $1.5M for this; dev budget carries nothing.</t>
        </is>
      </c>
    </row>
    <row r="56">
      <c r="A56" s="31" t="inlineStr">
        <is>
          <t>265000</t>
        </is>
      </c>
      <c r="B56" s="31" t="inlineStr">
        <is>
          <t>TRADE</t>
        </is>
      </c>
      <c r="C56" s="32" t="inlineStr">
        <is>
          <t>Lighting &amp; controls — exit signs, BOH, emergency</t>
        </is>
      </c>
      <c r="D56" s="37" t="inlineStr">
        <is>
          <t>0</t>
        </is>
      </c>
      <c r="E56" s="31" t="inlineStr"/>
      <c r="F56" s="38" t="inlineStr">
        <is>
          <t>Y</t>
        </is>
      </c>
      <c r="G56" s="71" t="n">
        <v>40000</v>
      </c>
      <c r="H56" s="70" t="n">
        <v>40000</v>
      </c>
      <c r="I56" s="70" t="n">
        <v>40000</v>
      </c>
      <c r="J56" s="71">
        <f>H56-G56</f>
        <v/>
      </c>
      <c r="K56" s="36" t="inlineStr">
        <is>
          <t>Life safety. Emergency lighting package itself is qty 0.</t>
        </is>
      </c>
    </row>
    <row r="57">
      <c r="A57" s="31" t="inlineStr">
        <is>
          <t>270000</t>
        </is>
      </c>
      <c r="B57" s="31" t="inlineStr">
        <is>
          <t>TRADE</t>
        </is>
      </c>
      <c r="C57" s="32" t="inlineStr">
        <is>
          <t>Low voltage — structured cabling, CCTV wiring, AV, phone/data</t>
        </is>
      </c>
      <c r="D57" s="40" t="inlineStr">
        <is>
          <t>1</t>
        </is>
      </c>
      <c r="E57" s="31" t="inlineStr"/>
      <c r="F57" s="38" t="inlineStr">
        <is>
          <t>Y</t>
        </is>
      </c>
      <c r="G57" s="71" t="n">
        <v>187500</v>
      </c>
      <c r="H57" s="70" t="n">
        <v>500000</v>
      </c>
      <c r="I57" s="70" t="n">
        <v>500000</v>
      </c>
      <c r="J57" s="71">
        <f>H57-G57</f>
        <v/>
      </c>
      <c r="K57" s="36" t="inlineStr">
        <is>
          <t>110 camera drops + $60k AV + $45k phone/data. Light for a venue this size.</t>
        </is>
      </c>
    </row>
    <row r="58">
      <c r="A58" s="31" t="inlineStr">
        <is>
          <t>283100</t>
        </is>
      </c>
      <c r="B58" s="31" t="inlineStr">
        <is>
          <t>TRADE</t>
        </is>
      </c>
      <c r="C58" s="32" t="inlineStr">
        <is>
          <t>Fire alarm + Vesda</t>
        </is>
      </c>
      <c r="D58" s="37" t="inlineStr">
        <is>
          <t>0</t>
        </is>
      </c>
      <c r="E58" s="31" t="inlineStr"/>
      <c r="F58" s="38" t="inlineStr">
        <is>
          <t>Y</t>
        </is>
      </c>
      <c r="G58" s="71" t="n">
        <v>400000</v>
      </c>
      <c r="H58" s="70" t="n">
        <v>490000</v>
      </c>
      <c r="I58" s="70" t="n">
        <v>490000</v>
      </c>
      <c r="J58" s="71">
        <f>H58-G58</f>
        <v/>
      </c>
      <c r="K58" s="36" t="inlineStr">
        <is>
          <t>Priced over 100,000 SF vs 135,953 SF building. MT H429 asked about a double count — there is none, the two Breakdown lines sum to the Detail tab's $400,000.</t>
        </is>
      </c>
    </row>
    <row r="59">
      <c r="A59" s="31" t="inlineStr">
        <is>
          <t>320000</t>
        </is>
      </c>
      <c r="B59" s="31" t="inlineStr">
        <is>
          <t>TRADE</t>
        </is>
      </c>
      <c r="C59" s="32" t="inlineStr">
        <is>
          <t>Sitework — sidewalks around building</t>
        </is>
      </c>
      <c r="D59" s="37" t="inlineStr">
        <is>
          <t>0</t>
        </is>
      </c>
      <c r="E59" s="31" t="inlineStr"/>
      <c r="F59" s="38" t="inlineStr">
        <is>
          <t>Y</t>
        </is>
      </c>
      <c r="G59" s="71" t="n">
        <v>0</v>
      </c>
      <c r="H59" s="70" t="n">
        <v>90000</v>
      </c>
      <c r="I59" s="70" t="n">
        <v>90000</v>
      </c>
      <c r="J59" s="71">
        <f>H59-G59</f>
        <v/>
      </c>
      <c r="K59" s="36" t="inlineStr">
        <is>
          <t>$40k LS, qty 0, plus DOT/curb.</t>
        </is>
      </c>
    </row>
    <row r="60">
      <c r="A60" s="31" t="inlineStr">
        <is>
          <t>201</t>
        </is>
      </c>
      <c r="B60" s="31" t="inlineStr">
        <is>
          <t>SOFT</t>
        </is>
      </c>
      <c r="C60" s="32" t="inlineStr">
        <is>
          <t>Abatement — asbestos/hazmat, ACP-5</t>
        </is>
      </c>
      <c r="D60" s="37" t="inlineStr">
        <is>
          <t>0</t>
        </is>
      </c>
      <c r="E60" s="31" t="inlineStr"/>
      <c r="F60" s="38" t="inlineStr">
        <is>
          <t>Y</t>
        </is>
      </c>
      <c r="G60" s="71" t="n">
        <v>8750</v>
      </c>
      <c r="H60" s="70" t="n">
        <v>1000000</v>
      </c>
      <c r="I60" s="70" t="n">
        <v>1000000</v>
      </c>
      <c r="J60" s="71">
        <f>H60-G60</f>
        <v/>
      </c>
      <c r="K60" s="36" t="inlineStr">
        <is>
          <t>Filed at 350 SF x $25 = $8,750 on a 1948 building whose demo tab schedules 74,000 SF of precast roof 'abatement by others'. MT G32: 'this is super low'.</t>
        </is>
      </c>
    </row>
    <row r="61">
      <c r="A61" s="31" t="inlineStr">
        <is>
          <t>202</t>
        </is>
      </c>
      <c r="B61" s="31" t="inlineStr">
        <is>
          <t>SOFT</t>
        </is>
      </c>
      <c r="C61" s="32" t="inlineStr">
        <is>
          <t>Due diligence &amp; feasibility study</t>
        </is>
      </c>
      <c r="D61" s="37" t="inlineStr">
        <is>
          <t>0</t>
        </is>
      </c>
      <c r="E61" s="31" t="inlineStr"/>
      <c r="F61" s="38" t="inlineStr">
        <is>
          <t>Y</t>
        </is>
      </c>
      <c r="G61" s="71" t="n">
        <v>342000</v>
      </c>
      <c r="H61" s="70" t="n">
        <v>342000</v>
      </c>
      <c r="I61" s="70" t="n">
        <v>342000</v>
      </c>
      <c r="J61" s="71">
        <f>H61-G61</f>
        <v/>
      </c>
      <c r="K61" s="36" t="inlineStr">
        <is>
          <t>Already committed. Carries environmental studies and SLA legal per its own notes.</t>
        </is>
      </c>
    </row>
    <row r="62">
      <c r="A62" s="31" t="inlineStr">
        <is>
          <t>203</t>
        </is>
      </c>
      <c r="B62" s="31" t="inlineStr">
        <is>
          <t>SOFT</t>
        </is>
      </c>
      <c r="C62" s="32" t="inlineStr">
        <is>
          <t>Architecture &amp; engineering (Wake) + consultants</t>
        </is>
      </c>
      <c r="D62" s="37" t="inlineStr">
        <is>
          <t>0</t>
        </is>
      </c>
      <c r="E62" s="31" t="inlineStr"/>
      <c r="F62" s="38" t="inlineStr">
        <is>
          <t>Y</t>
        </is>
      </c>
      <c r="G62" s="71" t="n">
        <v>2626000</v>
      </c>
      <c r="H62" s="70" t="n">
        <v>2626000</v>
      </c>
      <c r="I62" s="70" t="n">
        <v>2626000</v>
      </c>
      <c r="J62" s="71">
        <f>H62-G62</f>
        <v/>
      </c>
      <c r="K62" s="36" t="inlineStr">
        <is>
          <t>A&amp;E $2.2M with MEP and structural folded in ('carried in line #3'). MT I34/G25 asked for a breakout — there isn't one.</t>
        </is>
      </c>
    </row>
    <row r="63">
      <c r="A63" s="31" t="inlineStr">
        <is>
          <t>204</t>
        </is>
      </c>
      <c r="B63" s="31" t="inlineStr">
        <is>
          <t>SOFT</t>
        </is>
      </c>
      <c r="C63" s="32" t="inlineStr">
        <is>
          <t>Civil engineering</t>
        </is>
      </c>
      <c r="D63" s="37" t="inlineStr">
        <is>
          <t>0</t>
        </is>
      </c>
      <c r="E63" s="31" t="inlineStr"/>
      <c r="F63" s="38" t="inlineStr">
        <is>
          <t>Y</t>
        </is>
      </c>
      <c r="G63" s="71" t="n">
        <v>10000</v>
      </c>
      <c r="H63" s="70" t="n">
        <v>10000</v>
      </c>
      <c r="I63" s="70" t="n">
        <v>10000</v>
      </c>
      <c r="J63" s="71">
        <f>H63-G63</f>
        <v/>
      </c>
      <c r="K63" s="36" t="inlineStr"/>
    </row>
    <row r="64">
      <c r="A64" s="31" t="inlineStr">
        <is>
          <t>205</t>
        </is>
      </c>
      <c r="B64" s="31" t="inlineStr">
        <is>
          <t>SOFT</t>
        </is>
      </c>
      <c r="C64" s="32" t="inlineStr">
        <is>
          <t>Traffic engineering</t>
        </is>
      </c>
      <c r="D64" s="37" t="inlineStr">
        <is>
          <t>0</t>
        </is>
      </c>
      <c r="E64" s="31" t="inlineStr"/>
      <c r="F64" s="38" t="inlineStr">
        <is>
          <t>Y</t>
        </is>
      </c>
      <c r="G64" s="71" t="n">
        <v>10000</v>
      </c>
      <c r="H64" s="70" t="n">
        <v>25000</v>
      </c>
      <c r="I64" s="70" t="n">
        <v>25000</v>
      </c>
      <c r="J64" s="71">
        <f>H64-G64</f>
        <v/>
      </c>
      <c r="K64" s="36" t="inlineStr">
        <is>
          <t>MT G45: 'prob more'.</t>
        </is>
      </c>
    </row>
    <row r="65">
      <c r="A65" s="31" t="inlineStr">
        <is>
          <t>206</t>
        </is>
      </c>
      <c r="B65" s="31" t="inlineStr">
        <is>
          <t>SOFT</t>
        </is>
      </c>
      <c r="C65" s="32" t="inlineStr">
        <is>
          <t>Acoustical engineering &amp; design</t>
        </is>
      </c>
      <c r="D65" s="40" t="inlineStr">
        <is>
          <t>1</t>
        </is>
      </c>
      <c r="E65" s="31" t="inlineStr"/>
      <c r="F65" s="38" t="inlineStr">
        <is>
          <t>Y</t>
        </is>
      </c>
      <c r="G65" s="71" t="n">
        <v>15000</v>
      </c>
      <c r="H65" s="70" t="n">
        <v>200000</v>
      </c>
      <c r="I65" s="70" t="n">
        <v>200000</v>
      </c>
      <c r="J65" s="71">
        <f>H65-G65</f>
        <v/>
      </c>
      <c r="K65" s="36" t="inlineStr">
        <is>
          <t>MT G53: '15-25k' — correct for testing/documentation, which is what the $15k is. Designing 2,000,000 of treatment is a different fee.</t>
        </is>
      </c>
    </row>
    <row r="66">
      <c r="A66" s="31" t="inlineStr">
        <is>
          <t>207</t>
        </is>
      </c>
      <c r="B66" s="31" t="inlineStr">
        <is>
          <t>SOFT</t>
        </is>
      </c>
      <c r="C66" s="32" t="inlineStr">
        <is>
          <t>Geotechnical — 13 borings 50ft deep</t>
        </is>
      </c>
      <c r="D66" s="37" t="inlineStr">
        <is>
          <t>0</t>
        </is>
      </c>
      <c r="E66" s="31" t="inlineStr"/>
      <c r="F66" s="38" t="inlineStr">
        <is>
          <t>Y</t>
        </is>
      </c>
      <c r="G66" s="71" t="n">
        <v>150000</v>
      </c>
      <c r="H66" s="70" t="n">
        <v>150000</v>
      </c>
      <c r="I66" s="70" t="n">
        <v>150000</v>
      </c>
      <c r="J66" s="71">
        <f>H66-G66</f>
        <v/>
      </c>
      <c r="K66" s="36" t="inlineStr">
        <is>
          <t>Required for the structural permit. Evidence the roof raise is real scope even though it is priced at zero.</t>
        </is>
      </c>
    </row>
    <row r="67">
      <c r="A67" s="31" t="inlineStr">
        <is>
          <t>208</t>
        </is>
      </c>
      <c r="B67" s="31" t="inlineStr">
        <is>
          <t>SOFT</t>
        </is>
      </c>
      <c r="C67" s="32" t="inlineStr">
        <is>
          <t>Environmental studies — Phase I / Phase II</t>
        </is>
      </c>
      <c r="D67" s="37" t="inlineStr">
        <is>
          <t>0</t>
        </is>
      </c>
      <c r="E67" s="31" t="inlineStr"/>
      <c r="F67" s="38" t="inlineStr">
        <is>
          <t>Y</t>
        </is>
      </c>
      <c r="G67" s="71" t="n">
        <v>0</v>
      </c>
      <c r="H67" s="70" t="n">
        <v>150000</v>
      </c>
      <c r="I67" s="70" t="n">
        <v>150000</v>
      </c>
      <c r="J67" s="71">
        <f>H67-G67</f>
        <v/>
      </c>
      <c r="K67" s="36" t="inlineStr">
        <is>
          <t>Filed $0, 'carried in Feasibility Study'. Phase I still Pending on a 1948 industrial site.</t>
        </is>
      </c>
    </row>
    <row r="68">
      <c r="A68" s="31" t="inlineStr">
        <is>
          <t>209</t>
        </is>
      </c>
      <c r="B68" s="31" t="inlineStr">
        <is>
          <t>SOFT</t>
        </is>
      </c>
      <c r="C68" s="32" t="inlineStr">
        <is>
          <t>Zoning, permit &amp; filing fees, FDNY</t>
        </is>
      </c>
      <c r="D68" s="37" t="inlineStr">
        <is>
          <t>0</t>
        </is>
      </c>
      <c r="E68" s="31" t="inlineStr"/>
      <c r="F68" s="38" t="inlineStr">
        <is>
          <t>Y</t>
        </is>
      </c>
      <c r="G68" s="71" t="n">
        <v>225000</v>
      </c>
      <c r="H68" s="70" t="n">
        <v>225000</v>
      </c>
      <c r="I68" s="70" t="n">
        <v>225000</v>
      </c>
      <c r="J68" s="71">
        <f>H68-G68</f>
        <v/>
      </c>
      <c r="K68" s="36" t="inlineStr">
        <is>
          <t>Permit/plan review $90k, Special Projects $50k, FA consultant $35k, fire safety plan $21.5k, FDNY filing $18.5k.</t>
        </is>
      </c>
    </row>
    <row r="69">
      <c r="A69" s="31" t="inlineStr">
        <is>
          <t>210</t>
        </is>
      </c>
      <c r="B69" s="31" t="inlineStr">
        <is>
          <t>SOFT</t>
        </is>
      </c>
      <c r="C69" s="32" t="inlineStr">
        <is>
          <t>Utility connection fees (Con Ed charge only)</t>
        </is>
      </c>
      <c r="D69" s="37" t="inlineStr">
        <is>
          <t>0</t>
        </is>
      </c>
      <c r="E69" s="31" t="inlineStr"/>
      <c r="F69" s="38" t="inlineStr">
        <is>
          <t>Y</t>
        </is>
      </c>
      <c r="G69" s="71" t="n">
        <v>50000</v>
      </c>
      <c r="H69" s="70" t="n">
        <v>50000</v>
      </c>
      <c r="I69" s="70" t="n">
        <v>50000</v>
      </c>
      <c r="J69" s="71">
        <f>H69-G69</f>
        <v/>
      </c>
      <c r="K69" s="36" t="inlineStr">
        <is>
          <t>The fee. The physical work is the trade line above.</t>
        </is>
      </c>
    </row>
    <row r="70">
      <c r="A70" s="31" t="inlineStr">
        <is>
          <t>211</t>
        </is>
      </c>
      <c r="B70" s="31" t="inlineStr">
        <is>
          <t>SOFT</t>
        </is>
      </c>
      <c r="C70" s="32" t="inlineStr">
        <is>
          <t>Attorney fees — SLA, lease, DOB</t>
        </is>
      </c>
      <c r="D70" s="37" t="inlineStr">
        <is>
          <t>0</t>
        </is>
      </c>
      <c r="E70" s="31" t="inlineStr"/>
      <c r="F70" s="38" t="inlineStr">
        <is>
          <t>Y</t>
        </is>
      </c>
      <c r="G70" s="71" t="n">
        <v>0</v>
      </c>
      <c r="H70" s="70" t="n">
        <v>250000</v>
      </c>
      <c r="I70" s="70" t="n">
        <v>250000</v>
      </c>
      <c r="J70" s="71">
        <f>H70-G70</f>
        <v/>
      </c>
      <c r="K70" s="36" t="inlineStr">
        <is>
          <t>Filed $0, 'carried in Feasibility DD'. Covers THREE things that gate opening: the SLA liquor licence, the NYC cabaret licence, and the theater use-classification filing that both depend on. The classification has to be established in the technical drawings at DOB filing — retro-fitting it later is expensive and can fail. Not a line to leave at zero.</t>
        </is>
      </c>
    </row>
    <row r="71">
      <c r="A71" s="31" t="inlineStr">
        <is>
          <t>212</t>
        </is>
      </c>
      <c r="B71" s="31" t="inlineStr">
        <is>
          <t>SOFT</t>
        </is>
      </c>
      <c r="C71" s="32" t="inlineStr">
        <is>
          <t>Testing / controlled inspections</t>
        </is>
      </c>
      <c r="D71" s="37" t="inlineStr">
        <is>
          <t>0</t>
        </is>
      </c>
      <c r="E71" s="31" t="inlineStr"/>
      <c r="F71" s="38" t="inlineStr">
        <is>
          <t>Y</t>
        </is>
      </c>
      <c r="G71" s="71" t="n">
        <v>50000</v>
      </c>
      <c r="H71" s="70" t="n">
        <v>50000</v>
      </c>
      <c r="I71" s="70" t="n">
        <v>50000</v>
      </c>
      <c r="J71" s="71">
        <f>H71-G71</f>
        <v/>
      </c>
      <c r="K71" s="36" t="inlineStr"/>
    </row>
    <row r="72">
      <c r="A72" s="31" t="inlineStr">
        <is>
          <t>213</t>
        </is>
      </c>
      <c r="B72" s="31" t="inlineStr">
        <is>
          <t>SOFT</t>
        </is>
      </c>
      <c r="C72" s="32" t="inlineStr">
        <is>
          <t>Project management (Live Nation) + estimating</t>
        </is>
      </c>
      <c r="D72" s="37" t="inlineStr">
        <is>
          <t>0</t>
        </is>
      </c>
      <c r="E72" s="31" t="inlineStr"/>
      <c r="F72" s="38" t="inlineStr">
        <is>
          <t>Y</t>
        </is>
      </c>
      <c r="G72" s="71" t="n">
        <v>520000</v>
      </c>
      <c r="H72" s="70" t="n">
        <v>1200000</v>
      </c>
      <c r="I72" s="70" t="n">
        <v>1200000</v>
      </c>
      <c r="J72" s="71">
        <f>H72-G72</f>
        <v/>
      </c>
      <c r="K72" s="36" t="inlineStr">
        <is>
          <t>Filed at 1.2% of project cost against a 2-4% norm. Set to 2.5%.</t>
        </is>
      </c>
    </row>
    <row r="73">
      <c r="A73" s="31" t="inlineStr">
        <is>
          <t>301</t>
        </is>
      </c>
      <c r="B73" s="31" t="inlineStr">
        <is>
          <t>FFE</t>
        </is>
      </c>
      <c r="C73" s="32" t="inlineStr">
        <is>
          <t>Seating — theatre GA folding chairs (3,714)</t>
        </is>
      </c>
      <c r="D73" s="33" t="inlineStr">
        <is>
          <t>2</t>
        </is>
      </c>
      <c r="E73" s="31" t="inlineStr"/>
      <c r="F73" s="38" t="inlineStr">
        <is>
          <t>Y</t>
        </is>
      </c>
      <c r="G73" s="71" t="n">
        <v>464250</v>
      </c>
      <c r="H73" s="70" t="n">
        <v>92850</v>
      </c>
      <c r="I73" s="70" t="n">
        <v>92850</v>
      </c>
      <c r="J73" s="71">
        <f>H73-G73</f>
        <v/>
      </c>
      <c r="K73" s="36" t="inlineStr">
        <is>
          <t>KEEP IN EVERY SCENARIO — THIS IS A LICENSING DEPENDENCY, NOT FURNITURE. The theatre seating and the technical drawings that show it are what classify the room as a theater, and that classification is what carries the liquor licence and the cabaret licence. Do not value-engineer it out. The PRICE can come down: MT H127 'can get cheaper ones for 25 a seat' — repriced from $125 to $25/seat, saving $371,400. Confirm with counsel that the cheaper chair still satisfies the fixed-vs-loose seating requirement for the classification.</t>
        </is>
      </c>
    </row>
    <row r="74">
      <c r="A74" s="31" t="inlineStr">
        <is>
          <t>301</t>
        </is>
      </c>
      <c r="B74" s="31" t="inlineStr">
        <is>
          <t>FFE</t>
        </is>
      </c>
      <c r="C74" s="32" t="inlineStr">
        <is>
          <t>Seating — mezzanine box chairs (657)</t>
        </is>
      </c>
      <c r="D74" s="40" t="inlineStr">
        <is>
          <t>1</t>
        </is>
      </c>
      <c r="E74" s="31" t="inlineStr"/>
      <c r="F74" s="41" t="inlineStr">
        <is>
          <t>part</t>
        </is>
      </c>
      <c r="G74" s="71" t="n">
        <v>197100</v>
      </c>
      <c r="H74" s="70" t="n">
        <v>197100</v>
      </c>
      <c r="I74" s="70" t="n">
        <v>120000</v>
      </c>
      <c r="J74" s="71">
        <f>H74-G74</f>
        <v/>
      </c>
      <c r="K74" s="36" t="inlineStr">
        <is>
          <t>Mezzanine box seating. Depends on the mezzanine steel above being built. [Infinity room: reduced to $120,000 — Fewer boxes, rail standing behind.]</t>
        </is>
      </c>
    </row>
    <row r="75">
      <c r="A75" s="31" t="inlineStr">
        <is>
          <t>301</t>
        </is>
      </c>
      <c r="B75" s="31" t="inlineStr">
        <is>
          <t>FFE</t>
        </is>
      </c>
      <c r="C75" s="32" t="inlineStr">
        <is>
          <t>Seating — mezz elevated chairs, couches, coffee tables</t>
        </is>
      </c>
      <c r="D75" s="40" t="inlineStr">
        <is>
          <t>1</t>
        </is>
      </c>
      <c r="E75" s="31" t="inlineStr"/>
      <c r="F75" s="34" t="inlineStr">
        <is>
          <t>N</t>
        </is>
      </c>
      <c r="G75" s="71" t="n">
        <v>62400</v>
      </c>
      <c r="H75" s="70" t="n">
        <v>62400</v>
      </c>
      <c r="I75" s="70" t="n">
        <v>0</v>
      </c>
      <c r="J75" s="71">
        <f>H75-G75</f>
        <v/>
      </c>
      <c r="K75" s="36" t="inlineStr">
        <is>
          <t xml:space="preserve"> [OUT of an Infinity room: Reduce to rail and a handful of tables.]</t>
        </is>
      </c>
    </row>
    <row r="76">
      <c r="A76" s="31" t="inlineStr">
        <is>
          <t>301</t>
        </is>
      </c>
      <c r="B76" s="31" t="inlineStr">
        <is>
          <t>FFE</t>
        </is>
      </c>
      <c r="C76" s="32" t="inlineStr">
        <is>
          <t>Seating — stage L&amp;R viewing boxes</t>
        </is>
      </c>
      <c r="D76" s="40" t="inlineStr">
        <is>
          <t>1</t>
        </is>
      </c>
      <c r="E76" s="31" t="inlineStr"/>
      <c r="F76" s="38" t="inlineStr">
        <is>
          <t>Y</t>
        </is>
      </c>
      <c r="G76" s="71" t="n">
        <v>15000</v>
      </c>
      <c r="H76" s="70" t="n">
        <v>15000</v>
      </c>
      <c r="I76" s="70" t="n">
        <v>15000</v>
      </c>
      <c r="J76" s="71">
        <f>H76-G76</f>
        <v/>
      </c>
      <c r="K76" s="36" t="inlineStr">
        <is>
          <t>Premium stage-adjacent product.</t>
        </is>
      </c>
    </row>
    <row r="77">
      <c r="A77" s="31" t="inlineStr">
        <is>
          <t>301</t>
        </is>
      </c>
      <c r="B77" s="31" t="inlineStr">
        <is>
          <t>FFE</t>
        </is>
      </c>
      <c r="C77" s="32" t="inlineStr">
        <is>
          <t>Furniture — dressing rooms (6) &amp; crew/artist lounge</t>
        </is>
      </c>
      <c r="D77" s="40" t="inlineStr">
        <is>
          <t>1</t>
        </is>
      </c>
      <c r="E77" s="31" t="inlineStr"/>
      <c r="F77" s="38" t="inlineStr">
        <is>
          <t>Y</t>
        </is>
      </c>
      <c r="G77" s="71" t="n">
        <v>85000</v>
      </c>
      <c r="H77" s="70" t="n">
        <v>85000</v>
      </c>
      <c r="I77" s="70" t="n">
        <v>85000</v>
      </c>
      <c r="J77" s="71">
        <f>H77-G77</f>
        <v/>
      </c>
      <c r="K77" s="36" t="inlineStr">
        <is>
          <t>Artist-facing. Required to book touring talent.</t>
        </is>
      </c>
    </row>
    <row r="78">
      <c r="A78" s="31" t="inlineStr">
        <is>
          <t>301</t>
        </is>
      </c>
      <c r="B78" s="31" t="inlineStr">
        <is>
          <t>FFE</t>
        </is>
      </c>
      <c r="C78" s="32" t="inlineStr">
        <is>
          <t>Furniture — VIP lounge &amp; VIP roof terrace</t>
        </is>
      </c>
      <c r="D78" s="33" t="inlineStr">
        <is>
          <t>2</t>
        </is>
      </c>
      <c r="E78" s="31" t="inlineStr"/>
      <c r="F78" s="34" t="inlineStr">
        <is>
          <t>N</t>
        </is>
      </c>
      <c r="G78" s="71" t="n">
        <v>90000</v>
      </c>
      <c r="H78" s="70" t="n">
        <v>90000</v>
      </c>
      <c r="I78" s="70" t="n">
        <v>0</v>
      </c>
      <c r="J78" s="71">
        <f>H78-G78</f>
        <v/>
      </c>
      <c r="K78" s="36" t="inlineStr">
        <is>
          <t xml:space="preserve"> [OUT of an Infinity room: No VIP lounge in an Infinity room; VIP is a rail and tables on the floor.]</t>
        </is>
      </c>
    </row>
    <row r="79">
      <c r="A79" s="31" t="inlineStr">
        <is>
          <t>301</t>
        </is>
      </c>
      <c r="B79" s="31" t="inlineStr">
        <is>
          <t>FFE</t>
        </is>
      </c>
      <c r="C79" s="32" t="inlineStr">
        <is>
          <t>Furniture — restaurant &amp; restaurant terrace</t>
        </is>
      </c>
      <c r="D79" s="33" t="inlineStr">
        <is>
          <t>2</t>
        </is>
      </c>
      <c r="E79" s="31" t="inlineStr"/>
      <c r="F79" s="34" t="inlineStr">
        <is>
          <t>N</t>
        </is>
      </c>
      <c r="G79" s="71" t="n">
        <v>70000</v>
      </c>
      <c r="H79" s="70" t="n">
        <v>70000</v>
      </c>
      <c r="I79" s="70" t="n">
        <v>0</v>
      </c>
      <c r="J79" s="71">
        <f>H79-G79</f>
        <v/>
      </c>
      <c r="K79" s="36" t="inlineStr">
        <is>
          <t>Removed if the restaurant is outsourced per MT I49. [OUT of an Infinity room: No restaurant.]</t>
        </is>
      </c>
    </row>
    <row r="80">
      <c r="A80" s="31" t="inlineStr">
        <is>
          <t>301</t>
        </is>
      </c>
      <c r="B80" s="31" t="inlineStr">
        <is>
          <t>FFE</t>
        </is>
      </c>
      <c r="C80" s="32" t="inlineStr">
        <is>
          <t>Furniture — roof terrace &amp; roof lounge</t>
        </is>
      </c>
      <c r="D80" s="33" t="inlineStr">
        <is>
          <t>2</t>
        </is>
      </c>
      <c r="E80" s="31" t="inlineStr"/>
      <c r="F80" s="34" t="inlineStr">
        <is>
          <t>N</t>
        </is>
      </c>
      <c r="G80" s="71" t="n">
        <v>60000</v>
      </c>
      <c r="H80" s="70" t="n">
        <v>60000</v>
      </c>
      <c r="I80" s="70" t="n">
        <v>0</v>
      </c>
      <c r="J80" s="71">
        <f>H80-G80</f>
        <v/>
      </c>
      <c r="K80" s="36" t="inlineStr">
        <is>
          <t xml:space="preserve"> [OUT of an Infinity room: No roof programme.]</t>
        </is>
      </c>
    </row>
    <row r="81">
      <c r="A81" s="31" t="inlineStr">
        <is>
          <t>302</t>
        </is>
      </c>
      <c r="B81" s="31" t="inlineStr">
        <is>
          <t>FFE</t>
        </is>
      </c>
      <c r="C81" s="32" t="inlineStr">
        <is>
          <t>Bar equipment — 9 bars, 76 POS positions</t>
        </is>
      </c>
      <c r="D81" s="40" t="inlineStr">
        <is>
          <t>1</t>
        </is>
      </c>
      <c r="E81" s="31" t="inlineStr"/>
      <c r="F81" s="41" t="inlineStr">
        <is>
          <t>part</t>
        </is>
      </c>
      <c r="G81" s="71" t="n">
        <v>684000</v>
      </c>
      <c r="H81" s="70" t="n">
        <v>684000</v>
      </c>
      <c r="I81" s="70" t="n">
        <v>480000</v>
      </c>
      <c r="J81" s="71">
        <f>H81-G81</f>
        <v/>
      </c>
      <c r="K81" s="36" t="inlineStr">
        <is>
          <t>$9,000/position. MT I154: 'only build bars' — this is the scope MT wants to keep. [Infinity room: reduced to $480,000 — Six bars, ~53 POS positions.]</t>
        </is>
      </c>
    </row>
    <row r="82">
      <c r="A82" s="31" t="inlineStr">
        <is>
          <t>302</t>
        </is>
      </c>
      <c r="B82" s="31" t="inlineStr">
        <is>
          <t>FFE</t>
        </is>
      </c>
      <c r="C82" s="32" t="inlineStr">
        <is>
          <t>Bar equipment — uplift to Brooklyn Paramount's realised rate</t>
        </is>
      </c>
      <c r="D82" s="40" t="inlineStr">
        <is>
          <t>1</t>
        </is>
      </c>
      <c r="E82" s="31" t="inlineStr"/>
      <c r="F82" s="41" t="inlineStr">
        <is>
          <t>part</t>
        </is>
      </c>
      <c r="G82" s="71" t="n">
        <v>0</v>
      </c>
      <c r="H82" s="70" t="n">
        <v>990000</v>
      </c>
      <c r="I82" s="70" t="n">
        <v>694000</v>
      </c>
      <c r="J82" s="71">
        <f>H82-G82</f>
        <v/>
      </c>
      <c r="K82" s="36" t="inlineStr">
        <is>
          <t>BPT built 26 POS for $837k = $32,192/POS. 165 Randolph budgets $19,171/POS — 40% below our own build. See finding P-01. [Infinity room: reduced to $694,000 — Same $32,192/POS benchmark applied to the reduced position count.]</t>
        </is>
      </c>
    </row>
    <row r="83">
      <c r="A83" s="31" t="inlineStr">
        <is>
          <t>302</t>
        </is>
      </c>
      <c r="B83" s="31" t="inlineStr">
        <is>
          <t>FFE</t>
        </is>
      </c>
      <c r="C83" s="32" t="inlineStr">
        <is>
          <t>Ice machines (4) &amp; walk-in coolers (2)</t>
        </is>
      </c>
      <c r="D83" s="40" t="inlineStr">
        <is>
          <t>1</t>
        </is>
      </c>
      <c r="E83" s="31" t="inlineStr"/>
      <c r="F83" s="38" t="inlineStr">
        <is>
          <t>Y</t>
        </is>
      </c>
      <c r="G83" s="71" t="n">
        <v>90000</v>
      </c>
      <c r="H83" s="70" t="n">
        <v>90000</v>
      </c>
      <c r="I83" s="70" t="n">
        <v>90000</v>
      </c>
      <c r="J83" s="71">
        <f>H83-G83</f>
        <v/>
      </c>
      <c r="K83" s="36" t="inlineStr"/>
    </row>
    <row r="84">
      <c r="A84" s="31" t="inlineStr">
        <is>
          <t>302</t>
        </is>
      </c>
      <c r="B84" s="31" t="inlineStr">
        <is>
          <t>FFE</t>
        </is>
      </c>
      <c r="C84" s="32" t="inlineStr">
        <is>
          <t>Kitchen equipment</t>
        </is>
      </c>
      <c r="D84" s="33" t="inlineStr">
        <is>
          <t>2</t>
        </is>
      </c>
      <c r="E84" s="31" t="inlineStr"/>
      <c r="F84" s="34" t="inlineStr">
        <is>
          <t>N</t>
        </is>
      </c>
      <c r="G84" s="71" t="n">
        <v>80000</v>
      </c>
      <c r="H84" s="70" t="n">
        <v>80000</v>
      </c>
      <c r="I84" s="70" t="n">
        <v>0</v>
      </c>
      <c r="J84" s="71">
        <f>H84-G84</f>
        <v/>
      </c>
      <c r="K84" s="36" t="inlineStr">
        <is>
          <t>CONFIRMED OUT — a separate company runs the kitchen. MT I49/I154. The operator funds their own equipment. $80k was never a real number for 769 covers anyway. This also takes the $135k of kitchen plumbing roughing, the gas run, hood fire suppression and grease waste out of our scope. [OUT of an Infinity room: No kitchen — outsource or omit entirely.]</t>
        </is>
      </c>
    </row>
    <row r="85">
      <c r="A85" s="31" t="inlineStr">
        <is>
          <t>302</t>
        </is>
      </c>
      <c r="B85" s="31" t="inlineStr">
        <is>
          <t>FFE</t>
        </is>
      </c>
      <c r="C85" s="32" t="inlineStr">
        <is>
          <t>Freight &amp; installation</t>
        </is>
      </c>
      <c r="D85" s="40" t="inlineStr">
        <is>
          <t>1</t>
        </is>
      </c>
      <c r="E85" s="31" t="inlineStr"/>
      <c r="F85" s="38" t="inlineStr">
        <is>
          <t>Y</t>
        </is>
      </c>
      <c r="G85" s="71" t="n">
        <v>375000</v>
      </c>
      <c r="H85" s="70" t="n">
        <v>375000</v>
      </c>
      <c r="I85" s="70" t="n">
        <v>375000</v>
      </c>
      <c r="J85" s="71">
        <f>H85-G85</f>
        <v/>
      </c>
      <c r="K85" s="36" t="inlineStr"/>
    </row>
    <row r="86">
      <c r="A86" s="31" t="inlineStr">
        <is>
          <t>302</t>
        </is>
      </c>
      <c r="B86" s="31" t="inlineStr">
        <is>
          <t>FFE</t>
        </is>
      </c>
      <c r="C86" s="32" t="inlineStr">
        <is>
          <t>POS terminals (76)</t>
        </is>
      </c>
      <c r="D86" s="40" t="inlineStr">
        <is>
          <t>1</t>
        </is>
      </c>
      <c r="E86" s="31" t="inlineStr">
        <is>
          <t>Y</t>
        </is>
      </c>
      <c r="F86" s="38" t="inlineStr">
        <is>
          <t>Y</t>
        </is>
      </c>
      <c r="G86" s="71" t="n">
        <v>228000</v>
      </c>
      <c r="H86" s="70" t="n">
        <v>228000</v>
      </c>
      <c r="I86" s="70" t="n">
        <v>228000</v>
      </c>
      <c r="J86" s="71">
        <f>H86-G86</f>
        <v/>
      </c>
      <c r="K86" s="36" t="inlineStr">
        <is>
          <t>MT I50: 'I can get someone to give it to us for free for using the venue' — if that lands, this is a full deduct.</t>
        </is>
      </c>
    </row>
    <row r="87">
      <c r="A87" s="31" t="inlineStr">
        <is>
          <t>303</t>
        </is>
      </c>
      <c r="B87" s="31" t="inlineStr">
        <is>
          <t>FFE</t>
        </is>
      </c>
      <c r="C87" s="32" t="inlineStr">
        <is>
          <t>Data systems — VoIP, switching, WiFi, 110 CCTV cameras</t>
        </is>
      </c>
      <c r="D87" s="40" t="inlineStr">
        <is>
          <t>1</t>
        </is>
      </c>
      <c r="E87" s="31" t="inlineStr"/>
      <c r="F87" s="38" t="inlineStr">
        <is>
          <t>Y</t>
        </is>
      </c>
      <c r="G87" s="71" t="n">
        <v>420000</v>
      </c>
      <c r="H87" s="70" t="n">
        <v>420000</v>
      </c>
      <c r="I87" s="70" t="n">
        <v>420000</v>
      </c>
      <c r="J87" s="71">
        <f>H87-G87</f>
        <v/>
      </c>
      <c r="K87" s="36" t="inlineStr">
        <is>
          <t>Ticket scanning, POS backbone and security all run on it.</t>
        </is>
      </c>
    </row>
    <row r="88">
      <c r="A88" s="31" t="inlineStr">
        <is>
          <t>304</t>
        </is>
      </c>
      <c r="B88" s="31" t="inlineStr">
        <is>
          <t>FFE</t>
        </is>
      </c>
      <c r="C88" s="32" t="inlineStr">
        <is>
          <t>Office furniture — administration &amp; production</t>
        </is>
      </c>
      <c r="D88" s="40" t="inlineStr">
        <is>
          <t>1</t>
        </is>
      </c>
      <c r="E88" s="31" t="inlineStr"/>
      <c r="F88" s="38" t="inlineStr">
        <is>
          <t>Y</t>
        </is>
      </c>
      <c r="G88" s="71" t="n">
        <v>65000</v>
      </c>
      <c r="H88" s="70" t="n">
        <v>65000</v>
      </c>
      <c r="I88" s="70" t="n">
        <v>65000</v>
      </c>
      <c r="J88" s="71">
        <f>H88-G88</f>
        <v/>
      </c>
      <c r="K88" s="36" t="inlineStr"/>
    </row>
    <row r="89">
      <c r="A89" s="31" t="inlineStr">
        <is>
          <t>305</t>
        </is>
      </c>
      <c r="B89" s="31" t="inlineStr">
        <is>
          <t>FFE</t>
        </is>
      </c>
      <c r="C89" s="32" t="inlineStr">
        <is>
          <t>Exterior building signage</t>
        </is>
      </c>
      <c r="D89" s="40" t="inlineStr">
        <is>
          <t>1</t>
        </is>
      </c>
      <c r="E89" s="31" t="inlineStr"/>
      <c r="F89" s="41" t="inlineStr">
        <is>
          <t>part</t>
        </is>
      </c>
      <c r="G89" s="71" t="n">
        <v>400000</v>
      </c>
      <c r="H89" s="70" t="n">
        <v>400000</v>
      </c>
      <c r="I89" s="70" t="n">
        <v>150000</v>
      </c>
      <c r="J89" s="71">
        <f>H89-G89</f>
        <v/>
      </c>
      <c r="K89" s="36" t="inlineStr">
        <is>
          <t>Building identification and wayfinding at street level. [Infinity room: reduced to $150,000 — Identification and wayfinding, not a facade programme.]</t>
        </is>
      </c>
    </row>
    <row r="90">
      <c r="A90" s="31" t="inlineStr">
        <is>
          <t>305</t>
        </is>
      </c>
      <c r="B90" s="31" t="inlineStr">
        <is>
          <t>FFE</t>
        </is>
      </c>
      <c r="C90" s="32" t="inlineStr">
        <is>
          <t>Interior wayfinding &amp; ADA signage</t>
        </is>
      </c>
      <c r="D90" s="37" t="inlineStr">
        <is>
          <t>0</t>
        </is>
      </c>
      <c r="E90" s="31" t="inlineStr"/>
      <c r="F90" s="38" t="inlineStr">
        <is>
          <t>Y</t>
        </is>
      </c>
      <c r="G90" s="71" t="n">
        <v>100000</v>
      </c>
      <c r="H90" s="70" t="n">
        <v>100000</v>
      </c>
      <c r="I90" s="70" t="n">
        <v>100000</v>
      </c>
      <c r="J90" s="71">
        <f>H90-G90</f>
        <v/>
      </c>
      <c r="K90" s="36" t="inlineStr">
        <is>
          <t>Code-required egress and ADA signage.</t>
        </is>
      </c>
    </row>
    <row r="91">
      <c r="A91" s="31" t="inlineStr">
        <is>
          <t>305</t>
        </is>
      </c>
      <c r="B91" s="31" t="inlineStr">
        <is>
          <t>FFE</t>
        </is>
      </c>
      <c r="C91" s="32" t="inlineStr">
        <is>
          <t>Interior art, decor, scenic &amp; exterior murals</t>
        </is>
      </c>
      <c r="D91" s="33" t="inlineStr">
        <is>
          <t>2</t>
        </is>
      </c>
      <c r="E91" s="31" t="inlineStr"/>
      <c r="F91" s="34" t="inlineStr">
        <is>
          <t>N</t>
        </is>
      </c>
      <c r="G91" s="71" t="n">
        <v>250000</v>
      </c>
      <c r="H91" s="70" t="n">
        <v>250000</v>
      </c>
      <c r="I91" s="70" t="n">
        <v>0</v>
      </c>
      <c r="J91" s="71">
        <f>H91-G91</f>
        <v/>
      </c>
      <c r="K91" s="36" t="inlineStr">
        <is>
          <t>MT I55: 'Can be done after'. MT I209: 'Something we add on later don't need this'. [OUT of an Infinity room: Exposed structure IS the aesthetic. MT I55/I209 already deferred it.]</t>
        </is>
      </c>
    </row>
    <row r="92">
      <c r="A92" s="31" t="inlineStr">
        <is>
          <t>306</t>
        </is>
      </c>
      <c r="B92" s="31" t="inlineStr">
        <is>
          <t>FFE</t>
        </is>
      </c>
      <c r="C92" s="32" t="inlineStr">
        <is>
          <t>Administration — safes, radios, metal detectors</t>
        </is>
      </c>
      <c r="D92" s="40" t="inlineStr">
        <is>
          <t>1</t>
        </is>
      </c>
      <c r="E92" s="31" t="inlineStr"/>
      <c r="F92" s="38" t="inlineStr">
        <is>
          <t>Y</t>
        </is>
      </c>
      <c r="G92" s="71" t="n">
        <v>93000</v>
      </c>
      <c r="H92" s="70" t="n">
        <v>93000</v>
      </c>
      <c r="I92" s="70" t="n">
        <v>93000</v>
      </c>
      <c r="J92" s="71">
        <f>H92-G92</f>
        <v/>
      </c>
      <c r="K92" s="36" t="inlineStr">
        <is>
          <t>Metal detectors $70k. Security screening is not optional at this capacity.</t>
        </is>
      </c>
    </row>
    <row r="93">
      <c r="A93" s="31" t="inlineStr">
        <is>
          <t>307</t>
        </is>
      </c>
      <c r="B93" s="31" t="inlineStr">
        <is>
          <t>FFE</t>
        </is>
      </c>
      <c r="C93" s="32" t="inlineStr">
        <is>
          <t>Facility — merch cases</t>
        </is>
      </c>
      <c r="D93" s="40" t="inlineStr">
        <is>
          <t>1</t>
        </is>
      </c>
      <c r="E93" s="31" t="inlineStr"/>
      <c r="F93" s="38" t="inlineStr">
        <is>
          <t>Y</t>
        </is>
      </c>
      <c r="G93" s="71" t="n">
        <v>26000</v>
      </c>
      <c r="H93" s="70" t="n">
        <v>26000</v>
      </c>
      <c r="I93" s="70" t="n">
        <v>26000</v>
      </c>
      <c r="J93" s="71">
        <f>H93-G93</f>
        <v/>
      </c>
      <c r="K93" s="36" t="inlineStr">
        <is>
          <t>Merch build-out.</t>
        </is>
      </c>
    </row>
    <row r="94">
      <c r="A94" s="31" t="inlineStr">
        <is>
          <t>308</t>
        </is>
      </c>
      <c r="B94" s="31" t="inlineStr">
        <is>
          <t>FFE</t>
        </is>
      </c>
      <c r="C94" s="32" t="inlineStr">
        <is>
          <t>Operations — custodial, barricades, bike rack, shop tools</t>
        </is>
      </c>
      <c r="D94" s="40" t="inlineStr">
        <is>
          <t>1</t>
        </is>
      </c>
      <c r="E94" s="31" t="inlineStr"/>
      <c r="F94" s="38" t="inlineStr">
        <is>
          <t>Y</t>
        </is>
      </c>
      <c r="G94" s="71" t="n">
        <v>29000</v>
      </c>
      <c r="H94" s="70" t="n">
        <v>29000</v>
      </c>
      <c r="I94" s="70" t="n">
        <v>29000</v>
      </c>
      <c r="J94" s="71">
        <f>H94-G94</f>
        <v/>
      </c>
      <c r="K94" s="36" t="inlineStr"/>
    </row>
    <row r="95">
      <c r="A95" s="31" t="inlineStr">
        <is>
          <t>309</t>
        </is>
      </c>
      <c r="B95" s="31" t="inlineStr">
        <is>
          <t>FFE</t>
        </is>
      </c>
      <c r="C95" s="32" t="inlineStr">
        <is>
          <t>Production FF&amp;E — stage barricade, portable stage, lifts, carts</t>
        </is>
      </c>
      <c r="D95" s="40" t="inlineStr">
        <is>
          <t>1</t>
        </is>
      </c>
      <c r="E95" s="31" t="inlineStr"/>
      <c r="F95" s="38" t="inlineStr">
        <is>
          <t>Y</t>
        </is>
      </c>
      <c r="G95" s="71" t="n">
        <v>193500</v>
      </c>
      <c r="H95" s="70" t="n">
        <v>73500</v>
      </c>
      <c r="I95" s="70" t="n">
        <v>73500</v>
      </c>
      <c r="J95" s="71">
        <f>H95-G95</f>
        <v/>
      </c>
      <c r="K95" s="36" t="inlineStr">
        <is>
          <t>MT I275: 'would only keep stage barricade and some other items'. Kept: barricade $18k, dock plates/carts $60k(partial), tools, risers. Cut: fork lift $35k, scissor lift $25k, portable stage $30k.</t>
        </is>
      </c>
    </row>
    <row r="96">
      <c r="A96" s="31" t="inlineStr">
        <is>
          <t>309</t>
        </is>
      </c>
      <c r="B96" s="31" t="inlineStr">
        <is>
          <t>FFE</t>
        </is>
      </c>
      <c r="C96" s="32" t="inlineStr">
        <is>
          <t>Production — soft goods / drape</t>
        </is>
      </c>
      <c r="D96" s="40" t="inlineStr">
        <is>
          <t>1</t>
        </is>
      </c>
      <c r="E96" s="31" t="inlineStr"/>
      <c r="F96" s="41" t="inlineStr">
        <is>
          <t>part</t>
        </is>
      </c>
      <c r="G96" s="71" t="n">
        <v>200000</v>
      </c>
      <c r="H96" s="70" t="n">
        <v>400000</v>
      </c>
      <c r="I96" s="70" t="n">
        <v>300000</v>
      </c>
      <c r="J96" s="71">
        <f>H96-G96</f>
        <v/>
      </c>
      <c r="K96" s="36" t="inlineStr">
        <is>
          <t>Filed $200k against the row's own $725k benchmark, and the note says 'CUTDOWN DRAPE @ MEZZ EDGE Not Included'. MT I289: 'we can add this we need to cut' — set at a working minimum. [Infinity room: reduced to $300,000 — Stage and perimeter drape only.]</t>
        </is>
      </c>
    </row>
    <row r="97">
      <c r="A97" s="31" t="inlineStr">
        <is>
          <t>309</t>
        </is>
      </c>
      <c r="B97" s="31" t="inlineStr">
        <is>
          <t>FFE</t>
        </is>
      </c>
      <c r="C97" s="32" t="inlineStr">
        <is>
          <t>Production — music hall projector</t>
        </is>
      </c>
      <c r="D97" s="40" t="inlineStr">
        <is>
          <t>1</t>
        </is>
      </c>
      <c r="E97" s="31" t="inlineStr"/>
      <c r="F97" s="38" t="inlineStr">
        <is>
          <t>Y</t>
        </is>
      </c>
      <c r="G97" s="71" t="n">
        <v>75000</v>
      </c>
      <c r="H97" s="70" t="n">
        <v>75000</v>
      </c>
      <c r="I97" s="70" t="n">
        <v>75000</v>
      </c>
      <c r="J97" s="71">
        <f>H97-G97</f>
        <v/>
      </c>
      <c r="K97" s="36" t="inlineStr"/>
    </row>
    <row r="98">
      <c r="A98" s="31" t="inlineStr">
        <is>
          <t>309</t>
        </is>
      </c>
      <c r="B98" s="31" t="inlineStr">
        <is>
          <t>FFE</t>
        </is>
      </c>
      <c r="C98" s="32" t="inlineStr">
        <is>
          <t>Production — displays &amp; distribution</t>
        </is>
      </c>
      <c r="D98" s="33" t="inlineStr">
        <is>
          <t>2</t>
        </is>
      </c>
      <c r="E98" s="31" t="inlineStr"/>
      <c r="F98" s="34" t="inlineStr">
        <is>
          <t>N</t>
        </is>
      </c>
      <c r="G98" s="71" t="n">
        <v>200000</v>
      </c>
      <c r="H98" s="70" t="n">
        <v>200000</v>
      </c>
      <c r="I98" s="70" t="n">
        <v>0</v>
      </c>
      <c r="J98" s="71">
        <f>H98-G98</f>
        <v/>
      </c>
      <c r="K98" s="36" t="inlineStr">
        <is>
          <t>MT I294: 'We can do any display or distribution by renting'. [OUT of an Infinity room: MT I294 — rent it.]</t>
        </is>
      </c>
    </row>
    <row r="99">
      <c r="A99" s="31" t="inlineStr">
        <is>
          <t>309</t>
        </is>
      </c>
      <c r="B99" s="31" t="inlineStr">
        <is>
          <t>FFE</t>
        </is>
      </c>
      <c r="C99" s="32" t="inlineStr">
        <is>
          <t>Production — VIP lounge projector</t>
        </is>
      </c>
      <c r="D99" s="33" t="inlineStr">
        <is>
          <t>2</t>
        </is>
      </c>
      <c r="E99" s="31" t="inlineStr"/>
      <c r="F99" s="34" t="inlineStr">
        <is>
          <t>N</t>
        </is>
      </c>
      <c r="G99" s="71" t="n">
        <v>10000</v>
      </c>
      <c r="H99" s="70" t="n">
        <v>10000</v>
      </c>
      <c r="I99" s="70" t="n">
        <v>0</v>
      </c>
      <c r="J99" s="71">
        <f>H99-G99</f>
        <v/>
      </c>
      <c r="K99" s="36" t="inlineStr">
        <is>
          <t xml:space="preserve"> [OUT of an Infinity room: No VIP lounge.]</t>
        </is>
      </c>
    </row>
    <row r="100">
      <c r="A100" s="31" t="inlineStr">
        <is>
          <t>309</t>
        </is>
      </c>
      <c r="B100" s="31" t="inlineStr">
        <is>
          <t>FFE</t>
        </is>
      </c>
      <c r="C100" s="32" t="inlineStr">
        <is>
          <t>Production — LED video walls (upstage + overhead)</t>
        </is>
      </c>
      <c r="D100" s="33" t="inlineStr">
        <is>
          <t>2</t>
        </is>
      </c>
      <c r="E100" s="31" t="inlineStr"/>
      <c r="F100" s="38" t="inlineStr">
        <is>
          <t>Y</t>
        </is>
      </c>
      <c r="G100" s="71" t="n">
        <v>0</v>
      </c>
      <c r="H100" s="70" t="n">
        <v>1500000</v>
      </c>
      <c r="I100" s="70" t="n">
        <v>1500000</v>
      </c>
      <c r="J100" s="71">
        <f>H100-G100</f>
        <v/>
      </c>
      <c r="K100" s="36" t="inlineStr">
        <is>
          <t>HOUSE-SETUP LOGIC PUTS THIS IN PHASE 2. Artists bring or rent their own video design, so an owned wall is the production element most likely to sit unused or be struck for a visiting rig. FT DID buy LED: $415,575 at Infinity and $231,796 at Park (both Audiotek, shared purchase) — worth knowing before repeating it. The dev budget line carries a $1,400/SF note with no quantity. What MUST go in on day one is the mounting structure and the power to feed it; the panels can follow once the calendar proves the spend.</t>
        </is>
      </c>
    </row>
    <row r="101">
      <c r="A101" s="31" t="inlineStr">
        <is>
          <t>309</t>
        </is>
      </c>
      <c r="B101" s="31" t="inlineStr">
        <is>
          <t>FFE</t>
        </is>
      </c>
      <c r="C101" s="32" t="inlineStr">
        <is>
          <t>Production — HOUSE audio system</t>
        </is>
      </c>
      <c r="D101" s="40" t="inlineStr">
        <is>
          <t>1</t>
        </is>
      </c>
      <c r="E101" s="31" t="inlineStr"/>
      <c r="F101" s="38" t="inlineStr">
        <is>
          <t>Y</t>
        </is>
      </c>
      <c r="G101" s="71" t="n">
        <v>1400000</v>
      </c>
      <c r="H101" s="70" t="n">
        <v>2200000</v>
      </c>
      <c r="I101" s="70" t="n">
        <v>2200000</v>
      </c>
      <c r="J101" s="71">
        <f>H101-G101</f>
        <v/>
      </c>
      <c r="K101" s="36" t="inlineStr">
        <is>
          <t>KEEP AT FULL SPEC — this is the one production system that is ALWAYS house. Touring acts bring consoles and sometimes control, but not a PA for a room this size; the house PA is what the room is judged on and it cannot be artist-supplied. Filed at $1.4M covering Theater + VIP + Restaurant + Roof, which under-serves the main room. MT I61/I301: $2.0-2.2M to buy an L-Acoustics system. NOTE: Factory Town CER carried $1.0M for Infinity sound and it was NEVER SPENT — it remains an unspent placeholder in the capex file, so there is no FT actual to benchmark against.</t>
        </is>
      </c>
    </row>
    <row r="102">
      <c r="A102" s="31" t="inlineStr">
        <is>
          <t>309</t>
        </is>
      </c>
      <c r="B102" s="31" t="inlineStr">
        <is>
          <t>FFE</t>
        </is>
      </c>
      <c r="C102" s="32" t="inlineStr">
        <is>
          <t>Production — HOUSE performance lighting rig</t>
        </is>
      </c>
      <c r="D102" s="40" t="inlineStr">
        <is>
          <t>1</t>
        </is>
      </c>
      <c r="E102" s="31" t="inlineStr">
        <is>
          <t>Y</t>
        </is>
      </c>
      <c r="F102" s="38" t="inlineStr">
        <is>
          <t>Y</t>
        </is>
      </c>
      <c r="G102" s="71" t="n">
        <v>520000</v>
      </c>
      <c r="H102" s="70" t="n">
        <v>450000</v>
      </c>
      <c r="I102" s="70" t="n">
        <v>450000</v>
      </c>
      <c r="J102" s="71">
        <f>H102-G102</f>
        <v/>
      </c>
      <c r="K102" s="36" t="inlineStr">
        <is>
          <t>HOUSE SETUP, NOT A TOURING RIG. Every artist brings a different design, so the venue provides house positions, house power and a competent house rig — not a spec that visiting productions will strike anyway. FT Infinity ACTUAL house lighting: 48x Chauvet Colorstrike M $118,616 (LPS) + LED rope $54,060 (Neon Guardians, in dispute) + 164 RGBW pixel bars $7,500 + additional $25,000 = ~$205,000 for an open-air stage. Scaled for a larger enclosed room with house positions on the mounting structure: $450,000. Reduced from $850,000 — the difference is touring-grade inventory the house should not own.</t>
        </is>
      </c>
    </row>
    <row r="103">
      <c r="A103" s="31" t="inlineStr">
        <is>
          <t>310</t>
        </is>
      </c>
      <c r="B103" s="31" t="inlineStr">
        <is>
          <t>FFE</t>
        </is>
      </c>
      <c r="C103" s="32" t="inlineStr">
        <is>
          <t>Architectural &amp; exterior lighting</t>
        </is>
      </c>
      <c r="D103" s="33" t="inlineStr">
        <is>
          <t>2</t>
        </is>
      </c>
      <c r="E103" s="31" t="inlineStr"/>
      <c r="F103" s="34" t="inlineStr">
        <is>
          <t>N</t>
        </is>
      </c>
      <c r="G103" s="71" t="n">
        <v>1750000</v>
      </c>
      <c r="H103" s="70" t="n">
        <v>750000</v>
      </c>
      <c r="I103" s="70" t="n">
        <v>0</v>
      </c>
      <c r="J103" s="71">
        <f>H103-G103</f>
        <v/>
      </c>
      <c r="K103" s="36" t="inlineStr">
        <is>
          <t>MT H313: '??????????? Why spend so much on outside lighting'. Filed as a single unsupported lump at 3.4x the performance lighting budget. See finding P-02. [OUT of an Infinity room: A $1.75M architectural lighting package is the opposite of this concept.]</t>
        </is>
      </c>
    </row>
    <row r="104">
      <c r="C104" s="17" t="inlineStr">
        <is>
          <t>TOTAL</t>
        </is>
      </c>
      <c r="G104" s="66">
        <f>SUM(G2:G103)</f>
        <v/>
      </c>
      <c r="H104" s="66">
        <f>SUM(H2:H103)</f>
        <v/>
      </c>
      <c r="I104" s="66">
        <f>SUM(I2:I103)</f>
        <v/>
      </c>
      <c r="J104" s="66">
        <f>SUM(J2:J103)</f>
        <v/>
      </c>
    </row>
    <row r="106">
      <c r="C106" s="5" t="inlineStr">
        <is>
          <t>RECONCILIATION — the "As Filed" column must tie to the Master Development Budget</t>
        </is>
      </c>
    </row>
    <row r="107">
      <c r="C107" s="10" t="inlineStr">
        <is>
          <t>Trade costs</t>
        </is>
      </c>
      <c r="G107" s="76">
        <f>SUMIFS($G$2:$G$103,$B$2:$B$103,"TRADE")</f>
        <v/>
      </c>
      <c r="H107" s="69" t="n">
        <v>18175107.5</v>
      </c>
      <c r="J107" s="76">
        <f>G107-H107</f>
        <v/>
      </c>
      <c r="K107" s="2" t="inlineStr">
        <is>
          <t>Source workbook figure</t>
        </is>
      </c>
    </row>
    <row r="108">
      <c r="C108" s="10" t="inlineStr">
        <is>
          <t>Off-site costs</t>
        </is>
      </c>
      <c r="G108" s="76">
        <f>SUMIFS($G$2:$G$103,$B$2:$B$103,"OFFSITE")</f>
        <v/>
      </c>
      <c r="H108" s="69" t="n">
        <v>2257500</v>
      </c>
      <c r="J108" s="76">
        <f>G108-H108</f>
        <v/>
      </c>
      <c r="K108" s="2" t="inlineStr">
        <is>
          <t>Source workbook figure</t>
        </is>
      </c>
    </row>
    <row r="109">
      <c r="C109" s="10" t="inlineStr">
        <is>
          <t>Soft costs</t>
        </is>
      </c>
      <c r="G109" s="76">
        <f>SUMIFS($G$2:$G$103,$B$2:$B$103,"SOFT")</f>
        <v/>
      </c>
      <c r="H109" s="69" t="n">
        <v>4006750</v>
      </c>
      <c r="J109" s="76">
        <f>G109-H109</f>
        <v/>
      </c>
      <c r="K109" s="2" t="inlineStr">
        <is>
          <t>Source workbook figure</t>
        </is>
      </c>
    </row>
    <row r="110">
      <c r="C110" s="10" t="inlineStr">
        <is>
          <t>FF&amp;E</t>
        </is>
      </c>
      <c r="G110" s="76">
        <f>SUMIFS($G$2:$G$103,$B$2:$B$103,"FFE")</f>
        <v/>
      </c>
      <c r="H110" s="69" t="n">
        <v>8232250</v>
      </c>
      <c r="J110" s="76">
        <f>G110-H110</f>
        <v/>
      </c>
      <c r="K110" s="2" t="inlineStr">
        <is>
          <t>Source workbook figure</t>
        </is>
      </c>
    </row>
    <row r="111">
      <c r="C111" s="17" t="inlineStr">
        <is>
          <t>Total variance — must be zero</t>
        </is>
      </c>
      <c r="J111" s="66">
        <f>SUM(J107:J110)</f>
        <v/>
      </c>
    </row>
  </sheetData>
  <autoFilter ref="A1:K103"/>
  <pageMargins left="0.75" right="0.75" top="1" bottom="1" header="0.5" footer="0.5"/>
</worksheet>
</file>

<file path=xl/worksheets/sheet7.xml><?xml version="1.0" encoding="utf-8"?>
<worksheet xmlns="http://schemas.openxmlformats.org/spreadsheetml/2006/main">
  <sheetPr>
    <outlinePr summaryBelow="1" summaryRight="1"/>
    <pageSetUpPr/>
  </sheetPr>
  <dimension ref="B2:G32"/>
  <sheetViews>
    <sheetView workbookViewId="0">
      <selection activeCell="A1" sqref="A1"/>
    </sheetView>
  </sheetViews>
  <sheetFormatPr baseColWidth="8" defaultRowHeight="15"/>
  <cols>
    <col width="3" customWidth="1" min="1" max="1"/>
    <col width="40" customWidth="1" min="2" max="2"/>
    <col width="16" customWidth="1" min="3" max="3"/>
    <col width="16" customWidth="1" min="4" max="4"/>
    <col width="16" customWidth="1" min="5" max="5"/>
    <col width="4" customWidth="1" min="6" max="6"/>
    <col width="64" customWidth="1" min="7" max="7"/>
  </cols>
  <sheetData>
    <row r="2">
      <c r="B2" s="1" t="inlineStr">
        <is>
          <t>THEATER SEATING — COMPLIANCE vs A BEAUTIFUL THEATER</t>
        </is>
      </c>
    </row>
    <row r="3">
      <c r="B3" s="2" t="inlineStr">
        <is>
          <t>The seating is not furniture. It is what classifies the room, and the classification carries the licences.</t>
        </is>
      </c>
    </row>
    <row r="5" ht="32" customHeight="1">
      <c r="B5" s="4" t="inlineStr">
        <is>
          <t>The room needs a theater use-classification to hold the liquor and cabaret licences, and the technical drawings have to show seating that supports it. That sets a FLOOR on what must be built. Everything above that floor is an aesthetic choice, not a licensing one — and the gap is large.</t>
        </is>
      </c>
    </row>
    <row r="7">
      <c r="B7" s="5" t="inlineStr">
        <is>
          <t>INPUTS — confirm the seat count with counsel before relying on any of this</t>
        </is>
      </c>
    </row>
    <row r="8">
      <c r="B8" s="10" t="inlineStr">
        <is>
          <t>Seats required for classification</t>
        </is>
      </c>
      <c r="E8" s="13" t="n">
        <v>720</v>
      </c>
      <c r="G8" s="12" t="inlineStr">
        <is>
          <t>PLACEHOLDER. YOUR COUNSEL MUST SET THIS. It drives everything below.</t>
        </is>
      </c>
    </row>
    <row r="9">
      <c r="B9" s="10" t="inlineStr">
        <is>
          <t>Mezzanine seats available</t>
        </is>
      </c>
      <c r="E9" s="13" t="n">
        <v>720</v>
      </c>
      <c r="G9" s="12" t="inlineStr">
        <is>
          <t>657 box chairs + 63 elevated, per FF&amp;E schedule 301.</t>
        </is>
      </c>
    </row>
    <row r="10">
      <c r="B10" s="10" t="inlineStr">
        <is>
          <t>Floor seats in the filed budget</t>
        </is>
      </c>
      <c r="E10" s="13" t="n">
        <v>3714</v>
      </c>
      <c r="G10" s="12" t="inlineStr">
        <is>
          <t>Matches the Wake test fit floor-seated figure at 7 SF/occupant.</t>
        </is>
      </c>
    </row>
    <row r="11">
      <c r="B11" s="10" t="inlineStr">
        <is>
          <t>Removable chair, $/seat</t>
        </is>
      </c>
      <c r="E11" s="77" t="n">
        <v>25</v>
      </c>
      <c r="G11" s="12" t="inlineStr">
        <is>
          <t>MT H127: "can get cheaper ones for 25 a seat".</t>
        </is>
      </c>
    </row>
    <row r="12">
      <c r="B12" s="10" t="inlineStr">
        <is>
          <t>Filed folding chair, $/seat</t>
        </is>
      </c>
      <c r="E12" s="77" t="n">
        <v>125</v>
      </c>
      <c r="G12" s="12" t="inlineStr">
        <is>
          <t>As budgeted in FF&amp;E 301.</t>
        </is>
      </c>
    </row>
    <row r="13">
      <c r="B13" s="10" t="inlineStr">
        <is>
          <t>Fixed theatre seat, $/seat</t>
        </is>
      </c>
      <c r="E13" s="77" t="n">
        <v>450</v>
      </c>
      <c r="G13" s="12" t="inlineStr">
        <is>
          <t>Upholstered, floor-mounted, standard grade. Premium runs $600-900.</t>
        </is>
      </c>
    </row>
    <row r="15">
      <c r="B15" s="5" t="inlineStr">
        <is>
          <t>THREE WAYS TO DO IT</t>
        </is>
      </c>
    </row>
    <row r="16" ht="34" customHeight="1">
      <c r="B16" s="14" t="inlineStr"/>
      <c r="C16" s="14" t="inlineStr">
        <is>
          <t>1. COMPLIANCE
removable, mezzanine only</t>
        </is>
      </c>
      <c r="D16" s="14" t="inlineStr">
        <is>
          <t>2. AS FILED
floor folding + mezz boxes</t>
        </is>
      </c>
      <c r="E16" s="14" t="inlineStr">
        <is>
          <t>3. BEAUTIFUL THEATER
fixed, raked, upholstered</t>
        </is>
      </c>
    </row>
    <row r="17">
      <c r="B17" s="10" t="inlineStr">
        <is>
          <t>Seats provided</t>
        </is>
      </c>
      <c r="C17" s="24">
        <f>$E$8</f>
        <v/>
      </c>
      <c r="D17" s="24">
        <f>$E$10+$E$9</f>
        <v/>
      </c>
      <c r="E17" s="24">
        <f>$E$10+$E$9</f>
        <v/>
      </c>
    </row>
    <row r="18">
      <c r="B18" s="10" t="inlineStr">
        <is>
          <t>Chairs / seats</t>
        </is>
      </c>
      <c r="C18" s="71">
        <f>$E$8*$E$11</f>
        <v/>
      </c>
      <c r="D18" s="71">
        <f>$E$10*$E$12+$E$9*300</f>
        <v/>
      </c>
      <c r="E18" s="71">
        <f>($E$10+$E$9)*$E$13</f>
        <v/>
      </c>
    </row>
    <row r="19">
      <c r="B19" s="10" t="inlineStr">
        <is>
          <t>Raked risers / tiering</t>
        </is>
      </c>
      <c r="C19" s="71">
        <f>0</f>
        <v/>
      </c>
      <c r="D19" s="71">
        <f>0</f>
        <v/>
      </c>
      <c r="E19" s="71">
        <f>($E$10+$E$9)*180</f>
        <v/>
      </c>
    </row>
    <row r="20">
      <c r="B20" s="10" t="inlineStr">
        <is>
          <t>Fixed mounting &amp; floor prep</t>
        </is>
      </c>
      <c r="C20" s="71">
        <f>0</f>
        <v/>
      </c>
      <c r="D20" s="71">
        <f>0</f>
        <v/>
      </c>
      <c r="E20" s="71">
        <f>($E$10+$E$9)*45</f>
        <v/>
      </c>
    </row>
    <row r="21">
      <c r="B21" s="10" t="inlineStr">
        <is>
          <t>Aisle lighting, row &amp; seat numbering</t>
        </is>
      </c>
      <c r="C21" s="71">
        <f>$E$8*8</f>
        <v/>
      </c>
      <c r="D21" s="71">
        <f>($E$10+$E$9)*8</f>
        <v/>
      </c>
      <c r="E21" s="71">
        <f>($E$10+$E$9)*22</f>
        <v/>
      </c>
    </row>
    <row r="22">
      <c r="B22" s="10" t="inlineStr">
        <is>
          <t>Sightline &amp; seating design fees</t>
        </is>
      </c>
      <c r="C22" s="71">
        <f>15000</f>
        <v/>
      </c>
      <c r="D22" s="71">
        <f>25000</f>
        <v/>
      </c>
      <c r="E22" s="71">
        <f>140000</f>
        <v/>
      </c>
    </row>
    <row r="23">
      <c r="B23" s="10" t="inlineStr">
        <is>
          <t>Storage for removed seating</t>
        </is>
      </c>
      <c r="C23" s="71">
        <f>35000</f>
        <v/>
      </c>
      <c r="D23" s="71">
        <f>60000</f>
        <v/>
      </c>
      <c r="E23" s="71">
        <f>0</f>
        <v/>
      </c>
    </row>
    <row r="24">
      <c r="B24" s="17" t="inlineStr">
        <is>
          <t>TOTAL SEATING PACKAGE</t>
        </is>
      </c>
      <c r="C24" s="66">
        <f>SUM(C18:C23)</f>
        <v/>
      </c>
      <c r="D24" s="66">
        <f>SUM(D18:D23)</f>
        <v/>
      </c>
      <c r="E24" s="66">
        <f>SUM(E18:E23)</f>
        <v/>
      </c>
    </row>
    <row r="25">
      <c r="B25" s="10" t="inlineStr">
        <is>
          <t>Cost per seat provided</t>
        </is>
      </c>
      <c r="C25" s="67">
        <f>C24/C17</f>
        <v/>
      </c>
      <c r="D25" s="67">
        <f>D24/D17</f>
        <v/>
      </c>
      <c r="E25" s="67">
        <f>E24/E17</f>
        <v/>
      </c>
    </row>
    <row r="26">
      <c r="B26" s="3" t="inlineStr">
        <is>
          <t>Saving vs a beautiful theater</t>
        </is>
      </c>
      <c r="C26" s="68">
        <f>$E$24-C24</f>
        <v/>
      </c>
      <c r="D26" s="68">
        <f>$E$24-D24</f>
        <v/>
      </c>
      <c r="E26" s="68">
        <f>$E$24-E24</f>
        <v/>
      </c>
    </row>
    <row r="28">
      <c r="B28" s="22" t="inlineStr">
        <is>
          <t>READ THIS</t>
        </is>
      </c>
    </row>
    <row r="29" ht="37.5" customHeight="1">
      <c r="B29" s="10" t="inlineStr">
        <is>
          <t>•</t>
        </is>
      </c>
      <c r="C29" s="4" t="inlineStr">
        <is>
          <t>Option 1 is the licensing floor: removable seating on the mezzanine, shown on the technical drawings, satisfying the classification — with the floor left as standing room, which is what an Infinity room wants anyway. Seats stack into storage on dance nights.</t>
        </is>
      </c>
    </row>
    <row r="30" ht="25" customHeight="1">
      <c r="B30" s="10" t="inlineStr">
        <is>
          <t>•</t>
        </is>
      </c>
      <c r="C30" s="4" t="inlineStr">
        <is>
          <t>Option 2 is what is in the budget today. It seats the floor as well as the mezzanine at $125 a chair, and it is neither the cheapest compliant answer nor a real theater.</t>
        </is>
      </c>
    </row>
    <row r="31" ht="25" customHeight="1">
      <c r="B31" s="10" t="inlineStr">
        <is>
          <t>•</t>
        </is>
      </c>
      <c r="C31" s="4" t="inlineStr">
        <is>
          <t>Option 3 is a genuine theater: fixed upholstered seats on raked tiering with designed sightlines. It is a different building, and on this concept it buys nothing the licence requires.</t>
        </is>
      </c>
    </row>
    <row r="32" ht="50" customHeight="1">
      <c r="B32" s="10" t="inlineStr">
        <is>
          <t>•</t>
        </is>
      </c>
      <c r="C32" s="23" t="inlineStr">
        <is>
          <t>THE SEAT COUNT IS A PLACEHOLDER. What actually satisfies the NYC theater use-classification, the SLA and the cabaret licence is a legal question: the required count, whether seats must be fixed or may be removable, and whether the mezzanine alone is sufficient. Get that answer before anyone prices a chair.</t>
        </is>
      </c>
    </row>
  </sheetData>
  <mergeCells count="5">
    <mergeCell ref="C29:G29"/>
    <mergeCell ref="C30:G30"/>
    <mergeCell ref="B5:G5"/>
    <mergeCell ref="C32:G32"/>
    <mergeCell ref="C31:G3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H34"/>
  <sheetViews>
    <sheetView workbookViewId="0">
      <selection activeCell="A1" sqref="A1"/>
    </sheetView>
  </sheetViews>
  <sheetFormatPr baseColWidth="8" defaultRowHeight="15"/>
  <cols>
    <col width="3" customWidth="1" min="1" max="1"/>
    <col width="40" customWidth="1" min="2" max="2"/>
    <col width="17" customWidth="1" min="3" max="3"/>
    <col width="15" customWidth="1" min="4" max="4"/>
    <col width="17" customWidth="1" min="5" max="5"/>
    <col width="13" customWidth="1" min="6" max="6"/>
    <col width="13" customWidth="1" min="7" max="7"/>
    <col width="74" customWidth="1" min="8" max="8"/>
  </cols>
  <sheetData>
    <row r="2">
      <c r="B2" s="1" t="inlineStr">
        <is>
          <t>EQUIPMENT FINANCING — OPTIONAL, REFERENCE ONLY</t>
        </is>
      </c>
    </row>
    <row r="3">
      <c r="B3" s="2" t="inlineStr">
        <is>
          <t>Kit in the Line Build that does not have to be bought outright. Nothing here changes the build cost — it changes WHEN you pay. Property-lease and landlord matters are deliberately excluded.</t>
        </is>
      </c>
    </row>
    <row r="5">
      <c r="B5" s="5" t="inlineStr">
        <is>
          <t>FINANCING ASSUMPTIONS  —  edit the yellow cells</t>
        </is>
      </c>
    </row>
    <row r="6">
      <c r="B6" s="10" t="inlineStr">
        <is>
          <t>Equipment lease rate, annual</t>
        </is>
      </c>
      <c r="C6" s="63" t="n">
        <v>0.09</v>
      </c>
      <c r="H6" s="12" t="inlineStr">
        <is>
          <t>Typical for AV/production gear on a 5-year lease with a $1 buyout.</t>
        </is>
      </c>
    </row>
    <row r="7">
      <c r="B7" s="10" t="inlineStr">
        <is>
          <t>Equipment lease term, years</t>
        </is>
      </c>
      <c r="C7" s="13" t="n">
        <v>5</v>
      </c>
      <c r="H7" s="12" t="inlineStr">
        <is>
          <t>Own the asset at the end.</t>
        </is>
      </c>
    </row>
    <row r="8">
      <c r="B8" s="10" t="inlineStr">
        <is>
          <t>Events per year (for rental comparisons)</t>
        </is>
      </c>
      <c r="C8" s="13" t="n">
        <v>85</v>
      </c>
      <c r="H8" s="12" t="inlineStr">
        <is>
          <t>Used only to convert per-event rental into an annual figure.</t>
        </is>
      </c>
    </row>
    <row r="10">
      <c r="B10" s="5" t="inlineStr">
        <is>
          <t>FOUR MECHANISMS</t>
        </is>
      </c>
    </row>
    <row r="11">
      <c r="B11" s="3" t="inlineStr">
        <is>
          <t xml:space="preserve">  Equipment lease</t>
        </is>
      </c>
      <c r="C11" s="4" t="inlineStr">
        <is>
          <t>Fixed term, you own it at the end. Cheapest way to defer real CapEx. Best for audio, lighting, HVAC plant.</t>
        </is>
      </c>
    </row>
    <row r="12">
      <c r="B12" s="3" t="inlineStr">
        <is>
          <t xml:space="preserve">  Event rental</t>
        </is>
      </c>
      <c r="C12" s="4" t="inlineStr">
        <is>
          <t>Pay per show. Flexible, no commitment, and by far the most expensive per year if you use it often.</t>
        </is>
      </c>
    </row>
    <row r="13">
      <c r="B13" s="3" t="inlineStr">
        <is>
          <t xml:space="preserve">  Vendor-supplied</t>
        </is>
      </c>
      <c r="C13" s="4" t="inlineStr">
        <is>
          <t>A supplier funds the kit in exchange for exclusivity or volume. Zero CapEx, zero lease — costs margin instead.</t>
        </is>
      </c>
    </row>
    <row r="14">
      <c r="B14" s="3" t="inlineStr">
        <is>
          <t xml:space="preserve">  Third-party operator</t>
        </is>
      </c>
      <c r="C14" s="4" t="inlineStr">
        <is>
          <t>Someone else builds and runs the scope. Removes it from the budget entirely; you take rent or a percentage.</t>
        </is>
      </c>
    </row>
    <row r="16" ht="30" customHeight="1">
      <c r="B16" s="14" t="inlineStr">
        <is>
          <t>Item</t>
        </is>
      </c>
      <c r="C16" s="14" t="inlineStr">
        <is>
          <t>CapEx if bought</t>
        </is>
      </c>
      <c r="D16" s="14" t="inlineStr">
        <is>
          <t>Mechanism</t>
        </is>
      </c>
      <c r="E16" s="14" t="inlineStr">
        <is>
          <t>Annual cost
if not bought</t>
        </is>
      </c>
      <c r="F16" s="14" t="inlineStr">
        <is>
          <t>Term</t>
        </is>
      </c>
      <c r="G16" s="14" t="inlineStr">
        <is>
          <t>Own at
end?</t>
        </is>
      </c>
      <c r="H16" s="14" t="inlineStr">
        <is>
          <t>Verdict / what it costs you</t>
        </is>
      </c>
    </row>
    <row r="17">
      <c r="B17" s="44" t="inlineStr">
        <is>
          <t>House audio system (L-Acoustics)</t>
        </is>
      </c>
      <c r="C17" s="70" t="n">
        <v>2200000</v>
      </c>
      <c r="D17" s="31" t="inlineStr">
        <is>
          <t>Equipment lease</t>
        </is>
      </c>
      <c r="E17" s="71">
        <f>C17*$C$6/(1-(1+$C$6)^-5)</f>
        <v/>
      </c>
      <c r="F17" s="45" t="n">
        <v>5</v>
      </c>
      <c r="G17" s="31" t="inlineStr">
        <is>
          <t>Yes</t>
        </is>
      </c>
      <c r="H17" s="36" t="inlineStr">
        <is>
          <t>MT I301. Payback on buying vs event rental is 2-7 months, so DO NOT event-rent it long term. A 5-year lease keeps the asset and defers the cash.</t>
        </is>
      </c>
    </row>
    <row r="18">
      <c r="B18" s="44" t="inlineStr">
        <is>
          <t>Performance lighting rig</t>
        </is>
      </c>
      <c r="C18" s="70" t="n">
        <v>850000</v>
      </c>
      <c r="D18" s="31" t="inlineStr">
        <is>
          <t>Equipment lease</t>
        </is>
      </c>
      <c r="E18" s="71">
        <f>C18*$C$6/(1-(1+$C$6)^-5)</f>
        <v/>
      </c>
      <c r="F18" s="45" t="n">
        <v>5</v>
      </c>
      <c r="G18" s="31" t="inlineStr">
        <is>
          <t>Yes</t>
        </is>
      </c>
      <c r="H18" s="36" t="inlineStr">
        <is>
          <t>MT I61/I305. Same logic as audio. Lease rather than rent show by show.</t>
        </is>
      </c>
    </row>
    <row r="19">
      <c r="B19" s="44" t="inlineStr">
        <is>
          <t>LED video walls (upstage + overhead)</t>
        </is>
      </c>
      <c r="C19" s="70" t="n">
        <v>1500000</v>
      </c>
      <c r="D19" s="31" t="inlineStr">
        <is>
          <t>Event rental</t>
        </is>
      </c>
      <c r="E19" s="71">
        <f>C19*0.35</f>
        <v/>
      </c>
      <c r="F19" s="45" t="inlineStr">
        <is>
          <t>—</t>
        </is>
      </c>
      <c r="G19" s="31" t="inlineStr">
        <is>
          <t>No</t>
        </is>
      </c>
      <c r="H19" s="36" t="inlineStr">
        <is>
          <t>Already Tier 2. Rent per show until the calendar proves the spend. Genuinely the right one to rent — spec moves fast and it dates quickly.</t>
        </is>
      </c>
    </row>
    <row r="20">
      <c r="B20" s="44" t="inlineStr">
        <is>
          <t>Displays &amp; distribution</t>
        </is>
      </c>
      <c r="C20" s="70" t="n">
        <v>200000</v>
      </c>
      <c r="D20" s="31" t="inlineStr">
        <is>
          <t>Event rental</t>
        </is>
      </c>
      <c r="E20" s="71">
        <f>C20*0.35</f>
        <v/>
      </c>
      <c r="F20" s="45" t="inlineStr">
        <is>
          <t>—</t>
        </is>
      </c>
      <c r="G20" s="31" t="inlineStr">
        <is>
          <t>No</t>
        </is>
      </c>
      <c r="H20" s="36" t="inlineStr">
        <is>
          <t>MT I294: "We can do any display or distribution by renting." Agreed.</t>
        </is>
      </c>
    </row>
    <row r="21">
      <c r="B21" s="44" t="inlineStr">
        <is>
          <t>HVAC plant — chillers / air handling</t>
        </is>
      </c>
      <c r="C21" s="70" t="n">
        <v>5300000</v>
      </c>
      <c r="D21" s="31" t="inlineStr">
        <is>
          <t>Equipment lease</t>
        </is>
      </c>
      <c r="E21" s="71">
        <f>C21*$C$6/(1-(1+$C$6)^-7)</f>
        <v/>
      </c>
      <c r="F21" s="45" t="n">
        <v>7</v>
      </c>
      <c r="G21" s="31" t="inlineStr">
        <is>
          <t>Yes</t>
        </is>
      </c>
      <c r="H21" s="36" t="inlineStr">
        <is>
          <t>The largest single leasable item in the build. Energy-as-a-Service and equipment leasing are both routine for plant this size. Check NYSERDA and Con Ed C&amp;I incentives before signing anything.</t>
        </is>
      </c>
    </row>
    <row r="22">
      <c r="B22" s="44" t="inlineStr">
        <is>
          <t>POS terminals (76)</t>
        </is>
      </c>
      <c r="C22" s="70" t="n">
        <v>228000</v>
      </c>
      <c r="D22" s="31" t="inlineStr">
        <is>
          <t>Vendor-supplied</t>
        </is>
      </c>
      <c r="E22" s="71">
        <f>0</f>
        <v/>
      </c>
      <c r="F22" s="45" t="inlineStr">
        <is>
          <t>—</t>
        </is>
      </c>
      <c r="G22" s="31" t="inlineStr">
        <is>
          <t>No</t>
        </is>
      </c>
      <c r="H22" s="36" t="inlineStr">
        <is>
          <t>MT I50: "I can get someone to give it to us for free for using the venue." Standard deal — take it.</t>
        </is>
      </c>
    </row>
    <row r="23">
      <c r="B23" s="44" t="inlineStr">
        <is>
          <t>Ice machines &amp; walk-in coolers</t>
        </is>
      </c>
      <c r="C23" s="70" t="n">
        <v>90000</v>
      </c>
      <c r="D23" s="31" t="inlineStr">
        <is>
          <t>Vendor-supplied</t>
        </is>
      </c>
      <c r="E23" s="71">
        <f>0</f>
        <v/>
      </c>
      <c r="F23" s="45" t="inlineStr">
        <is>
          <t>—</t>
        </is>
      </c>
      <c r="G23" s="31" t="inlineStr">
        <is>
          <t>No</t>
        </is>
      </c>
      <c r="H23" s="36" t="inlineStr">
        <is>
          <t>Beverage distributors routinely supply coolers, draft systems and ice against a pouring agreement.</t>
        </is>
      </c>
    </row>
    <row r="24">
      <c r="B24" s="44" t="inlineStr">
        <is>
          <t>Bar equipment — draft systems portion</t>
        </is>
      </c>
      <c r="C24" s="70" t="n">
        <v>200000</v>
      </c>
      <c r="D24" s="31" t="inlineStr">
        <is>
          <t>Vendor-supplied</t>
        </is>
      </c>
      <c r="E24" s="71">
        <f>0</f>
        <v/>
      </c>
      <c r="F24" s="45" t="inlineStr">
        <is>
          <t>—</t>
        </is>
      </c>
      <c r="G24" s="31" t="inlineStr">
        <is>
          <t>No</t>
        </is>
      </c>
      <c r="H24" s="36" t="inlineStr">
        <is>
          <t>Same pouring-rights mechanism. Negotiate before the equipment package is bought out.</t>
        </is>
      </c>
    </row>
    <row r="25">
      <c r="B25" s="44" t="inlineStr">
        <is>
          <t>Kitchen equipment + kitchen roughing</t>
        </is>
      </c>
      <c r="C25" s="70" t="n">
        <v>215000</v>
      </c>
      <c r="D25" s="31" t="inlineStr">
        <is>
          <t>Third-party operator</t>
        </is>
      </c>
      <c r="E25" s="71">
        <f>0</f>
        <v/>
      </c>
      <c r="F25" s="45" t="inlineStr">
        <is>
          <t>—</t>
        </is>
      </c>
      <c r="G25" s="31" t="inlineStr">
        <is>
          <t>No</t>
        </is>
      </c>
      <c r="H25" s="36" t="inlineStr">
        <is>
          <t>MT I49/I154: outsource the kitchen. The operator funds their own equipment. Removes the scope AND the $135k of plumbing roughing.</t>
        </is>
      </c>
    </row>
    <row r="26">
      <c r="B26" s="44" t="inlineStr">
        <is>
          <t>Restaurant fit-out &amp; furniture</t>
        </is>
      </c>
      <c r="C26" s="70" t="n">
        <v>70000</v>
      </c>
      <c r="D26" s="31" t="inlineStr">
        <is>
          <t>Third-party operator</t>
        </is>
      </c>
      <c r="E26" s="71">
        <f>0</f>
        <v/>
      </c>
      <c r="F26" s="45" t="inlineStr">
        <is>
          <t>—</t>
        </is>
      </c>
      <c r="G26" s="31" t="inlineStr">
        <is>
          <t>No</t>
        </is>
      </c>
      <c r="H26" s="36" t="inlineStr">
        <is>
          <t>Goes with the kitchen. 769 covers becomes their capital, not ours.</t>
        </is>
      </c>
    </row>
    <row r="27">
      <c r="B27" s="44" t="inlineStr">
        <is>
          <t>Theatre GA seating (3,714 chairs)</t>
        </is>
      </c>
      <c r="C27" s="70" t="n">
        <v>92850</v>
      </c>
      <c r="D27" s="31" t="inlineStr">
        <is>
          <t>Event rental</t>
        </is>
      </c>
      <c r="E27" s="71">
        <f>C27*0.35</f>
        <v/>
      </c>
      <c r="F27" s="45" t="inlineStr">
        <is>
          <t>—</t>
        </is>
      </c>
      <c r="G27" s="31" t="inlineStr">
        <is>
          <t>No</t>
        </is>
      </c>
      <c r="H27" s="36" t="inlineStr">
        <is>
          <t>Only needed for seated configurations. Rent per seated show rather than storing 3,714 chairs.</t>
        </is>
      </c>
    </row>
    <row r="28">
      <c r="B28" s="44" t="inlineStr">
        <is>
          <t>Fork lift &amp; scissor lift</t>
        </is>
      </c>
      <c r="C28" s="70" t="n">
        <v>60000</v>
      </c>
      <c r="D28" s="31" t="inlineStr">
        <is>
          <t>Event rental</t>
        </is>
      </c>
      <c r="E28" s="71">
        <f>C28*0.35</f>
        <v/>
      </c>
      <c r="F28" s="45" t="inlineStr">
        <is>
          <t>—</t>
        </is>
      </c>
      <c r="G28" s="31" t="inlineStr">
        <is>
          <t>No</t>
        </is>
      </c>
      <c r="H28" s="36" t="inlineStr">
        <is>
          <t>Already cut per MT I275. Rent for load-ins.</t>
        </is>
      </c>
    </row>
    <row r="29">
      <c r="B29" s="17" t="inlineStr">
        <is>
          <t>TOTAL equipment CapEx that can be financed rather than bought</t>
        </is>
      </c>
      <c r="C29" s="66">
        <f>SUM(C17:C28)</f>
        <v/>
      </c>
      <c r="D29" s="46" t="n"/>
      <c r="E29" s="66">
        <f>SUM(E17:E28)</f>
        <v/>
      </c>
      <c r="F29" s="46" t="n"/>
      <c r="G29" s="46" t="n"/>
      <c r="H29" s="47" t="inlineStr">
        <is>
          <t>Annual figure is what you pay instead. Leased items you still own at the end of the term.</t>
        </is>
      </c>
    </row>
    <row r="31">
      <c r="B31" s="22" t="inlineStr">
        <is>
          <t>READ THIS FIRST</t>
        </is>
      </c>
    </row>
    <row r="32" ht="25" customHeight="1">
      <c r="B32" s="10" t="inlineStr">
        <is>
          <t>•</t>
        </is>
      </c>
      <c r="C32" s="4" t="inlineStr">
        <is>
          <t>Financing does not make the building cheaper — it makes it cheaper TO START. Total cost over the life of the kit is higher than buying, always.</t>
        </is>
      </c>
    </row>
    <row r="33" ht="25" customHeight="1">
      <c r="B33" s="10" t="inlineStr">
        <is>
          <t>•</t>
        </is>
      </c>
      <c r="C33" s="4" t="inlineStr">
        <is>
          <t>Vendor-supplied kit is paid for in margin, not cash. A pouring agreement that funds coolers and draft systems has a price per keg attached — get that priced before signing.</t>
        </is>
      </c>
    </row>
    <row r="34" ht="37.5" customHeight="1">
      <c r="B34" s="10" t="inlineStr">
        <is>
          <t>•</t>
        </is>
      </c>
      <c r="C34" s="4" t="inlineStr">
        <is>
          <t>Rental figures use a 35%-of-purchase-price-per-year rule of thumb for regular use. For audio and lighting the Factory Town book shows the real number is far worse: buying pays back in 2-7 months, so lease those rather than renting them show by show.</t>
        </is>
      </c>
    </row>
  </sheetData>
  <mergeCells count="7">
    <mergeCell ref="C33:H33"/>
    <mergeCell ref="C11:H11"/>
    <mergeCell ref="C32:H32"/>
    <mergeCell ref="C14:H14"/>
    <mergeCell ref="C13:H13"/>
    <mergeCell ref="C34:H34"/>
    <mergeCell ref="C12:H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G28"/>
  <sheetViews>
    <sheetView workbookViewId="0">
      <selection activeCell="A1" sqref="A1"/>
    </sheetView>
  </sheetViews>
  <sheetFormatPr baseColWidth="8" defaultRowHeight="15"/>
  <cols>
    <col width="3" customWidth="1" min="1" max="1"/>
    <col width="8" customWidth="1" min="2" max="2"/>
    <col width="12" customWidth="1" min="3" max="3"/>
    <col width="46" customWidth="1" min="4" max="4"/>
    <col width="16" customWidth="1" min="5" max="5"/>
    <col width="14" customWidth="1" min="6" max="6"/>
    <col width="88" customWidth="1" min="7" max="7"/>
  </cols>
  <sheetData>
    <row r="2">
      <c r="B2" s="1" t="inlineStr">
        <is>
          <t>CONSTRUCTION FINDINGS REGISTER</t>
        </is>
      </c>
    </row>
    <row r="3">
      <c r="B3" s="2" t="inlineStr">
        <is>
          <t>Every finding is sourced to a cell, quantity or unit price in the Master Development Budget. Revenue, operating and deal findings are excluded.</t>
        </is>
      </c>
    </row>
    <row r="5" ht="26" customHeight="1">
      <c r="B5" s="14" t="inlineStr">
        <is>
          <t>ID</t>
        </is>
      </c>
      <c r="C5" s="14" t="inlineStr">
        <is>
          <t>CSI / tab</t>
        </is>
      </c>
      <c r="D5" s="14" t="inlineStr">
        <is>
          <t>Finding</t>
        </is>
      </c>
      <c r="E5" s="14" t="inlineStr">
        <is>
          <t>Impact</t>
        </is>
      </c>
      <c r="F5" s="14" t="inlineStr">
        <is>
          <t>Direction</t>
        </is>
      </c>
      <c r="G5" s="14" t="inlineStr">
        <is>
          <t>Evidence</t>
        </is>
      </c>
    </row>
    <row r="6">
      <c r="B6" s="56" t="inlineStr">
        <is>
          <t>C-01</t>
        </is>
      </c>
      <c r="C6" s="31" t="inlineStr">
        <is>
          <t>075000</t>
        </is>
      </c>
      <c r="D6" s="57" t="inlineStr">
        <is>
          <t>Paver line priced at 107x its neighbours</t>
        </is>
      </c>
      <c r="E6" s="78" t="n">
        <v>-6890129</v>
      </c>
      <c r="F6" s="59" t="inlineStr">
        <is>
          <t>Overstated</t>
        </is>
      </c>
      <c r="G6" s="36" t="inlineStr">
        <is>
          <t>Row 193: 1,592 SF at $3,312.50/SF. Rows 192 and 194, same product, are $31/SF. $5,224,148 of trade cost, marked up through 9% OH&amp;P, 10% contractor contingency and 10% owner contingency. Correct it and CSI 075000 falls from $5,736,276 to $512,128 — three terrace membranes and their pavers.</t>
        </is>
      </c>
    </row>
    <row r="7">
      <c r="B7" s="56" t="inlineStr">
        <is>
          <t>C-02</t>
        </is>
      </c>
      <c r="C7" s="31" t="inlineStr">
        <is>
          <t>055100 / 024100</t>
        </is>
      </c>
      <c r="D7" s="57" t="inlineStr">
        <is>
          <t>The 50ft roof raise is quantified at zero</t>
        </is>
      </c>
      <c r="E7" s="79" t="n">
        <v>11275395</v>
      </c>
      <c r="F7" s="61" t="inlineStr">
        <is>
          <t>Understated</t>
        </is>
      </c>
      <c r="G7" s="36" t="inlineStr">
        <is>
          <t>Every related line carries a unit price and QTY 0: demo of elevated roof area $15/SF; excavation for new columns $6.50/SF "Based on Footprint of New Roof"; footings $7,500/EA; brick facade at music hall "BUMP UP" $35/SF; roof trusses, girders and columns $6,000/ton; roof deck $4/SF; temp roof $5/SF; fireproofing new roof steel $5/SF; furring at "BUMP UP" $20/SF. The soft-cost tab DOES fund 13 borings 50ft deep "required for ST permit".</t>
        </is>
      </c>
    </row>
    <row r="8">
      <c r="B8" s="56" t="inlineStr">
        <is>
          <t>C-03</t>
        </is>
      </c>
      <c r="C8" s="31" t="inlineStr">
        <is>
          <t>055100</t>
        </is>
      </c>
      <c r="D8" s="57" t="inlineStr">
        <is>
          <t>Structural steel is $0 on an "Add Second Level" scope</t>
        </is>
      </c>
      <c r="E8" s="79" t="n">
        <v>3400000</v>
      </c>
      <c r="F8" s="61" t="inlineStr">
        <is>
          <t>Understated</t>
        </is>
      </c>
      <c r="G8" s="36" t="inlineStr">
        <is>
          <t>Mezzanine framing, upper balcony framing incl. balcony seating, stage lighting and AV support structure, stairs, railings, roof dunnage — all at $6,000/ton or $8/lb, all QTY 0. The FF&amp;E schedule simultaneously buys 657 mezzanine box chairs.</t>
        </is>
      </c>
    </row>
    <row r="9">
      <c r="B9" s="56" t="inlineStr">
        <is>
          <t>C-04</t>
        </is>
      </c>
      <c r="C9" s="31" t="inlineStr">
        <is>
          <t>260000</t>
        </is>
      </c>
      <c r="D9" s="57" t="inlineStr">
        <is>
          <t>Electrical has switchboards and temp power only</t>
        </is>
      </c>
      <c r="E9" s="79" t="n">
        <v>4400000</v>
      </c>
      <c r="F9" s="61" t="inlineStr">
        <is>
          <t>Understated</t>
        </is>
      </c>
      <c r="G9" s="36" t="inlineStr">
        <is>
          <t>$558,750 total = two 2,500A switchboards ($390k), temp light and power ($156,250), firestopping ($12,500). QTY 0 on: general power and devices, kitchen circuits, stage power, mechanical power, VAV and exhaust fan power, panels and secondary distribution, new CT cabinet and transformer switches, combine existing services. MT F41 asked whether stages can plug in here — they cannot.</t>
        </is>
      </c>
    </row>
    <row r="10">
      <c r="B10" s="56" t="inlineStr">
        <is>
          <t>C-05</t>
        </is>
      </c>
      <c r="C10" s="31" t="inlineStr">
        <is>
          <t>100500</t>
        </is>
      </c>
      <c r="D10" s="57" t="inlineStr">
        <is>
          <t>Acoustic treatment is $0</t>
        </is>
      </c>
      <c r="E10" s="79" t="n">
        <v>2000000</v>
      </c>
      <c r="F10" s="61" t="inlineStr">
        <is>
          <t>Understated</t>
        </is>
      </c>
      <c r="G10" s="36" t="inlineStr">
        <is>
          <t>Acoustical panels at music hall walls $40/SF QTY 0; K13 at underside of mezzanine, music hall ceilings and VIP $12/SF QTY 0; acoustical doors $6,500 EA / $10,000 pair QTY 0. Soft-cost acoustical engineering is a single $15,000 line. MT G53 confirms $15-25k is right for the FEE — the treatment is the gap.</t>
        </is>
      </c>
    </row>
    <row r="11">
      <c r="B11" s="56" t="inlineStr">
        <is>
          <t>C-06</t>
        </is>
      </c>
      <c r="C11" s="31" t="inlineStr">
        <is>
          <t>FF&amp;E 309</t>
        </is>
      </c>
      <c r="D11" s="57" t="inlineStr">
        <is>
          <t>LED video walls are a note, not a number</t>
        </is>
      </c>
      <c r="E11" s="79" t="n">
        <v>1500000</v>
      </c>
      <c r="F11" s="61" t="inlineStr">
        <is>
          <t>Understated</t>
        </is>
      </c>
      <c r="G11" s="36" t="inlineStr">
        <is>
          <t>"Upstage Video Wall" carries the note "$1,400/SF" with no quantity and no total. "Overhead Video Wall" is blank. At $1,400/SF an 1,800 SF upstage wall is $2.52M. The underwriting raised its own lighting and video line to $1.5M explicitly for "expanded LED wall coverage".</t>
        </is>
      </c>
    </row>
    <row r="12">
      <c r="B12" s="56" t="inlineStr">
        <is>
          <t>C-07</t>
        </is>
      </c>
      <c r="C12" s="31" t="inlineStr">
        <is>
          <t>100</t>
        </is>
      </c>
      <c r="D12" s="57" t="inlineStr">
        <is>
          <t>Escalation applied to the garage, left blank on the building</t>
        </is>
      </c>
      <c r="E12" s="79" t="n">
        <v>3182355</v>
      </c>
      <c r="F12" s="61" t="inlineStr">
        <is>
          <t>Understated</t>
        </is>
      </c>
      <c r="G12" s="36" t="inlineStr">
        <is>
          <t>Off-site: "Escalation (Calculated at 5%)" = $107,500. Building and Fit-Out: the same line exists and is BLANK. A single 5% pass on trade is ~$909k; compounding across a two-year build from 2027 is 10-15%.</t>
        </is>
      </c>
    </row>
    <row r="13">
      <c r="B13" s="56" t="inlineStr">
        <is>
          <t>C-08</t>
        </is>
      </c>
      <c r="C13" s="31" t="inlineStr">
        <is>
          <t>201 / 024100</t>
        </is>
      </c>
      <c r="D13" s="57" t="inlineStr">
        <is>
          <t>Abatement is $8,750 on a 1948 building</t>
        </is>
      </c>
      <c r="E13" s="79" t="n">
        <v>1000000</v>
      </c>
      <c r="F13" s="61" t="inlineStr">
        <is>
          <t>Understated</t>
        </is>
      </c>
      <c r="G13" s="36" t="inlineStr">
        <is>
          <t>Soft cost 201: 350 units at $25. Demolition schedules "Demo Pre-cast concrete roof, 74,000 SF" marked "Abatement by others" — and that demo line itself carries no price. Total demolition for a decommissioned Caesarstone plant is $30,408. MT G32: "this is super low".</t>
        </is>
      </c>
    </row>
    <row r="14">
      <c r="B14" s="56" t="inlineStr">
        <is>
          <t>C-09</t>
        </is>
      </c>
      <c r="C14" s="31" t="inlineStr">
        <is>
          <t>210 / 260000</t>
        </is>
      </c>
      <c r="D14" s="57" t="inlineStr">
        <is>
          <t>Con Ed fee is budgeted, the service upgrade is not</t>
        </is>
      </c>
      <c r="E14" s="79" t="n">
        <v>1400000</v>
      </c>
      <c r="F14" s="61" t="inlineStr">
        <is>
          <t>Understated</t>
        </is>
      </c>
      <c r="G14" s="36" t="inlineStr">
        <is>
          <t>Soft cost 210 note: "Service upgrade required. Vault located in street, new conduit and feeders from vault into MPOE electrical room. Only Con Ed costs carried." The physical work is QTY 0 in the trade schedule.</t>
        </is>
      </c>
    </row>
    <row r="15">
      <c r="B15" s="56" t="inlineStr">
        <is>
          <t>C-10</t>
        </is>
      </c>
      <c r="C15" s="31" t="inlineStr">
        <is>
          <t>various</t>
        </is>
      </c>
      <c r="D15" s="57" t="inlineStr">
        <is>
          <t>Twelve further divisions at zero quantity</t>
        </is>
      </c>
      <c r="E15" s="79" t="n">
        <v>4010000</v>
      </c>
      <c r="F15" s="61" t="inlineStr">
        <is>
          <t>Understated</t>
        </is>
      </c>
      <c r="G15" s="36" t="inlineStr">
        <is>
          <t>Concrete, millwork, bar and kitchen plumbing roughing, doors and hardware, tile and flooring, scaffolding and hoarding, fireproofing, painting, storefront and glazing, specialties, rough carpentry, sitework. Each carries populated unit prices against QTY 0. MT F12 puts scaffolding alone at $1-2M.</t>
        </is>
      </c>
    </row>
    <row r="16">
      <c r="B16" s="56" t="inlineStr">
        <is>
          <t>C-11</t>
        </is>
      </c>
      <c r="C16" s="31" t="inlineStr">
        <is>
          <t>400</t>
        </is>
      </c>
      <c r="D16" s="57" t="inlineStr">
        <is>
          <t>Contingency is stacked and thin</t>
        </is>
      </c>
      <c r="E16" s="79" t="n">
        <v>220000</v>
      </c>
      <c r="F16" s="59" t="inlineStr">
        <is>
          <t>Overstated</t>
        </is>
      </c>
      <c r="G16" s="36" t="inlineStr">
        <is>
          <t>A 10% contractor contingency sits inside Building and Fit-Out; the 10% owner contingency is then taken on a subtotal that already includes it. Combined contingency is 14.3% of total against a 25-35% norm for a 1948 conversion at this design stage with this much scope unpriced.</t>
        </is>
      </c>
    </row>
    <row r="17">
      <c r="B17" s="56" t="inlineStr">
        <is>
          <t>P-01</t>
        </is>
      </c>
      <c r="C17" s="31" t="inlineStr">
        <is>
          <t>FF&amp;E 302</t>
        </is>
      </c>
      <c r="D17" s="57" t="inlineStr">
        <is>
          <t>F&amp;B equipment 40% below our own Brooklyn Paramount build</t>
        </is>
      </c>
      <c r="E17" s="79" t="n">
        <v>990000</v>
      </c>
      <c r="F17" s="61" t="inlineStr">
        <is>
          <t>Understated</t>
        </is>
      </c>
      <c r="G17" s="36" t="inlineStr">
        <is>
          <t>The sheet cites its own comp: "BPT: 26 POS / Prep Kitchen / 1 Walk-in Cooler $837K" = $32,192 per POS. 165 Randolph budgets $1,457,000 for 76 positions = $19,171 per POS. Kitchen equipment at $80,000 for 769 covers is the least credible line in the FF&amp;E schedule.</t>
        </is>
      </c>
    </row>
    <row r="18">
      <c r="B18" s="56" t="inlineStr">
        <is>
          <t>P-02</t>
        </is>
      </c>
      <c r="C18" s="31" t="inlineStr">
        <is>
          <t>FF&amp;E 310</t>
        </is>
      </c>
      <c r="D18" s="57" t="inlineStr">
        <is>
          <t>Architectural lighting at 3.4x performance lighting</t>
        </is>
      </c>
      <c r="E18" s="78" t="n">
        <v>-1000000</v>
      </c>
      <c r="F18" s="59" t="inlineStr">
        <is>
          <t>Overstated</t>
        </is>
      </c>
      <c r="G18" s="36" t="inlineStr">
        <is>
          <t>$1,750,000 as a single lump, one line, no vendor, no detail — against $520,000 of performance lighting in a venue whose thesis is arena-grade production. MT H313: "??????????? Why spend so much on outside lighting". The only hard-cost line in the file that reads high.</t>
        </is>
      </c>
    </row>
    <row r="19">
      <c r="B19" s="56" t="inlineStr">
        <is>
          <t>P-03</t>
        </is>
      </c>
      <c r="C19" s="31" t="inlineStr">
        <is>
          <t>FF&amp;E 309</t>
        </is>
      </c>
      <c r="D19" s="57" t="inlineStr">
        <is>
          <t>Three different numbers for one audio system</t>
        </is>
      </c>
      <c r="E19" s="79" t="n">
        <v>800000</v>
      </c>
      <c r="F19" s="61" t="inlineStr">
        <is>
          <t>Understated</t>
        </is>
      </c>
      <c r="G19" s="36" t="inlineStr">
        <is>
          <t>Dev budget $1,400,000 "Includes Theater / VIP / Restaurant &amp; Roof Area". Underwriting $2,200,000 for the main room alone. The FF&amp;E row's own benchmark note says $690k. Soft goods shows the same pattern: $200,000 budgeted against a $725,000 benchmark on the same row, with "CUTDOWN DRAPE @ MEZZ EDGE Not Included".</t>
        </is>
      </c>
    </row>
    <row r="20">
      <c r="B20" s="56" t="inlineStr">
        <is>
          <t>P-04</t>
        </is>
      </c>
      <c r="C20" s="31" t="inlineStr">
        <is>
          <t>000</t>
        </is>
      </c>
      <c r="D20" s="57" t="inlineStr">
        <is>
          <t>Parking garage at $8,269 per space</t>
        </is>
      </c>
      <c r="E20" s="79" t="n"/>
      <c r="F20" s="62" t="inlineStr">
        <is>
          <t>Discrepancy</t>
        </is>
      </c>
      <c r="G20" s="36" t="inlineStr">
        <is>
          <t>$2,150,000 for 260 spaces. NYC structured parking is $25,000-50,000 per space — so either this is surface parking or the line is short by $4.3-10.8M. It appears in no sheet of the underwriting. MT I21: "Eric Paying for this????"</t>
        </is>
      </c>
    </row>
    <row r="21">
      <c r="B21" s="56" t="inlineStr">
        <is>
          <t>P-05</t>
        </is>
      </c>
      <c r="C21" s="31" t="inlineStr">
        <is>
          <t>100 / 213</t>
        </is>
      </c>
      <c r="D21" s="57" t="inlineStr">
        <is>
          <t>General conditions and PM do not match a 24-month build</t>
        </is>
      </c>
      <c r="E21" s="79" t="n">
        <v>680000</v>
      </c>
      <c r="F21" s="61" t="inlineStr">
        <is>
          <t>Understated</t>
        </is>
      </c>
      <c r="G21" s="36" t="inlineStr">
        <is>
          <t>Hidden GC tab totals $2,082,000 against $2,000,000 carried — an $82k break. Staff durations are inconsistent in the same sheet (60 units for PM, APM, engineer and three supers; 6 for exec, accountant and general super). The only duration in the file is 60 weeks of portable toilets, implying ~14 months. Owner PM is $520,000 = 1.2% of project against a 2-4% norm.</t>
        </is>
      </c>
    </row>
    <row r="22">
      <c r="B22" s="56" t="inlineStr">
        <is>
          <t>P-06</t>
        </is>
      </c>
      <c r="C22" s="31" t="inlineStr">
        <is>
          <t>230000 / 142000</t>
        </is>
      </c>
      <c r="D22" s="57" t="inlineStr">
        <is>
          <t>Three lines where the contractor is right and the underwriting was light</t>
        </is>
      </c>
      <c r="E22" s="78" t="n">
        <v>-3521900</v>
      </c>
      <c r="F22" s="59" t="inlineStr">
        <is>
          <t>Overstated</t>
        </is>
      </c>
      <c r="G22" s="36" t="inlineStr">
        <is>
          <t>HVAC $5,300,000 vs $2,667,600 underwritten — the dev budget is correct for NYC assembly at 3.7M cu ft. Elevators $600,000 (2 cars x 4 stops) vs $200,000 for one 2-stop hydraulic. Plumbing 189 fixtures vs 100 assumed — the dev budget matches NYC code at 7,440. The underwriting was $3.5M short on these three.</t>
        </is>
      </c>
    </row>
    <row r="23">
      <c r="B23" s="56" t="inlineStr">
        <is>
          <t>N-01</t>
        </is>
      </c>
      <c r="C23" s="31" t="inlineStr">
        <is>
          <t>230000</t>
        </is>
      </c>
      <c r="D23" s="57" t="inlineStr">
        <is>
          <t>No heating line exists at all</t>
        </is>
      </c>
      <c r="E23" s="79" t="n">
        <v>815100</v>
      </c>
      <c r="F23" s="61" t="inlineStr">
        <is>
          <t>Understated</t>
        </is>
      </c>
      <c r="G23" s="36" t="inlineStr">
        <is>
          <t>MT F40: "Do we need heat?" Yes. HVAC is priced over 120,000 SF against a 135,953 SF building, and there is no heating scope whatsoever. The underwriting carries $815,100 for radiant tube on the correct reasoning that forced air fails at a 50ft ceiling.</t>
        </is>
      </c>
    </row>
    <row r="24">
      <c r="B24" s="56" t="inlineStr">
        <is>
          <t>N-02</t>
        </is>
      </c>
      <c r="C24" s="31" t="inlineStr">
        <is>
          <t>210000 / 283100</t>
        </is>
      </c>
      <c r="D24" s="57" t="inlineStr">
        <is>
          <t>Fire protection and alarm priced over the wrong area</t>
        </is>
      </c>
      <c r="E24" s="79" t="n">
        <v>214000</v>
      </c>
      <c r="F24" s="61" t="inlineStr">
        <is>
          <t>Understated</t>
        </is>
      </c>
      <c r="G24" s="36" t="inlineStr">
        <is>
          <t>Fire protection covers 122,300 SF and fire alarm 100,000 SF against a 135,953 SF building — short by 11% and 26% of area respectively. MT H429 asked about a double count between the Breakdown and Detail tabs: there is none, the two Breakdown lines sum exactly to the Detail tab's $400,000.</t>
        </is>
      </c>
    </row>
    <row r="25">
      <c r="B25" s="56" t="inlineStr">
        <is>
          <t>R-01</t>
        </is>
      </c>
      <c r="C25" s="31" t="inlineStr">
        <is>
          <t>basis</t>
        </is>
      </c>
      <c r="D25" s="57" t="inlineStr">
        <is>
          <t>$313/SF and $607/SF describe the same building</t>
        </is>
      </c>
      <c r="E25" s="79" t="n"/>
      <c r="F25" s="62" t="inlineStr">
        <is>
          <t>Discrepancy</t>
        </is>
      </c>
      <c r="G25" s="36" t="inlineStr">
        <is>
          <t>Dev budget: $42,555,099 over 135,953 SF = $313/SF. Underwriting: $45,000,000 over 74,100 SF = $607/SF. Both correct, both will be read side by side. A reader who sees $313/SF against Brooklyn industrial comps of $394-554/SF concludes the build is cheap.</t>
        </is>
      </c>
    </row>
    <row r="26">
      <c r="B26" s="56" t="inlineStr">
        <is>
          <t>R-02</t>
        </is>
      </c>
      <c r="C26" s="31" t="inlineStr">
        <is>
          <t>reconciliation</t>
        </is>
      </c>
      <c r="D26" s="57" t="inlineStr">
        <is>
          <t>27.3% of the underwriting CapEx was a plug</t>
        </is>
      </c>
      <c r="E26" s="79" t="n"/>
      <c r="F26" s="62" t="inlineStr">
        <is>
          <t>Discrepancy</t>
        </is>
      </c>
      <c r="G26" s="36" t="inlineStr">
        <is>
          <t>The underwriting CapEx tab states it: hard costs $24,103,600, directed base $40,000,000, and a reconciliation line of $12,280,860 described as "line items not yet priced". The $45M was a target, not an estimate. The development budget is the first genuine bottom-up.</t>
        </is>
      </c>
    </row>
    <row r="27">
      <c r="B27" s="56" t="inlineStr">
        <is>
          <t>G-01</t>
        </is>
      </c>
      <c r="C27" s="31" t="inlineStr">
        <is>
          <t>governance</t>
        </is>
      </c>
      <c r="D27" s="57" t="inlineStr">
        <is>
          <t>The cost-control apparatus is an unwired template</t>
        </is>
      </c>
      <c r="E27" s="79" t="n"/>
      <c r="F27" s="62" t="inlineStr">
        <is>
          <t>Discrepancy</t>
        </is>
      </c>
      <c r="G27" s="36" t="inlineStr">
        <is>
          <t>Project At-a-Glance and Project Summary rollups are broken with #REF!. Cost Report Date reads 2023-01-31 and the contingency log is dated March 2020 — from the project this template was copied from. The Risk Report is empty with $0 exposure. Committed Costs, Invoices and Change Orders are all $0, so nothing has been bought and this is a desktop estimate, not a validated bottom-up.</t>
        </is>
      </c>
    </row>
    <row r="28">
      <c r="B28" s="46" t="n"/>
      <c r="C28" s="46" t="n"/>
      <c r="D28" s="17" t="inlineStr">
        <is>
          <t>NET IMPACT vs the filed budget</t>
        </is>
      </c>
      <c r="E28" s="66">
        <f>SUM(E6:E27)</f>
        <v/>
      </c>
      <c r="F28" s="46" t="n"/>
      <c r="G28" s="47" t="inlineStr">
        <is>
          <t>Overstatements are negative, understatements positive. This is an indicative net, not the scenario total — see Scenario Summary for the modelled numbers.</t>
        </is>
      </c>
    </row>
  </sheetData>
  <autoFilter ref="B5:G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2026-09-09T22:06:52Z</dcterms:created>
  <dcterms:modified xsi:type="dcterms:W3CDTF">2026-09-09T22:06:52Z</dcterms:modified>
</cp:coreProperties>
</file>